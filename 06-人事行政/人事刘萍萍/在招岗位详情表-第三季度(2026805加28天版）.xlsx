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rseven\Desktop\总经办文档\06-人事行政\人事刘萍萍\"/>
    </mc:Choice>
  </mc:AlternateContent>
  <bookViews>
    <workbookView windowWidth="27950" windowHeight="14080" tabRatio="820" activeTab="1"/>
  </bookViews>
  <sheets>
    <sheet name="表一组织结构图" sheetId="12" r:id="rId1"/>
    <sheet name="表二-定岗定编表" sheetId="10" r:id="rId2"/>
    <sheet name="表三-招聘需求计划表" sheetId="11" r:id="rId3"/>
    <sheet name="表四-岗位招聘要求" sheetId="1" r:id="rId4"/>
    <sheet name="表五-生产岗位（班长及以下）2026804更新 (按28天计)" sheetId="15" r:id="rId5"/>
    <sheet name="表五-生产岗位（班长及以下）2026804更新(按26天）" sheetId="13" r:id="rId6"/>
    <sheet name="202403历史工资数据" sheetId="14" r:id="rId7"/>
  </sheets>
  <definedNames>
    <definedName name="_xlnm._FilterDatabase" localSheetId="3" hidden="1">'表四-岗位招聘要求'!$A$2:$I$45</definedName>
    <definedName name="_xlnm._FilterDatabase" localSheetId="4" hidden="1">'表五-生产岗位（班长及以下）2026804更新 (按28天计)'!$A$3:$AS$60</definedName>
    <definedName name="_xlnm._FilterDatabase" localSheetId="5" hidden="1">'表五-生产岗位（班长及以下）2026804更新(按26天）'!$A$3:$AN$60</definedName>
    <definedName name="_xlnm._FilterDatabase" localSheetId="2" hidden="1">'表三-招聘需求计划表'!$A$1:$Q$1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66</author>
    <author>Administrator</author>
  </authors>
  <commentList>
    <comment ref="G2" authorId="0">
      <text>
        <r>
          <rPr>
            <b/>
            <sz val="9"/>
            <rFont val="宋体"/>
            <charset val="134"/>
          </rPr>
          <t>66:</t>
        </r>
        <r>
          <rPr>
            <sz val="9"/>
            <rFont val="宋体"/>
            <charset val="134"/>
          </rPr>
          <t xml:space="preserve">
不含加班费</t>
        </r>
      </text>
    </comment>
    <comment ref="AM3" authorId="1">
      <text>
        <r>
          <rPr>
            <sz val="9"/>
            <rFont val="宋体"/>
            <charset val="134"/>
          </rPr>
          <t>按月预留，年底发放</t>
        </r>
      </text>
    </comment>
    <comment ref="AO3" authorId="1">
      <text>
        <r>
          <rPr>
            <sz val="9"/>
            <rFont val="宋体"/>
            <charset val="134"/>
          </rPr>
          <t>无规律。为了规避经济补偿金设立的奖项</t>
        </r>
      </text>
    </comment>
    <comment ref="B16" authorId="0">
      <text>
        <r>
          <rPr>
            <b/>
            <sz val="9"/>
            <rFont val="宋体"/>
            <charset val="134"/>
          </rPr>
          <t>66:</t>
        </r>
        <r>
          <rPr>
            <sz val="9"/>
            <rFont val="宋体"/>
            <charset val="134"/>
          </rPr>
          <t xml:space="preserve">
个别岗位可以增加20%</t>
        </r>
      </text>
    </comment>
    <comment ref="B50" authorId="0">
      <text>
        <r>
          <rPr>
            <b/>
            <sz val="9"/>
            <rFont val="宋体"/>
            <charset val="134"/>
          </rPr>
          <t>66:</t>
        </r>
        <r>
          <rPr>
            <sz val="9"/>
            <rFont val="宋体"/>
            <charset val="134"/>
          </rPr>
          <t xml:space="preserve">
劳务</t>
        </r>
      </text>
    </comment>
  </commentList>
</comments>
</file>

<file path=xl/comments2.xml><?xml version="1.0" encoding="utf-8"?>
<comments xmlns="http://schemas.openxmlformats.org/spreadsheetml/2006/main">
  <authors>
    <author>66</author>
    <author>Administrator</author>
  </authors>
  <commentList>
    <comment ref="G2" authorId="0">
      <text>
        <r>
          <rPr>
            <b/>
            <sz val="9"/>
            <rFont val="宋体"/>
            <charset val="134"/>
          </rPr>
          <t>66:</t>
        </r>
        <r>
          <rPr>
            <sz val="9"/>
            <rFont val="宋体"/>
            <charset val="134"/>
          </rPr>
          <t xml:space="preserve">
不含加班费</t>
        </r>
      </text>
    </comment>
    <comment ref="AH3" authorId="1">
      <text>
        <r>
          <rPr>
            <sz val="9"/>
            <rFont val="宋体"/>
            <charset val="134"/>
          </rPr>
          <t>按月预留，年底发放</t>
        </r>
      </text>
    </comment>
    <comment ref="AJ3" authorId="1">
      <text>
        <r>
          <rPr>
            <sz val="9"/>
            <rFont val="宋体"/>
            <charset val="134"/>
          </rPr>
          <t>无规律。为了规避经济补偿金设立的奖项</t>
        </r>
      </text>
    </comment>
    <comment ref="B16" authorId="0">
      <text>
        <r>
          <rPr>
            <b/>
            <sz val="9"/>
            <rFont val="宋体"/>
            <charset val="134"/>
          </rPr>
          <t>66:</t>
        </r>
        <r>
          <rPr>
            <sz val="9"/>
            <rFont val="宋体"/>
            <charset val="134"/>
          </rPr>
          <t xml:space="preserve">
个别岗位可以增加20%</t>
        </r>
      </text>
    </comment>
    <comment ref="B50" authorId="0">
      <text>
        <r>
          <rPr>
            <b/>
            <sz val="9"/>
            <rFont val="宋体"/>
            <charset val="134"/>
          </rPr>
          <t>66:</t>
        </r>
        <r>
          <rPr>
            <sz val="9"/>
            <rFont val="宋体"/>
            <charset val="134"/>
          </rPr>
          <t xml:space="preserve">
劳务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E59" authorId="0">
      <text>
        <r>
          <rPr>
            <sz val="9"/>
            <rFont val="宋体"/>
            <charset val="134"/>
          </rPr>
          <t>20240103下午工伤
按照工伤保险条例第五章三十三条规定：在停工留薪期内，原工资福利待遇不变，由所在单位按月支付。</t>
        </r>
      </text>
    </comment>
  </commentList>
</comments>
</file>

<file path=xl/sharedStrings.xml><?xml version="1.0" encoding="utf-8"?>
<sst xmlns="http://schemas.openxmlformats.org/spreadsheetml/2006/main" count="2676" uniqueCount="963">
  <si>
    <r>
      <rPr>
        <b/>
        <sz val="26"/>
        <rFont val="楷体"/>
        <charset val="134"/>
      </rPr>
      <t>江西柯美纸业有限公司岗位编制表（正式生产期）</t>
    </r>
    <r>
      <rPr>
        <b/>
        <sz val="18"/>
        <rFont val="楷体"/>
        <charset val="134"/>
      </rPr>
      <t xml:space="preserve">
                                                                      </t>
    </r>
    <r>
      <rPr>
        <sz val="10"/>
        <rFont val="楷体"/>
        <charset val="134"/>
      </rPr>
      <t>更新时间：2026年8月27日</t>
    </r>
  </si>
  <si>
    <t>序号</t>
  </si>
  <si>
    <t>部门</t>
  </si>
  <si>
    <t>岗位</t>
  </si>
  <si>
    <t>编制人数</t>
  </si>
  <si>
    <t>现有人数</t>
  </si>
  <si>
    <t>缺编人数</t>
  </si>
  <si>
    <t>目前在岗人员</t>
  </si>
  <si>
    <t>备注</t>
  </si>
  <si>
    <t>/</t>
  </si>
  <si>
    <t>董事长</t>
  </si>
  <si>
    <t>刘翔</t>
  </si>
  <si>
    <t>合计：</t>
  </si>
  <si>
    <t>总经办</t>
  </si>
  <si>
    <t>总经理</t>
  </si>
  <si>
    <t>贾少军</t>
  </si>
  <si>
    <t>总经理助理/总经办主任</t>
  </si>
  <si>
    <t>漆江峘</t>
  </si>
  <si>
    <t>项目部</t>
  </si>
  <si>
    <t>副总</t>
  </si>
  <si>
    <t>陶祥存</t>
  </si>
  <si>
    <t>工艺经理</t>
  </si>
  <si>
    <t>机械经理</t>
  </si>
  <si>
    <t>电仪经理</t>
  </si>
  <si>
    <t>项目助理</t>
  </si>
  <si>
    <t>财务部</t>
  </si>
  <si>
    <t>财务总监</t>
  </si>
  <si>
    <t>冯涛</t>
  </si>
  <si>
    <t>会计主管</t>
  </si>
  <si>
    <t>李强</t>
  </si>
  <si>
    <t>成本会计</t>
  </si>
  <si>
    <t>税务会计兼出纳</t>
  </si>
  <si>
    <t>杨新萍</t>
  </si>
  <si>
    <t>销售会计</t>
  </si>
  <si>
    <t>会计助理</t>
  </si>
  <si>
    <t>吴小燕</t>
  </si>
  <si>
    <t>应付往来会计</t>
  </si>
  <si>
    <t>五金仓库</t>
  </si>
  <si>
    <t>五金仓库主管</t>
  </si>
  <si>
    <t>刘卫翔</t>
  </si>
  <si>
    <t>仓管员</t>
  </si>
  <si>
    <t>康长樱</t>
  </si>
  <si>
    <t>叉车司机</t>
  </si>
  <si>
    <t>司磅员</t>
  </si>
  <si>
    <t>销售部</t>
  </si>
  <si>
    <t>销售总监</t>
  </si>
  <si>
    <t>乐志伟</t>
  </si>
  <si>
    <t>跟单主管</t>
  </si>
  <si>
    <t>林娜</t>
  </si>
  <si>
    <t>跟单员</t>
  </si>
  <si>
    <t>熊敏</t>
  </si>
  <si>
    <t>物流专责</t>
  </si>
  <si>
    <t>销售助理</t>
  </si>
  <si>
    <t>销售员</t>
  </si>
  <si>
    <t>陈礼斌、刘桥</t>
  </si>
  <si>
    <t>刘桥目前在铭和</t>
  </si>
  <si>
    <t>成品仓库</t>
  </si>
  <si>
    <t>成品仓库主管</t>
  </si>
  <si>
    <t>王巍</t>
  </si>
  <si>
    <t>目前在铭和</t>
  </si>
  <si>
    <t>开单员</t>
  </si>
  <si>
    <t>扫码员</t>
  </si>
  <si>
    <t>入库员</t>
  </si>
  <si>
    <t>抱车司机</t>
  </si>
  <si>
    <t>采购部</t>
  </si>
  <si>
    <t>采购总监</t>
  </si>
  <si>
    <t>周汉伟</t>
  </si>
  <si>
    <t>采购主管</t>
  </si>
  <si>
    <t>陈可</t>
  </si>
  <si>
    <t>设备采购员</t>
  </si>
  <si>
    <t>贺峰</t>
  </si>
  <si>
    <t>废纸采购员</t>
  </si>
  <si>
    <t>采购文员</t>
  </si>
  <si>
    <t>人资行政部</t>
  </si>
  <si>
    <t>人资行政总监</t>
  </si>
  <si>
    <t>人资行政经理</t>
  </si>
  <si>
    <t>人资专员</t>
  </si>
  <si>
    <t>刘萍萍</t>
  </si>
  <si>
    <t>行政专员</t>
  </si>
  <si>
    <t>陈立莎</t>
  </si>
  <si>
    <t>保安员</t>
  </si>
  <si>
    <t>王世红、彭泽江、杨启奎</t>
  </si>
  <si>
    <t>目前只有1人愿意来莲花</t>
  </si>
  <si>
    <t>保洁</t>
  </si>
  <si>
    <t>厨师</t>
  </si>
  <si>
    <t>贺三龙</t>
  </si>
  <si>
    <t>厨工</t>
  </si>
  <si>
    <t>彭承艳</t>
  </si>
  <si>
    <t>行政司机</t>
  </si>
  <si>
    <t>李世厅</t>
  </si>
  <si>
    <t>安环部</t>
  </si>
  <si>
    <t>安环主管</t>
  </si>
  <si>
    <t>安全员</t>
  </si>
  <si>
    <t>林城魏</t>
  </si>
  <si>
    <t>资料员</t>
  </si>
  <si>
    <t>质检部</t>
  </si>
  <si>
    <t>质检经理</t>
  </si>
  <si>
    <t>程刚</t>
  </si>
  <si>
    <t>成品质检主管</t>
  </si>
  <si>
    <t>刘义田</t>
  </si>
  <si>
    <t>目前在项目部</t>
  </si>
  <si>
    <t>废纸质检主管</t>
  </si>
  <si>
    <t>成品质检班长</t>
  </si>
  <si>
    <t>李运兰</t>
  </si>
  <si>
    <t>废纸质检班长</t>
  </si>
  <si>
    <t>成品质检员</t>
  </si>
  <si>
    <t>废纸质检员</t>
  </si>
  <si>
    <t>过磅员</t>
  </si>
  <si>
    <t>煤炭检验</t>
  </si>
  <si>
    <t>浆检</t>
  </si>
  <si>
    <t>统计员</t>
  </si>
  <si>
    <t>污水处理站</t>
  </si>
  <si>
    <t>站长</t>
  </si>
  <si>
    <t>邬汉平</t>
  </si>
  <si>
    <t>运行主任</t>
  </si>
  <si>
    <t>戴志江</t>
  </si>
  <si>
    <t>化验员</t>
  </si>
  <si>
    <t>加药工</t>
  </si>
  <si>
    <t>DCS</t>
  </si>
  <si>
    <t>压泥工</t>
  </si>
  <si>
    <t>运行专责</t>
  </si>
  <si>
    <t>黎小斌、朱小龙、欧忠生</t>
  </si>
  <si>
    <t>热电站</t>
  </si>
  <si>
    <t>总监</t>
  </si>
  <si>
    <t>罗潜</t>
  </si>
  <si>
    <t>王景</t>
  </si>
  <si>
    <t>副站长</t>
  </si>
  <si>
    <t>赖永江</t>
  </si>
  <si>
    <t>汽机主管</t>
  </si>
  <si>
    <t>袁庆丰</t>
  </si>
  <si>
    <t>电气主管</t>
  </si>
  <si>
    <t>脱硫班长</t>
  </si>
  <si>
    <t>急</t>
  </si>
  <si>
    <t>锅炉主管</t>
  </si>
  <si>
    <t>张治忠</t>
  </si>
  <si>
    <t>值长</t>
  </si>
  <si>
    <t>皮德江</t>
  </si>
  <si>
    <t>统计资料员</t>
  </si>
  <si>
    <t>化水班长</t>
  </si>
  <si>
    <t>机修班长</t>
  </si>
  <si>
    <t>王贵昆</t>
  </si>
  <si>
    <t>机修工</t>
  </si>
  <si>
    <t>仪表工程师</t>
  </si>
  <si>
    <t>电工</t>
  </si>
  <si>
    <t>刘铁军</t>
  </si>
  <si>
    <t>锅炉运行班班长</t>
  </si>
  <si>
    <t>陈石文</t>
  </si>
  <si>
    <t>锅炉运行班主值</t>
  </si>
  <si>
    <t>锅炉运行班副值（炉本体、辅机）</t>
  </si>
  <si>
    <t>汽机运行班班长</t>
  </si>
  <si>
    <t>汽机运行班主值</t>
  </si>
  <si>
    <t>汽机运行班副值</t>
  </si>
  <si>
    <t>电气运行班班长</t>
  </si>
  <si>
    <t>电气运行班主值</t>
  </si>
  <si>
    <t>输煤班班长</t>
  </si>
  <si>
    <t>次急</t>
  </si>
  <si>
    <t>铲车司机</t>
  </si>
  <si>
    <t>皮带操作工</t>
  </si>
  <si>
    <t>供排水值班员（兼值班化验员）</t>
  </si>
  <si>
    <t>脱硫、脱硝值班员</t>
  </si>
  <si>
    <t>生产部</t>
  </si>
  <si>
    <t>邹金艳</t>
  </si>
  <si>
    <t>电气仪表车间</t>
  </si>
  <si>
    <t>电仪主任</t>
  </si>
  <si>
    <t>电仪主管/经理</t>
  </si>
  <si>
    <t>段伟</t>
  </si>
  <si>
    <t>维修人员（长白班）</t>
  </si>
  <si>
    <t>班长</t>
  </si>
  <si>
    <t>向飞、阳明初</t>
  </si>
  <si>
    <t>电仪工程师</t>
  </si>
  <si>
    <t>肖斌</t>
  </si>
  <si>
    <t>巡检电工</t>
  </si>
  <si>
    <t>贺鹏、王波</t>
  </si>
  <si>
    <t>机修车间</t>
  </si>
  <si>
    <t>主任</t>
  </si>
  <si>
    <t>严金理</t>
  </si>
  <si>
    <t>副主任</t>
  </si>
  <si>
    <t>龚科潜</t>
  </si>
  <si>
    <t>5600/4600+3960+2880</t>
  </si>
  <si>
    <t>机修主管</t>
  </si>
  <si>
    <t>液压工程师</t>
  </si>
  <si>
    <t>文伟萍</t>
  </si>
  <si>
    <t>机械工程师</t>
  </si>
  <si>
    <t>要求同时可顶副主任用</t>
  </si>
  <si>
    <t>机械技术员</t>
  </si>
  <si>
    <t>刘航慧</t>
  </si>
  <si>
    <t>5600纸机巡检+污水站巡检</t>
  </si>
  <si>
    <t>杨战</t>
  </si>
  <si>
    <t>目前在支援污水站建设</t>
  </si>
  <si>
    <t>4600+3960+2880纸机巡检</t>
  </si>
  <si>
    <t>制浆巡检</t>
  </si>
  <si>
    <t>巡检调班</t>
  </si>
  <si>
    <t>既可调制浆又可调造纸</t>
  </si>
  <si>
    <t>磨刀工</t>
  </si>
  <si>
    <t>磨3台复卷机刀</t>
  </si>
  <si>
    <t>钳工专责</t>
  </si>
  <si>
    <t>赖长春</t>
  </si>
  <si>
    <t>需有电焊工证，具有一定的焊接水平</t>
  </si>
  <si>
    <t>钳工</t>
  </si>
  <si>
    <t>贺小兵</t>
  </si>
  <si>
    <t>纸机2个、制浆1个、电站1个</t>
  </si>
  <si>
    <t>制浆车间</t>
  </si>
  <si>
    <t>经理</t>
  </si>
  <si>
    <t>魏维久（主管/经理）</t>
  </si>
  <si>
    <t>主管</t>
  </si>
  <si>
    <t>施建林（主管）</t>
  </si>
  <si>
    <t>所列人员不包含轻渣与转运人员</t>
  </si>
  <si>
    <t>谢琼（班长）</t>
  </si>
  <si>
    <t>碎浆工</t>
  </si>
  <si>
    <t>制浆工</t>
  </si>
  <si>
    <t>上料司机</t>
  </si>
  <si>
    <t>普工</t>
  </si>
  <si>
    <t>5600编制人数</t>
  </si>
  <si>
    <t>4600编制人数</t>
  </si>
  <si>
    <t>纸机车间</t>
  </si>
  <si>
    <t>纸机主管</t>
  </si>
  <si>
    <t>王隆春</t>
  </si>
  <si>
    <t>纸机班长</t>
  </si>
  <si>
    <t>张练、李纯强</t>
  </si>
  <si>
    <t>湿部专责</t>
  </si>
  <si>
    <t>湿部助手</t>
  </si>
  <si>
    <t>卷取专责</t>
  </si>
  <si>
    <t>王俊</t>
  </si>
  <si>
    <t>干部助手</t>
  </si>
  <si>
    <t>表胶专责</t>
  </si>
  <si>
    <t>复卷专责</t>
  </si>
  <si>
    <t>复卷助手</t>
  </si>
  <si>
    <t>辅料专职</t>
  </si>
  <si>
    <t>淀粉工</t>
  </si>
  <si>
    <t>总计</t>
  </si>
  <si>
    <t>配备总人数</t>
  </si>
  <si>
    <t>现有总人数</t>
  </si>
  <si>
    <t>缺编总人数</t>
  </si>
  <si>
    <t>注：
1.大学生招聘：2026年对口专业为电气、机械、化工毕业生，作为储备生产人才！</t>
  </si>
  <si>
    <t>2.以上红底岗位是稍微较急岗位！</t>
  </si>
  <si>
    <r>
      <rPr>
        <b/>
        <sz val="18"/>
        <color theme="1"/>
        <rFont val="微软雅黑"/>
        <charset val="134"/>
      </rPr>
      <t>柯美纸业岗位招聘进度表（第三季度）</t>
    </r>
    <r>
      <rPr>
        <b/>
        <sz val="14"/>
        <color theme="1"/>
        <rFont val="微软雅黑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</si>
  <si>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更新时间：2026年8月27日</t>
  </si>
  <si>
    <t>岗位名称</t>
  </si>
  <si>
    <t>任职要求</t>
  </si>
  <si>
    <t>完成情况</t>
  </si>
  <si>
    <t>预计到岗时间</t>
  </si>
  <si>
    <t>有意向返岗人员</t>
  </si>
  <si>
    <t>学历</t>
  </si>
  <si>
    <t>年龄</t>
  </si>
  <si>
    <t>专业</t>
  </si>
  <si>
    <t>工作经验</t>
  </si>
  <si>
    <t>√</t>
  </si>
  <si>
    <t>总经理助理</t>
  </si>
  <si>
    <t>本科</t>
  </si>
  <si>
    <t>25-40</t>
  </si>
  <si>
    <t>财务管理/会计学</t>
  </si>
  <si>
    <t>3年以上制造企业财务主管会计工作经验，有造纸行业会计经验优先</t>
  </si>
  <si>
    <t>3年以上制造企业财务会计工作经验，有造纸行业会计经验优先</t>
  </si>
  <si>
    <t>原成本会计袁子红没有返岗意向，需在投产前1个月到岗，培训上岗。</t>
  </si>
  <si>
    <t>1月6号已面试的钟玉洁，会计经验比较全面，年后人资谈待遇，春节收假后安排到岗，项目期全职会计，不分具体会计岗位，投产后根据工作适应情况，转总账会计或成本会计。</t>
  </si>
  <si>
    <t>25-30</t>
  </si>
  <si>
    <t>2年以上制造企业财务会计工作经验</t>
  </si>
  <si>
    <t>投产前一个月到岗，培训上岗。</t>
  </si>
  <si>
    <t>可招毕业的培训生，提前到岗学习培训</t>
  </si>
  <si>
    <t>1年以上财务会计工作经验</t>
  </si>
  <si>
    <t>项目进入安装阶段，招聘到岗</t>
  </si>
  <si>
    <t>大专</t>
  </si>
  <si>
    <t>30-45</t>
  </si>
  <si>
    <t>不限</t>
  </si>
  <si>
    <t>5年以上制造企业五金材料仓库管理工作经验，会开叉车或有叉车证的优先</t>
  </si>
  <si>
    <t>加快招聘，新仓库的规划、老仓库的利旧搬迁，都要具体管理规化和安排</t>
  </si>
  <si>
    <t>有1年以上同岗位经验优先，或财会专业的中专学历，优先考虑。</t>
  </si>
  <si>
    <t>3年以上叉车工作经验，有叉车证</t>
  </si>
  <si>
    <t>根据项目设备及材料到厂的工作需要到岗</t>
  </si>
  <si>
    <t>30-40</t>
  </si>
  <si>
    <t>5年以上</t>
  </si>
  <si>
    <t>3年以上</t>
  </si>
  <si>
    <t>45以内</t>
  </si>
  <si>
    <t>仓储物流专业</t>
  </si>
  <si>
    <t>高中</t>
  </si>
  <si>
    <t>大专及以上</t>
  </si>
  <si>
    <t>40以内</t>
  </si>
  <si>
    <t>有设备采购经验</t>
  </si>
  <si>
    <t>有废纸采购经验</t>
  </si>
  <si>
    <t>有一定工作经验，熟练使用各种办公软件</t>
  </si>
  <si>
    <t>25-32</t>
  </si>
  <si>
    <t>人力资源、行政管理专业</t>
  </si>
  <si>
    <t>3-5年工作经验</t>
  </si>
  <si>
    <t>有1人愿意从老厂过来</t>
  </si>
  <si>
    <t>50以内</t>
  </si>
  <si>
    <t>有相关工作经验</t>
  </si>
  <si>
    <t>5年以上工作经验</t>
  </si>
  <si>
    <t>司机</t>
  </si>
  <si>
    <t>环境工程专业</t>
  </si>
  <si>
    <t>30-40岁</t>
  </si>
  <si>
    <t>资料收集员</t>
  </si>
  <si>
    <t>35岁以内</t>
  </si>
  <si>
    <t>大专以上</t>
  </si>
  <si>
    <t>45岁以下</t>
  </si>
  <si>
    <t>有污水处理工作经验优先考虑</t>
  </si>
  <si>
    <t>高中以上</t>
  </si>
  <si>
    <t>食品/水质检验</t>
  </si>
  <si>
    <t>一年以上食品/污水水质检验经验</t>
  </si>
  <si>
    <t>初中以上</t>
  </si>
  <si>
    <t>从事过一年以上市政污水或造纸污水处理运行工作经验优先</t>
  </si>
  <si>
    <t>35岁左右</t>
  </si>
  <si>
    <t>热能与动力</t>
  </si>
  <si>
    <t>40岁以下</t>
  </si>
  <si>
    <t>邓绍国</t>
  </si>
  <si>
    <t>生产部（电气仪表车间）</t>
  </si>
  <si>
    <t>机电</t>
  </si>
  <si>
    <t>中专</t>
  </si>
  <si>
    <t>传动工程师</t>
  </si>
  <si>
    <t>要有电工证</t>
  </si>
  <si>
    <t>生产部（机修车间）</t>
  </si>
  <si>
    <t>中专以上</t>
  </si>
  <si>
    <t>机械</t>
  </si>
  <si>
    <t>5-10年</t>
  </si>
  <si>
    <t>初中</t>
  </si>
  <si>
    <t>生产部（制浆车间）</t>
  </si>
  <si>
    <t>制浆造纸</t>
  </si>
  <si>
    <t>谢琼</t>
  </si>
  <si>
    <t>2年</t>
  </si>
  <si>
    <t xml:space="preserve">生产部（纸机车间）   </t>
  </si>
  <si>
    <t>3年</t>
  </si>
  <si>
    <t>郭文才</t>
  </si>
  <si>
    <t>1年</t>
  </si>
  <si>
    <t>注：√表示已完成，◪表示完成部分，×表示未完成。</t>
  </si>
  <si>
    <t>岗位招聘要求及薪酬待遇</t>
  </si>
  <si>
    <t>岗位职责及任职资格</t>
  </si>
  <si>
    <t>学历要求</t>
  </si>
  <si>
    <t>工作年限</t>
  </si>
  <si>
    <t>年龄要求</t>
  </si>
  <si>
    <t>薪资待遇（月）</t>
  </si>
  <si>
    <t>特殊要求</t>
  </si>
  <si>
    <t>1、协助总经理开展管理工作，
协助决策与计划：协助总经理制定战略计划、年度经营计划及各阶段工作目标分解，起草公司各阶段工作总结和其他正式文件6
日常事务管理：负责办公室全面工作，协助总经理处理日常事务，做好工作日程安排和预约工作，及时提醒日常行程15
文件与会议管理：负责文件分类呈送、审批流转，做好重要会议记录，撰写报告、文件，组织会议并做好会议纪要16
协调与督导：与各部门沟通协调，确保工作计划推进落实，协助总经理对部门工作予以督导、协调5</t>
  </si>
  <si>
    <t>10-15年</t>
  </si>
  <si>
    <t>35-45</t>
  </si>
  <si>
    <t>待定</t>
  </si>
  <si>
    <t>人资专业、有安全管理证</t>
  </si>
  <si>
    <t>人资行政</t>
  </si>
  <si>
    <t>岗位职责：
1、全面负责公司人事、行政、后勤整体管理工作，搭建完善的人事行政管理制度；
2、负责人力统筹、人员招聘、团队搭建、考勤薪酬、绩效考核、员工关系、劳资纠纷处理；
3、负责企业文化、员工培训、人员留存、班组纪律管理，降低员工流失率；
4、统筹厂区后勤、食堂、宿舍、安保、环境卫生、车辆、物资资产管理；
5、负责公司证照、文件、会议、接待、基建维修、厂区5S综合管理；
6、制定部门年度工作计划，落地执行、复盘优化，向总经理汇报日常工作。
任职要求：
1、本科及以上学历，人力资源、行政管理相关专业；
2、3年以上工厂人事行政全盘管理经验，有造纸厂经验优先；
3、精通招聘、薪酬、绩效、社保、劳动合同及劳动法律法；。
4、熟悉工厂后勤、安保、宿舍、食堂整套管理流程；
5、具备较强统筹能力、沟通谈判能力、抗压能力和现场管理能力；
6、原则性强、执行力高、责任心强，熟悉制造业生产型企业管理模式。</t>
  </si>
  <si>
    <t>10000-15000</t>
  </si>
  <si>
    <t>造纸行业相关经验</t>
  </si>
  <si>
    <t>有食堂大锅饭经验和接待餐经验</t>
  </si>
  <si>
    <t>10年以上</t>
  </si>
  <si>
    <t>45-60</t>
  </si>
  <si>
    <t>5000-6000</t>
  </si>
  <si>
    <t>健康证</t>
  </si>
  <si>
    <t>帮厨</t>
  </si>
  <si>
    <t>略</t>
  </si>
  <si>
    <t>45-62</t>
  </si>
  <si>
    <t>保安</t>
  </si>
  <si>
    <t>主管/经理</t>
  </si>
  <si>
    <t>岗位职责：
1、负责安环部日常管理，负责起草安环管理制度，推动制度落实，安全责任书的起草并签订
2、组织安全巡检，专项检查，跟进安全整改
3、负责特种作业审批，安全培训、安全事故处理
4、废水、废气、噪音、固废全流程管控
5、消防安全检查、组织消防演练
6、厂区安全隐患排查，动火防火管理
7、对接安全管理局，做好接待管理工作
任职资格：
1、5年以上安全管理经验，1年以上安全主管经验，持有安全管理员证书2、大专及以上学历，安全工程、环境工程、化工相关专业优先</t>
  </si>
  <si>
    <t>4500-8000</t>
  </si>
  <si>
    <t>有安全员证</t>
  </si>
  <si>
    <t>岗位职责：
1、负责安全、环保、消防、培训等资料的整理与更新，建立纸质+电子档档案分类
2、整理各类政府来文，检查整改单，隐患排查单，隐患台账。安全管理制度、操作安全规程，应急管理台账
3、负责安环的证件管理，排污许可证，安全生产许可证、特种设备使用证，安全员证，等证书的及年审换证
4、劳保用品的管理、工伤事故跟进及报告，危废台账建立，排污异常跟进处理
任职资格：
1、大专及以上学历，专业不限，有1年工作经验优先
2、男女不限，有工厂资料员经验优先</t>
  </si>
  <si>
    <t>1年以上</t>
  </si>
  <si>
    <t>21-35</t>
  </si>
  <si>
    <t>3000-4500</t>
  </si>
  <si>
    <t>无</t>
  </si>
  <si>
    <t>岗位职责
1、成本核算
2、成本分析与管控
3、财务与单据管理
4、配合内外工作
任职资格：
1、大专及以上学历，会计学、财务管理、审计学等相关财务专业
2、2年以上制造企业成本会计经验
3、会使用财务软件，熟悉函数的使用</t>
  </si>
  <si>
    <t>2年以上</t>
  </si>
  <si>
    <t>4000-6000</t>
  </si>
  <si>
    <t>岗位职责：
1、销售财务核算管理
2、发票与税务相关工作
3、应收账款的管控与对账
4、销售报表与数据统计
5、跨部门协调及其他财务工作
任职资格：
1、大专及以上学历，会计学，财务管理等相关财务专业
2、1-2年及以上销售会计、应收账款相关工作经验
3、熟悉财务软件</t>
  </si>
  <si>
    <t>往来会计</t>
  </si>
  <si>
    <t>岗位职责
1、应付账款管理
2、应收账款管理
3、其他往来账务的管理
4、凭证、报表与档案管理
任职资格：
1、大专及以上学历，会计学，财务管理等相关财务专业
2、熟悉财务软件</t>
  </si>
  <si>
    <t>五金仓管</t>
  </si>
  <si>
    <t>岗位职责：
1. 负责全厂机电配件、设备耗材、五金材料、劳保用品、仪表电器、管道配件等物资的入库验收、点数核对、扫码登账；
2. 建立完善仓库台账，做到账、卡、物、数据一致，日清月结，库存准确无误；
3. 根据车间、机修、电仪班组领料单，规范发料、登记、签字，严格执行领用制度；
4. 负责库存分类摆放、防潮防锈、整齐规整、物资标识清晰，定期整理货架、盘点库存；
5. 对常用备品备件、易损件进行安全库存预警，及时上报缺料、积压、报废物资；
6. 配合采购到货验收、退货、换货、对账工作，协助财务月度、季度盘点；
7. 保持仓库5S管理、卫生整洁、通道畅通，做好防火、防潮、防尘、防盗安全管理。
任职要求：
1. 高中以上学历，45岁以下，有仓库、物料管理经验或会开叉车优先；
2. 会基础电脑操作、Excel表格录入，能熟练登记台账、制作库存表；
3. 做事细心、有责任心、服从管理、能吃苦耐劳；
4. 无需工厂经验，应届生、实习生均可培养。</t>
  </si>
  <si>
    <t>18-45</t>
  </si>
  <si>
    <t>3000-4000</t>
  </si>
  <si>
    <t>男性优先</t>
  </si>
  <si>
    <t>会开叉车，安全驾驶</t>
  </si>
  <si>
    <t>20-45岁</t>
  </si>
  <si>
    <t>3500-4500</t>
  </si>
  <si>
    <t>有叉车证</t>
  </si>
  <si>
    <t>采购副经理</t>
  </si>
  <si>
    <t>（编制外储备）有合适的就推荐</t>
  </si>
  <si>
    <t>5年及以上</t>
  </si>
  <si>
    <t>5000-8000</t>
  </si>
  <si>
    <t>大厂采购管理经理</t>
  </si>
  <si>
    <t>1年以上采购经验，有废纸采购经验优先</t>
  </si>
  <si>
    <t>22-35</t>
  </si>
  <si>
    <t>沟通能力强</t>
  </si>
  <si>
    <t>会电脑</t>
  </si>
  <si>
    <t>物流员</t>
  </si>
  <si>
    <t>仓库主管</t>
  </si>
  <si>
    <t>25-45岁</t>
  </si>
  <si>
    <t>4500--6000</t>
  </si>
  <si>
    <t>21-45</t>
  </si>
  <si>
    <t>造纸DCS</t>
  </si>
  <si>
    <t xml:space="preserve">
岗位职责：
1、负责制浆、造纸生产线DCS中控操作，实时监控生产工艺参数（温度、压力、流量、浓度、水分、定量等）；
2、根据生产纸种要求调整工艺参数，稳定纸机运行，减少断纸、次品率；
3、实时监控设备运行状态，发现异常及时调整、上报、配合现场处理；
4、认真做好生产记录、交接班记录，保持参数稳定、工艺合规；
5、配合车间完成换纸种、开机、停机、洗机等操作，保障生产顺畅；
6、对化工辅料的跟踪与调整；
7、负责助手的管理，做好岗位卫生，文明生产。
8、严格遵守操作规程及安全制度，协助做好节能降耗、提质增产工作。
任职要求：
1、男，中专及以上学历，25-35岁，制浆造纸专业3-5年以上工作经验；
2、至少有两年高速低克重纸机的DCS操作经验（有玖龙、理文、东莞黄涌集团纸机DCS经验优先录用）；
3、熟悉流送系统、造纸真空系统、纸机烘干系统、密闭汽罩及热回收系统等造纸各系统的工艺流程，能看懂中控参数者优先。
4、电脑操作熟练，学习能力强，反应灵敏，心态稳定。
5、能适应倒班，服从车间管理，责任心强。
6、无重大职业病、身体健康，能长期稳定在岗。</t>
  </si>
  <si>
    <t>3-5年</t>
  </si>
  <si>
    <t>参见表五</t>
  </si>
  <si>
    <t>男</t>
  </si>
  <si>
    <t xml:space="preserve">
岗位职责：
1、负责纸机湿部工艺、浆料、白水、真空、助剂系统的日常管控与优化；
2、排查处理湿部断纸、匀度差、孔洞、脏点、留着波动等质量及生产异常，稳定机台运行；
3、负责湿部药剂使用管控、工艺技改、降本降耗、班组工艺指导、数据统计分析及现场隐患治理，保障生产优质、稳产、低耗； 
4、协助值长做好班组和岗位工作；
5、负责湿部助手的管理；
6、保障岗位人员安全、文明卫生达标。
任职要求：
1、男，高中以上学历，22-38岁，有高速纸机2-3年操作经验；
1、至少有一年高速低克重（高瓦）纸机（车速800米及以上）湿部专责操作经验；
2、有玖龙、理文、东莞黄涌集团纸机湿部操作经验优先录用；
3、能独立处理湿部质量、断纸异常，具备工艺优化与数据分析能力；
4、工作认真负责，服从管理，能适应车间生产工作节奏，具备良好沟通及现场处置能力。</t>
  </si>
  <si>
    <t>高中及以上</t>
  </si>
  <si>
    <t xml:space="preserve">
岗位职责：
1、负责纸机表面施胶系统工艺管控与优化，统筹淀粉熬制、胶液指标、施胶流量、温度及助剂配方管理；
2、负责处理施胶度不稳、施胶不匀、纸面发花、胶点、粘辊、吸水超标、强度不足等质量异常；
3、管控表胶系统设备运行、胶液过滤循环及系统清洁，杜绝堵管、变质、结皮等问题；
4、指导班组标准化操作，开展工艺优化、降本降耗、数据统计及问题闭环整改，保障纸张表面质量稳定、机台稳产低耗；
5、负责对本岗位设备检查、维护；
6、协助卷取专责做好干燥部安全生产、文明卫生工作。
任职要求：
1、男，高中以上学历，20-35岁，具有同类岗位2年左右工作经验；
2、具备造纸表胶工艺相关工作经验，熟悉淀粉熬制及表面施胶工艺；
3、能独立处理表胶质量异常、优化施胶配方及工艺参数；
4、工作严谨负责，执行力强，服从车间管理，具备良好的现场问题处置及沟通协调能力，适应车间生产工作节奏。</t>
  </si>
  <si>
    <t xml:space="preserve">
岗位职责：
1、负责纸机卷取工序工艺管控与质量优化，统筹卷取张力、压辊压力、锥度、车速匹配、分切修边等关键参数；
2、专治纸卷松紧不均、跑偏、褶子、鼓包、端面不齐、爆卷、错层等质量异常；
3、监督班组标准化引纸、换卷、封卷作业，降低卷取断纸与废卷损耗；
4、负责卷取区域隐患排查、工艺技改、数据统计、降本增效及现场6S安全管理，保障成品纸卷质量达标、生产稳产高效。
任职要求：
1、男，高中以上学历，20-45岁，具有同类岗位3年左右工作经验； 
2、熟悉纸机卷取工艺流程与参数原理，具备卷取工艺管理经验；
3、能独立处理各类纸卷质量异常、优化卷取工艺；
4、工作严谨负责、反应灵敏、执行力强，具备良好现场处置与沟通能力，适应车间生产节奏。</t>
  </si>
  <si>
    <t>制浆DCS专责</t>
  </si>
  <si>
    <t xml:space="preserve">
岗位职责：
1、负责全厂制浆工段工艺管控与浆料质量优化，统筹碎浆、磨浆、筛选、净化、配浆及制浆药剂管理；
2、负责整改打浆度不稳、纤维指标异常、浆料杂质高、滤水性差、强度波动等问题；
3、监督班组标准化制浆、排渣、洗浆作业，降低渣耗、电耗与浆料损耗；
4、负责制浆系统隐患排查、工艺技改、数据统计、降本增效及现场安全管理，稳定浆料品质，保障纸机连续稳产。
任职要求：
1、男，高中以上学历，20-45岁，具有同类岗位2年左右工作经验；
2、熟悉制浆系统的DCS操作 有KATAN制浆系统的操作经验优先；
3、至少有半年600吨/天废纸制浆系统操作经验；
2、能独立处理浆料质量异常、优化制浆及配浆工艺；
3、工作认真严谨、执行力强，具备良好的现场处置与沟通能力，三班倒，适应车间生产工作节奏，待遇面议。</t>
  </si>
  <si>
    <t>1-3年</t>
  </si>
  <si>
    <t>制浆班长</t>
  </si>
  <si>
    <t xml:space="preserve">
岗位职责：
1、全面负责制浆工段当班生产组织、人员管理、设备巡检、工艺执行与浆料质量管控；
2、严格落实碎浆、磨浆、筛选、净化、配浆标准化作业，及时处置浆料异常、设备故障、生产隐患；
3、负责班组安全生产、纪律管理、现场安全管理、降本降耗及台账交接工作，保障纸机浆料供应稳定、当班生产安全优质、稳产低耗。
任职要求：
1、男，20-45岁，大专及以上学历，具备5年及以上制浆岗位工作经验，熟悉制浆工艺流程及设备操作；
2、熟练处理制浆常见异常，具备班组现场管理与协调能力；
3、工作踏实负责、执行力强、安全意识高，能适应倒班生产，服从车间各项管理安排。</t>
  </si>
  <si>
    <t xml:space="preserve">
岗位职责：
1、负责厂区成品纸卷、原料、辅料、托盘的转运、入库、出库及堆垛作业；
2、严格遵守叉车安全操作规程，平稳规范作业，杜绝纸卷磕碰损坏及厂区安全事故；
3、负责叉车日常点检、清洁、保养及故障上报，保持作业区域通道畅通、现场整洁；
4、服从调度安排，配合车间与仓库生产衔接，做好物资交接、台账记录及现场安全管理，保障厂区生产、仓储转运安全有序。
任职要求：
1、男，20-45岁，初中及以上学历，持有有效叉车特种作业操作证；
2、具备一年以上叉车驾驶实操经验，熟练掌握堆垛、装卸、转运作业技能；
3、安全意识强，操作稳重规范，无违章事故记录；
4、服从厂区管理，责任心强，能适应倒班及厂区机动作业。</t>
  </si>
  <si>
    <t>初中及以上</t>
  </si>
  <si>
    <t xml:space="preserve">
岗位职责：
1、全面负责锅炉车间生产运行、安全管理、设备维保、环保达标及班组管理；
2、统筹锅炉系统稳定供汽，优化燃烧工艺，控制煤耗、电耗指标；
3、负责锅炉及辅机、脱硫脱硝、除尘设备日常隐患排查、检修整改；
4、落实特种设备安全管理制度、规范岗位操作、组织安全培训及应急演练；
5、负责车间安全生产管理、能耗管控、技改降本、台账资料管理，保障全厂用汽稳定、安全、环保、低耗运行；
6、完成上级领导交办的其他工作。
任职要求：
1、男，20-45岁，大专及以上学历，持有有效锅炉安全管理A证；
2、具备三年以上锅炉运行管理经验，熟悉锅炉设备、燃烧工艺及环保运行标准；
3、能独立处理锅炉各类故障与运行异常，具备现场管理、安全管控与节能优化能力；
4、责任心强、管理执行力强，服从公司管理，能适应生产车间工作模式。</t>
  </si>
  <si>
    <t>汽机值长</t>
  </si>
  <si>
    <t xml:space="preserve">
岗位职责：
1、全面负责汽机班组当班机组运行、供汽供热、设备管控、安全管理与人员调度；
2、负责监控汽机各项运行参数，根据生产负荷优化机组运行方式，平衡全厂热电负荷；
3、排查处置汽机振动、真空、温度、压力异常及设备故障，规范落实两票三制与设备巡检制度；
4、负责班组培训、节能降耗、台账记录、检修配合及交接班管理，保障机组安全、稳定、经济运行，满足全厂生产供汽用电需求。
任职要求：
1、男，20-45岁，大专及以上学历，热能动力相关专业优先；
2、具备三年以上汽机运行经验、一年以上带班经验，熟悉汽轮机组及供热系统运行原理；
3、能独立操作机组、处理各类运行异常、统筹当班生产；
4、安全意识强、责任心重、指挥协调能力强，能够适应热电车间倒班工作。</t>
  </si>
  <si>
    <t xml:space="preserve">
岗位职责：
1、全面负责化水车间当班制水运行、水质管控、设备巡检、药剂管理及班组日常管理；
2、严格监控除盐水、循环水各项水质指标，规范设备制水、再生、清洗、加药操作，及时处理水质超标、设备异常问题；
3、负责危化品安全管理、班组培训、降本降耗、台账记录、隐患排查及现场安全管理，保障全厂锅炉用水、生产用水稳定合格、安全低耗运行。
任职要求：
1、男，20-45岁，中专及以上学历，具备两年以上化水岗位工作经验，熟悉反渗透、超滤、EDI及锅炉水处理工艺；
2、熟练掌握水质调整、设备操作及异常处置技能，了解危化品安全管理规范；
3、工作严谨负责、执行力强、安全意识高，具备班组协调管理能力，能适应倒班生产。</t>
  </si>
  <si>
    <t>中专及以上</t>
  </si>
  <si>
    <t>汽机班长</t>
  </si>
  <si>
    <t xml:space="preserve">
岗位职责：
1、全面负责汽机班组当班机组运行、设备巡检、参数调整、供汽保障及班组管理；
2、严格执行汽机安全操作规程，统筹机组负荷、抽汽供热、给水、真空系统稳定运行，及时处置设备故障与运行异常；
3、负责班组安全管控、标准化操作、节能降耗、检修配合、台账记录、应急处置及现场安全管理，确保机组安全、稳定、经济运行，保障全厂生产用汽用电需求。
任职要求：
1、男，20-45岁，中专及以上学历，具备两年以上汽机运行经验、一年以上带班经验，熟悉汽轮机组及供热系统操作与运行标准；
2、能够独立处理机组异常、调整运行工况、管控班组生产安全；
3、工作严谨负责、执行力强、安全意识高，具备良好现场指挥与协调能力，能适应倒班生产。</t>
  </si>
  <si>
    <t>应付会计</t>
  </si>
  <si>
    <t xml:space="preserve">
岗位职责：
1、负责公司采购应付账款核算、发票审核、供应商对账、付款审核及往来账务管理；
2、负责应付台账登记、账龄分析、暂估账务处理、费用报销审核，按月完成账务结账与报表统计；
3、规范财务票据及资料归档，清理往来挂账，把控付款合规性、账务准确性，配合完成财务核算、审计及日常对接工作，保障企业往来账务清晰合规。
任职要求：
1、大专及以上财务会计相关专业，持有会计职称证书优先；
2、具备两年以上制造企业应付会计工作经验，熟悉企业会计准则及税务基础知识；
3、熟练账务处理、对账及办公、财务软件操作；
4、工作严谨细致、原则性强、保密意识高，具备良好沟通能力，服从工作安排。</t>
  </si>
  <si>
    <t>2年及以上</t>
  </si>
  <si>
    <t>25-30岁</t>
  </si>
  <si>
    <t>五金仓管主管</t>
  </si>
  <si>
    <t xml:space="preserve">
岗位职责：
1、全面负责五金备品备件仓库日常管理、物资验收、入库储存、出库领用、库存盘点及账实管控；
2、规范仓库物资分类定置、防潮防尘、安全存放，管控物资合理库存、杜绝缺件停机与物资积压；
3、负责呆滞物资清理、仓库安全卫生管理、消防安全、班组管理及台账报表工作，对接采购、财务与各生产车间，保障全厂维修物资供应及时、准确、低耗、合规；
4、建立和完善仓储管理体系；
5、完成领导交代的其他工作。
任职要求：
1、大专及以上学历，具备三年以上制造企业五金仓储管理经验，熟悉工厂备品备件管理流程（会开叉车或有叉车证的优先）。
2、熟练掌握仓库出入库操作、盘点管控、ERP系统及办公软件操作。
3、细心严谨、原则性强，具备库存统筹、班组管理及沟通协调能力，服从管理、责任心强。</t>
  </si>
  <si>
    <t>30-45岁</t>
  </si>
  <si>
    <t>采购跟单</t>
  </si>
  <si>
    <t xml:space="preserve">
岗位职责：
1、负责公司各类采购物资订单下达、交期跟踪、到货跟进及入库对接工作；
2、全程跟踪物料发货、物流、到货状态，及时处理缺料、延期、质量、数量异常及退换货事宜；
3、负责采购单据整理、台账统计、月度对账、供应商日常对接与资料归档；
4、保障生产物资及时供应、流程规范、数据准确，配合部门完成采购管理与降本增效工作。
任职要求。
1、大专及以上学历，具备一年以上工厂采购跟单经验，熟悉采购流程及物料跟进工作；
2、熟练使用办公软件及ERP系统，具备良好沟通协调、异常处理及数据统计能力；
3、工作认真细致、执行力强、责任心重、抗压能力好，服从公司管理。</t>
  </si>
  <si>
    <t>机修</t>
  </si>
  <si>
    <t>岗位职责：
1、负责造纸、制浆、污水车间机械设备技术管理、日常点检、状态跟踪、隐患排查；
2、制定设备保养计划、大修计划、备件更换计划，指导机修班组开展设备维保工作；
3、负责设备故障分析、数据统计，制定预防措施，降低设备故障率和停机时间；
4、参与设备技改、改造、升级、新设备安装调试、工艺优化及验收工作；
5、负责机械设备台账、技术资料、维修记录整理归档，规范设备管理；
6、协助车间优化设备运行参数，改善设备运行稳定性、提升生产效率。
任职要求：
1、中专/大专及以上，机械制造、机电一体化、设备管理相关专业；
2、5年以上制造业设备技术经验，有造纸厂设备管理经验优先；
3、熟悉纸机、制浆设备结构原理，能看懂机械图纸、熟悉设备维保流程；
4、具备故障分析、技改优化、计划编制能力，能指导现场维修作业；
5、工作细致、责任心强、具备良好沟通能力和现场统筹能力。</t>
  </si>
  <si>
    <t>25-35岁</t>
  </si>
  <si>
    <t>岗位职责：
1、负责制浆、造纸、复卷、污水处理全线机械设备日常巡检、保养、维修及隐患排查；
2、负责纸机辊筒、轴承、减速机、真空泵、筛浆设备、泵体、管道、链条传动等机械设备故障抢修；
3、负责设备润滑、紧固、换件、校正、防腐保养，减少设备磨损及停机故障；
4、配合车间设备技改、拆装、改造、保养计划落实，保证设备正常开机；
5、严格遵守安全操作规程，做好维修记录、设备台账及现场卫生安全管理。
任职要求：
1、初中及以上学历，有机械厂、造纸厂机修经验优先；
2、熟悉造纸设备结构原理，能独立处理机械异响、震动、渗漏、磨损等常见故障；
3、熟练电焊、气割、拆装、校正等基础机修技能，会看简单机械图纸优先；
4、能吃苦耐劳、动手能力强、服从管理、责任心强；
5、能适应车间高温、潮湿、粉尘环境，接受倒班及突发抢修。</t>
  </si>
  <si>
    <t>20-40岁</t>
  </si>
  <si>
    <t>自动化工程师</t>
  </si>
  <si>
    <t>电仪</t>
  </si>
  <si>
    <t>岗位职责：
1、负责造纸、制浆、污水车间PLC、DCS、变频器、自控仪表、上位系统日常运维、故障排查与抢修；
2、负责纸机、浆线自控程序调试、备份、修改与优化，改善断纸、张力、温度、压力、浓度等工艺控制问题；
3、负责全厂自控仪表校准、维护、信号排查，保证生产数据、连锁保护稳定可靠；
4、参与设备自动化技改、升级、新项目安装调试、验收对接；
5、建立自控设备台账、备件管理、故障分析，保障产线自动化稳定运行。
任职要求：
1、大专及以上学历，电气自动化、机电一体化、自控相关专业；
2、1年以上工厂自动化运维经验，有造纸行业经验优先；
3、熟练西门子/三菱/欧姆龙PLC、组态、变频器、通讯故障排查，能独立改程序、调参数；
4、熟悉纸机、制浆工艺自控逻辑、定量水分、张力控制者优先；
5、责任心强，安全意识高，能适应车间生产环境及突发抢修，可倒班。</t>
  </si>
  <si>
    <t>电仪工</t>
  </si>
  <si>
    <t>岗位职责：
1、负责造纸、制浆、污水车间电气、仪表设备日常巡检、保养、检修、故障抢修；
2、负责高低压柜、电机、线路、变频器、现场仪表、自控阀门的维修与维护；
3、负责温度、压力、液位、流量、PH、浓度等工艺仪表校准、调试与更换；
4、配合自动化系统检修、技改、线路整改，保障生产线稳定运行；
5、严格执行安全作业规范，做好设备台账、隐患排查及日常维保工作。
任职要求：
1、本科及以上学历，机电、电气、仪表相关专业优先；
2、持有低压电工证，有工厂、造纸厂电仪维修经验优先；
3、能独立处理电气线路、电机、常规仪表故障，看懂基本电路图；
4、熟悉车间电气安全操作，吃苦耐劳，责任心强；
5、能适应车间生产环境，接受倒班及突发设备抢修。</t>
  </si>
  <si>
    <t>本科及以上</t>
  </si>
  <si>
    <t>江西柯美纸业有限公司 生产系统三班倒（26天）</t>
  </si>
  <si>
    <t>工资结构（26天3班倒）（不含餐补）</t>
  </si>
  <si>
    <t>5600配备人员</t>
  </si>
  <si>
    <t>4600配备人员</t>
  </si>
  <si>
    <t>3960配备人员</t>
  </si>
  <si>
    <t>工种</t>
  </si>
  <si>
    <t>基本工资（所有人员均按此标准分拆）</t>
  </si>
  <si>
    <r>
      <rPr>
        <b/>
        <sz val="11"/>
        <color theme="1"/>
        <rFont val="楷体"/>
        <charset val="134"/>
      </rPr>
      <t xml:space="preserve">最低
</t>
    </r>
    <r>
      <rPr>
        <sz val="10"/>
        <color theme="1"/>
        <rFont val="楷体"/>
        <charset val="134"/>
      </rPr>
      <t>（黄底为邹总建议）</t>
    </r>
  </si>
  <si>
    <t>老厂+10%</t>
  </si>
  <si>
    <t>26天+2天加班费</t>
  </si>
  <si>
    <r>
      <rPr>
        <b/>
        <sz val="11"/>
        <color theme="1"/>
        <rFont val="楷体"/>
        <charset val="134"/>
      </rPr>
      <t xml:space="preserve">最低
</t>
    </r>
    <r>
      <rPr>
        <b/>
        <sz val="10"/>
        <color theme="1"/>
        <rFont val="楷体"/>
        <charset val="134"/>
      </rPr>
      <t>（人事部）</t>
    </r>
  </si>
  <si>
    <t>28天计算</t>
  </si>
  <si>
    <r>
      <rPr>
        <b/>
        <sz val="11"/>
        <color theme="1"/>
        <rFont val="楷体"/>
        <charset val="134"/>
      </rPr>
      <t xml:space="preserve">中位
</t>
    </r>
    <r>
      <rPr>
        <sz val="10"/>
        <color theme="1"/>
        <rFont val="楷体"/>
        <charset val="134"/>
      </rPr>
      <t>（黄底为  邹总建议）</t>
    </r>
  </si>
  <si>
    <t>老厂+15%</t>
  </si>
  <si>
    <r>
      <rPr>
        <b/>
        <sz val="11"/>
        <color theme="1"/>
        <rFont val="楷体"/>
        <charset val="134"/>
      </rPr>
      <t xml:space="preserve">26天中位
</t>
    </r>
    <r>
      <rPr>
        <b/>
        <sz val="10"/>
        <color theme="1"/>
        <rFont val="楷体"/>
        <charset val="134"/>
      </rPr>
      <t>（蓝底人事修改）</t>
    </r>
  </si>
  <si>
    <r>
      <rPr>
        <b/>
        <sz val="11"/>
        <color theme="1"/>
        <rFont val="楷体"/>
        <charset val="134"/>
      </rPr>
      <t xml:space="preserve">最高
</t>
    </r>
    <r>
      <rPr>
        <sz val="10"/>
        <color theme="1"/>
        <rFont val="楷体"/>
        <charset val="134"/>
      </rPr>
      <t>（黄底为邹总建议）</t>
    </r>
  </si>
  <si>
    <t>老厂+20%</t>
  </si>
  <si>
    <r>
      <rPr>
        <b/>
        <sz val="11"/>
        <color theme="1"/>
        <rFont val="楷体"/>
        <charset val="134"/>
      </rPr>
      <t xml:space="preserve">高位
</t>
    </r>
    <r>
      <rPr>
        <b/>
        <sz val="10"/>
        <color theme="1"/>
        <rFont val="楷体"/>
        <charset val="134"/>
      </rPr>
      <t>（人事部）</t>
    </r>
  </si>
  <si>
    <t>老厂历史薪资数据202403</t>
  </si>
  <si>
    <t>3班倒人数总计</t>
  </si>
  <si>
    <t>三班倒</t>
  </si>
  <si>
    <t>固定工资</t>
  </si>
  <si>
    <t>加班费</t>
  </si>
  <si>
    <t>全勤奖</t>
  </si>
  <si>
    <t>考核工资</t>
  </si>
  <si>
    <t>福利</t>
  </si>
  <si>
    <t>月度
薪酬</t>
  </si>
  <si>
    <t>总工资</t>
  </si>
  <si>
    <t>社保
（公司部分）</t>
  </si>
  <si>
    <t>总工资支出</t>
  </si>
  <si>
    <t>基本工资</t>
  </si>
  <si>
    <t>其他补贴</t>
  </si>
  <si>
    <t>小计</t>
  </si>
  <si>
    <t>工资及补贴</t>
  </si>
  <si>
    <t>26天应发工资</t>
  </si>
  <si>
    <t>应发工资总额</t>
  </si>
  <si>
    <t>公司负担社保费</t>
  </si>
  <si>
    <t>社保总额</t>
  </si>
  <si>
    <t>岗位补贴</t>
  </si>
  <si>
    <t>平时加班</t>
  </si>
  <si>
    <t>周末加班4天</t>
  </si>
  <si>
    <t>绩效工资</t>
  </si>
  <si>
    <t>年终奖</t>
  </si>
  <si>
    <t>夜班补贴</t>
  </si>
  <si>
    <t>安环风险奖</t>
  </si>
  <si>
    <t>纸机</t>
  </si>
  <si>
    <t xml:space="preserve">班长
</t>
  </si>
  <si>
    <t>管理人员</t>
  </si>
  <si>
    <t>技术工种</t>
  </si>
  <si>
    <t>干部助手（卷曲助手）</t>
  </si>
  <si>
    <t xml:space="preserve">                                                                                                                                                                                 </t>
  </si>
  <si>
    <t xml:space="preserve">                                    </t>
  </si>
  <si>
    <t>制浆</t>
  </si>
  <si>
    <t xml:space="preserve"> DCS</t>
  </si>
  <si>
    <t>制浆巡检（长白班）</t>
  </si>
  <si>
    <t>巡检调班（长白班）</t>
  </si>
  <si>
    <t>污水</t>
  </si>
  <si>
    <t>生化工</t>
  </si>
  <si>
    <t>锅炉运行班</t>
  </si>
  <si>
    <t>主值</t>
  </si>
  <si>
    <t>副值（炉本体、辅机）</t>
  </si>
  <si>
    <t>汽机运行班</t>
  </si>
  <si>
    <t>副值</t>
  </si>
  <si>
    <t>电气运行班</t>
  </si>
  <si>
    <t>输煤班</t>
  </si>
  <si>
    <t>制水及化验</t>
  </si>
  <si>
    <t>成品质检</t>
  </si>
  <si>
    <t>质检员</t>
  </si>
  <si>
    <t>公司合计</t>
  </si>
  <si>
    <r>
      <rPr>
        <b/>
        <sz val="11"/>
        <color theme="1"/>
        <rFont val="楷体"/>
        <charset val="134"/>
      </rPr>
      <t xml:space="preserve">最低
</t>
    </r>
    <r>
      <rPr>
        <b/>
        <sz val="10"/>
        <color theme="1"/>
        <rFont val="楷体"/>
        <charset val="134"/>
      </rPr>
      <t>（人事部建议）</t>
    </r>
  </si>
  <si>
    <r>
      <rPr>
        <b/>
        <sz val="11"/>
        <color theme="1"/>
        <rFont val="楷体"/>
        <charset val="134"/>
      </rPr>
      <t xml:space="preserve">中位
</t>
    </r>
    <r>
      <rPr>
        <b/>
        <sz val="10"/>
        <color theme="1"/>
        <rFont val="楷体"/>
        <charset val="134"/>
      </rPr>
      <t>（人事部建议）</t>
    </r>
  </si>
  <si>
    <r>
      <rPr>
        <b/>
        <sz val="11"/>
        <color theme="1"/>
        <rFont val="楷体"/>
        <charset val="134"/>
      </rPr>
      <t xml:space="preserve">高位
</t>
    </r>
    <r>
      <rPr>
        <b/>
        <sz val="10"/>
        <color theme="1"/>
        <rFont val="楷体"/>
        <charset val="134"/>
      </rPr>
      <t>（人事部建议）</t>
    </r>
  </si>
  <si>
    <t>江西柯美环保技术有限公司
2024年3月工资表</t>
  </si>
  <si>
    <t>职位</t>
  </si>
  <si>
    <t>入职时间</t>
  </si>
  <si>
    <t>姓名</t>
  </si>
  <si>
    <t>工资收入项目</t>
  </si>
  <si>
    <t>补贴收入项</t>
  </si>
  <si>
    <t>金额</t>
  </si>
  <si>
    <t>B行政部</t>
  </si>
  <si>
    <t>人资行政主任</t>
  </si>
  <si>
    <t>徐丽慧</t>
  </si>
  <si>
    <t>刘柳</t>
  </si>
  <si>
    <t>法务行政助理</t>
  </si>
  <si>
    <t>吴怡斌</t>
  </si>
  <si>
    <t>董事长助理</t>
  </si>
  <si>
    <t>邬子艳</t>
  </si>
  <si>
    <t>胡婉婷</t>
  </si>
  <si>
    <t>张明</t>
  </si>
  <si>
    <t>朱勇</t>
  </si>
  <si>
    <t>办公楼保洁员</t>
  </si>
  <si>
    <t>杨益中</t>
  </si>
  <si>
    <t xml:space="preserve">统计员 </t>
  </si>
  <si>
    <t>易红</t>
  </si>
  <si>
    <t>食堂承包人</t>
  </si>
  <si>
    <t>刘锦林</t>
  </si>
  <si>
    <t>食堂厨师</t>
  </si>
  <si>
    <t>巫海波</t>
  </si>
  <si>
    <t>食堂服务员</t>
  </si>
  <si>
    <t>刘桂萍</t>
  </si>
  <si>
    <t>胡小艳</t>
  </si>
  <si>
    <t>保安队长</t>
  </si>
  <si>
    <t>黎先安</t>
  </si>
  <si>
    <t>王世红</t>
  </si>
  <si>
    <t>卜炎华</t>
  </si>
  <si>
    <t>彭泽江</t>
  </si>
  <si>
    <t>杨启奎</t>
  </si>
  <si>
    <t>黄文萍</t>
  </si>
  <si>
    <t>方春亮</t>
  </si>
  <si>
    <t>C安环部</t>
  </si>
  <si>
    <t>环保主管</t>
  </si>
  <si>
    <t>刘志刚</t>
  </si>
  <si>
    <t>安全员兼资料收集员</t>
  </si>
  <si>
    <t>刘霞</t>
  </si>
  <si>
    <t>D财务部</t>
  </si>
  <si>
    <t>出纳</t>
  </si>
  <si>
    <t>文晓仁</t>
  </si>
  <si>
    <t>周淑云</t>
  </si>
  <si>
    <t>郑国琴</t>
  </si>
  <si>
    <t>材料成本会计</t>
  </si>
  <si>
    <t>袁子红</t>
  </si>
  <si>
    <t>肖洁</t>
  </si>
  <si>
    <t>杨莉</t>
  </si>
  <si>
    <t>李艳清</t>
  </si>
  <si>
    <t>E采购部</t>
  </si>
  <si>
    <t>采购员</t>
  </si>
  <si>
    <t>文雨佳</t>
  </si>
  <si>
    <t>采购内勤</t>
  </si>
  <si>
    <t>邓丹</t>
  </si>
  <si>
    <t>李享河</t>
  </si>
  <si>
    <t>F销售部</t>
  </si>
  <si>
    <t>朱清慧</t>
  </si>
  <si>
    <t>业务员</t>
  </si>
  <si>
    <t>武鹏</t>
  </si>
  <si>
    <t>王诤</t>
  </si>
  <si>
    <t>朱娇</t>
  </si>
  <si>
    <t>刘敏</t>
  </si>
  <si>
    <t>胡琳</t>
  </si>
  <si>
    <t>仓管员（入库员）</t>
  </si>
  <si>
    <t>李丽萍</t>
  </si>
  <si>
    <t>仓管员（出库员）</t>
  </si>
  <si>
    <t>彭水连</t>
  </si>
  <si>
    <t>杨日召</t>
  </si>
  <si>
    <t>仓管员兼叉车司机</t>
  </si>
  <si>
    <t>杨宇</t>
  </si>
  <si>
    <t>文剑宇</t>
  </si>
  <si>
    <t>贺晶</t>
  </si>
  <si>
    <t>蒋庆梅</t>
  </si>
  <si>
    <t>抱车班长</t>
  </si>
  <si>
    <t>文志卿</t>
  </si>
  <si>
    <t>抱车司机（出库）</t>
  </si>
  <si>
    <t>彭学</t>
  </si>
  <si>
    <t>周敬良</t>
  </si>
  <si>
    <t>吴栓</t>
  </si>
  <si>
    <t>邬鑫</t>
  </si>
  <si>
    <t>钟杰昌</t>
  </si>
  <si>
    <t>文进</t>
  </si>
  <si>
    <t>朱根平</t>
  </si>
  <si>
    <t>王志祥</t>
  </si>
  <si>
    <t>肖林香</t>
  </si>
  <si>
    <t>何燕芝</t>
  </si>
  <si>
    <t>周文华</t>
  </si>
  <si>
    <t>三班倒抱车</t>
  </si>
  <si>
    <t>李增红</t>
  </si>
  <si>
    <t>李建林</t>
  </si>
  <si>
    <t>曾伟</t>
  </si>
  <si>
    <t>文国峰</t>
  </si>
  <si>
    <t>彭坤</t>
  </si>
  <si>
    <t>张明辉</t>
  </si>
  <si>
    <t>朱航玉</t>
  </si>
  <si>
    <t>赖必超</t>
  </si>
  <si>
    <t>盖雨布队长</t>
  </si>
  <si>
    <t>吕雪萍</t>
  </si>
  <si>
    <t>盖雨布工</t>
  </si>
  <si>
    <t>郭建辉</t>
  </si>
  <si>
    <t>刘刚</t>
  </si>
  <si>
    <t>陈晖</t>
  </si>
  <si>
    <t>刘新萍</t>
  </si>
  <si>
    <t>李新龙</t>
  </si>
  <si>
    <t>喻祖忠</t>
  </si>
  <si>
    <t>何福根</t>
  </si>
  <si>
    <t>G质检部</t>
  </si>
  <si>
    <t>煤质化验员</t>
  </si>
  <si>
    <t>欧晓云</t>
  </si>
  <si>
    <t>污水化验员</t>
  </si>
  <si>
    <t>何燕桃</t>
  </si>
  <si>
    <t>黄晓东</t>
  </si>
  <si>
    <t>化学品化验员</t>
  </si>
  <si>
    <t>张青萍</t>
  </si>
  <si>
    <t>甘丽</t>
  </si>
  <si>
    <t>彭丽</t>
  </si>
  <si>
    <t>肖明桂</t>
  </si>
  <si>
    <t>甘建国</t>
  </si>
  <si>
    <t>钟根华</t>
  </si>
  <si>
    <t>姚赛</t>
  </si>
  <si>
    <t>彭春华</t>
  </si>
  <si>
    <t>漆洪兵</t>
  </si>
  <si>
    <t>朱文春</t>
  </si>
  <si>
    <t>黄萍</t>
  </si>
  <si>
    <t>抽样员</t>
  </si>
  <si>
    <t>刘华庚</t>
  </si>
  <si>
    <t>苏世林</t>
  </si>
  <si>
    <t>王会萍</t>
  </si>
  <si>
    <t>廖世国</t>
  </si>
  <si>
    <t>张存良</t>
  </si>
  <si>
    <t>邹志明</t>
  </si>
  <si>
    <t>彭玉萍</t>
  </si>
  <si>
    <t>成品过磅员</t>
  </si>
  <si>
    <t>叶御寒</t>
  </si>
  <si>
    <t>张小英</t>
  </si>
  <si>
    <t>杨伟萍</t>
  </si>
  <si>
    <t>钟小梅</t>
  </si>
  <si>
    <t>周艳萍</t>
  </si>
  <si>
    <t>杨华利</t>
  </si>
  <si>
    <t>杨建方</t>
  </si>
  <si>
    <t>叶永芳</t>
  </si>
  <si>
    <t>文丽</t>
  </si>
  <si>
    <t>刘艳珍</t>
  </si>
  <si>
    <t>刘根萍</t>
  </si>
  <si>
    <t>罗爱萍</t>
  </si>
  <si>
    <t>杨河媛</t>
  </si>
  <si>
    <t>I热电站</t>
  </si>
  <si>
    <t>副站长兼锅炉主管</t>
  </si>
  <si>
    <t>朱振华</t>
  </si>
  <si>
    <t>李继纲</t>
  </si>
  <si>
    <t>文员</t>
  </si>
  <si>
    <t>叶永莲</t>
  </si>
  <si>
    <t>欧叶云</t>
  </si>
  <si>
    <t>李昌友</t>
  </si>
  <si>
    <t>贾海洋</t>
  </si>
  <si>
    <t>仪表</t>
  </si>
  <si>
    <t>黄才平</t>
  </si>
  <si>
    <t>机修副班长</t>
  </si>
  <si>
    <t>李自维</t>
  </si>
  <si>
    <t>李炳威</t>
  </si>
  <si>
    <t>邓灿</t>
  </si>
  <si>
    <t>钟水根</t>
  </si>
  <si>
    <t>锅炉班长</t>
  </si>
  <si>
    <t>邬江勇</t>
  </si>
  <si>
    <t>刘辉</t>
  </si>
  <si>
    <t>黄海军</t>
  </si>
  <si>
    <t>锅炉副司炉</t>
  </si>
  <si>
    <t>邓宗金</t>
  </si>
  <si>
    <t>锅炉司炉</t>
  </si>
  <si>
    <t>刘俊</t>
  </si>
  <si>
    <t>戴全明</t>
  </si>
  <si>
    <t>李冬明</t>
  </si>
  <si>
    <t>吴彪</t>
  </si>
  <si>
    <t>段子浩</t>
  </si>
  <si>
    <t>钟志华</t>
  </si>
  <si>
    <t>谭泽文</t>
  </si>
  <si>
    <t>汤强</t>
  </si>
  <si>
    <t>王水秀</t>
  </si>
  <si>
    <t>汽机司机</t>
  </si>
  <si>
    <t>刘强</t>
  </si>
  <si>
    <t>傅珺</t>
  </si>
  <si>
    <t>刘懿</t>
  </si>
  <si>
    <t>胡伟明</t>
  </si>
  <si>
    <t>杨艳辉</t>
  </si>
  <si>
    <t>汽机副司机</t>
  </si>
  <si>
    <t>杨海祥</t>
  </si>
  <si>
    <t>彭艳</t>
  </si>
  <si>
    <t>李云南</t>
  </si>
  <si>
    <t>文玉华</t>
  </si>
  <si>
    <t>电气主职</t>
  </si>
  <si>
    <t>钟善初</t>
  </si>
  <si>
    <t>汤建波</t>
  </si>
  <si>
    <t>何跃明</t>
  </si>
  <si>
    <t>易瑞佳</t>
  </si>
  <si>
    <t>徐雪萍</t>
  </si>
  <si>
    <t>廖志林</t>
  </si>
  <si>
    <t>杨小华</t>
  </si>
  <si>
    <t>彭付萍</t>
  </si>
  <si>
    <t>脱硫值班员</t>
  </si>
  <si>
    <t>吴杰</t>
  </si>
  <si>
    <t>李煜强</t>
  </si>
  <si>
    <t>卢立阳</t>
  </si>
  <si>
    <t>副职</t>
  </si>
  <si>
    <t>钟克华</t>
  </si>
  <si>
    <t>输煤班长</t>
  </si>
  <si>
    <t>何久华</t>
  </si>
  <si>
    <t>彭永祥</t>
  </si>
  <si>
    <t>胡立春</t>
  </si>
  <si>
    <t>输煤工</t>
  </si>
  <si>
    <t>何明</t>
  </si>
  <si>
    <t>何运书</t>
  </si>
  <si>
    <t>罗斌</t>
  </si>
  <si>
    <t>汤春根</t>
  </si>
  <si>
    <t>谭任辉</t>
  </si>
  <si>
    <t>胡南生</t>
  </si>
  <si>
    <t>王付建</t>
  </si>
  <si>
    <t>胡立成</t>
  </si>
  <si>
    <t>行车工</t>
  </si>
  <si>
    <t>黄贤萍</t>
  </si>
  <si>
    <t>李启生</t>
  </si>
  <si>
    <t>谭运春</t>
  </si>
  <si>
    <t>郑文圆</t>
  </si>
  <si>
    <t>姚迪</t>
  </si>
  <si>
    <t>赖和明</t>
  </si>
  <si>
    <t>黄世涛</t>
  </si>
  <si>
    <t>J污水处理站</t>
  </si>
  <si>
    <t>刘延江</t>
  </si>
  <si>
    <t>顶班人员</t>
  </si>
  <si>
    <t>叶永福</t>
  </si>
  <si>
    <t>彭勇</t>
  </si>
  <si>
    <t>高本华</t>
  </si>
  <si>
    <t>林春萍</t>
  </si>
  <si>
    <t>钟德福</t>
  </si>
  <si>
    <t>彭国林</t>
  </si>
  <si>
    <t>专责</t>
  </si>
  <si>
    <t>王纯</t>
  </si>
  <si>
    <t>文作财</t>
  </si>
  <si>
    <t>生化岗</t>
  </si>
  <si>
    <t>黎运根</t>
  </si>
  <si>
    <t>陈水才</t>
  </si>
  <si>
    <t>加药员</t>
  </si>
  <si>
    <t>贺文杰</t>
  </si>
  <si>
    <t>汪武军</t>
  </si>
  <si>
    <t>李建和</t>
  </si>
  <si>
    <t>杨显兵</t>
  </si>
  <si>
    <t>贺金文</t>
  </si>
  <si>
    <t>李新萍</t>
  </si>
  <si>
    <t>守泵房</t>
  </si>
  <si>
    <t>黄科</t>
  </si>
  <si>
    <t>杨云</t>
  </si>
  <si>
    <t>H生产部</t>
  </si>
  <si>
    <t>生产经理</t>
  </si>
  <si>
    <t>宇仕全</t>
  </si>
  <si>
    <t>一二期统计员</t>
  </si>
  <si>
    <t>彭海连</t>
  </si>
  <si>
    <t>KM1-01制浆车间1</t>
  </si>
  <si>
    <t>李盛德</t>
  </si>
  <si>
    <t>李久球</t>
  </si>
  <si>
    <t>易翔</t>
  </si>
  <si>
    <t>文海礁</t>
  </si>
  <si>
    <t>漆智</t>
  </si>
  <si>
    <t>杨熠</t>
  </si>
  <si>
    <t>刘伟</t>
  </si>
  <si>
    <t>碎浆专责</t>
  </si>
  <si>
    <t>黄国良</t>
  </si>
  <si>
    <t>李建圣</t>
  </si>
  <si>
    <t>筛选</t>
  </si>
  <si>
    <t>彭世军</t>
  </si>
  <si>
    <t>漆书萍</t>
  </si>
  <si>
    <t>回收浆</t>
  </si>
  <si>
    <t>杨伏华</t>
  </si>
  <si>
    <t>丁拾发</t>
  </si>
  <si>
    <t>谭信国</t>
  </si>
  <si>
    <t>胡立杰</t>
  </si>
  <si>
    <t>李建国</t>
  </si>
  <si>
    <t>上料</t>
  </si>
  <si>
    <t>黄永建</t>
  </si>
  <si>
    <t>林李</t>
  </si>
  <si>
    <t>叶阳春</t>
  </si>
  <si>
    <t>彭水明</t>
  </si>
  <si>
    <t>彭绍军</t>
  </si>
  <si>
    <t>丁绍明</t>
  </si>
  <si>
    <t>李政国</t>
  </si>
  <si>
    <t>KM1-01造纸车间1</t>
  </si>
  <si>
    <t>何立恒</t>
  </si>
  <si>
    <t>罗增林</t>
  </si>
  <si>
    <t>袁锋华</t>
  </si>
  <si>
    <t>DCS专责</t>
  </si>
  <si>
    <t>廖望</t>
  </si>
  <si>
    <t>谢忠武</t>
  </si>
  <si>
    <t>杨玺</t>
  </si>
  <si>
    <t>陈森</t>
  </si>
  <si>
    <t>刘紫缘</t>
  </si>
  <si>
    <t>李志勇</t>
  </si>
  <si>
    <t>漆少发</t>
  </si>
  <si>
    <t>李勇</t>
  </si>
  <si>
    <t>干部专责</t>
  </si>
  <si>
    <t>李海胜</t>
  </si>
  <si>
    <t>刘勇</t>
  </si>
  <si>
    <t>阳雄宝</t>
  </si>
  <si>
    <t>表胶工</t>
  </si>
  <si>
    <t>刘永志</t>
  </si>
  <si>
    <t>熬胶专职</t>
  </si>
  <si>
    <t>聂建树</t>
  </si>
  <si>
    <t>熬胶</t>
  </si>
  <si>
    <t>袁芝忠</t>
  </si>
  <si>
    <t>寻友</t>
  </si>
  <si>
    <t>林伯建</t>
  </si>
  <si>
    <t>李水平</t>
  </si>
  <si>
    <t>复卷主操</t>
  </si>
  <si>
    <t>李波</t>
  </si>
  <si>
    <t>罗启斌</t>
  </si>
  <si>
    <t>杨华军</t>
  </si>
  <si>
    <t>吴可</t>
  </si>
  <si>
    <t>复卷第一助手</t>
  </si>
  <si>
    <t>杨缅</t>
  </si>
  <si>
    <t>谭新</t>
  </si>
  <si>
    <t>张俊伟</t>
  </si>
  <si>
    <t>贺英杰</t>
  </si>
  <si>
    <t>复卷肋手</t>
  </si>
  <si>
    <t>黎合卓</t>
  </si>
  <si>
    <t>卷曲工</t>
  </si>
  <si>
    <t>杨隆</t>
  </si>
  <si>
    <t>李振华</t>
  </si>
  <si>
    <t>葛双龙</t>
  </si>
  <si>
    <t>刘方</t>
  </si>
  <si>
    <t>刘秋明</t>
  </si>
  <si>
    <t>刘志甫</t>
  </si>
  <si>
    <t>切纸工</t>
  </si>
  <si>
    <t>晏国庆</t>
  </si>
  <si>
    <t>饶洪伟</t>
  </si>
  <si>
    <t>李志其</t>
  </si>
  <si>
    <t>KM2-01制浆车间2</t>
  </si>
  <si>
    <t>制浆主任</t>
  </si>
  <si>
    <t>祝志军</t>
  </si>
  <si>
    <t>姚波</t>
  </si>
  <si>
    <t>邓绍槟</t>
  </si>
  <si>
    <t>周成晃</t>
  </si>
  <si>
    <t>周瑶</t>
  </si>
  <si>
    <t>李华</t>
  </si>
  <si>
    <t>副班长</t>
  </si>
  <si>
    <t>曾隽芮</t>
  </si>
  <si>
    <t>刘东富</t>
  </si>
  <si>
    <t>李日萍</t>
  </si>
  <si>
    <t>易锋</t>
  </si>
  <si>
    <t>杨启跃</t>
  </si>
  <si>
    <t>操作工</t>
  </si>
  <si>
    <t>廖海</t>
  </si>
  <si>
    <t>罗贤义</t>
  </si>
  <si>
    <t>彭绍方</t>
  </si>
  <si>
    <t>尹定</t>
  </si>
  <si>
    <t>农用车司机</t>
  </si>
  <si>
    <t>沈建开</t>
  </si>
  <si>
    <t>黎新根</t>
  </si>
  <si>
    <t>叶强</t>
  </si>
  <si>
    <t>何前</t>
  </si>
  <si>
    <t>刘本福</t>
  </si>
  <si>
    <t>樊敬萍</t>
  </si>
  <si>
    <t>卢奇</t>
  </si>
  <si>
    <t>卜运国</t>
  </si>
  <si>
    <t>张清</t>
  </si>
  <si>
    <t>何建良</t>
  </si>
  <si>
    <t>KM2-02造纸车间2</t>
  </si>
  <si>
    <t>周强</t>
  </si>
  <si>
    <t>尹华</t>
  </si>
  <si>
    <t>郑健</t>
  </si>
  <si>
    <t>李朝阳</t>
  </si>
  <si>
    <t>张开国</t>
  </si>
  <si>
    <t>胡旺</t>
  </si>
  <si>
    <t>刘海建</t>
  </si>
  <si>
    <t>胡桃</t>
  </si>
  <si>
    <t>施胶专责</t>
  </si>
  <si>
    <t>刘金海</t>
  </si>
  <si>
    <t>卷曲专责</t>
  </si>
  <si>
    <t>刘金日</t>
  </si>
  <si>
    <t>卷取助手</t>
  </si>
  <si>
    <t>杨直余</t>
  </si>
  <si>
    <t>复卷班长</t>
  </si>
  <si>
    <t>程前河</t>
  </si>
  <si>
    <t>王锦程</t>
  </si>
  <si>
    <t>鲍红春</t>
  </si>
  <si>
    <t>贺东梁</t>
  </si>
  <si>
    <t>刘伟模</t>
  </si>
  <si>
    <t>谢屈源</t>
  </si>
  <si>
    <t>伍中权</t>
  </si>
  <si>
    <t>复卷</t>
  </si>
  <si>
    <t>刘皓</t>
  </si>
  <si>
    <t>李根</t>
  </si>
  <si>
    <t>黄鑫</t>
  </si>
  <si>
    <t>汤建才</t>
  </si>
  <si>
    <t>邓智</t>
  </si>
  <si>
    <t>辅料专责</t>
  </si>
  <si>
    <t>李德斌</t>
  </si>
  <si>
    <t>吴徐杨</t>
  </si>
  <si>
    <t>肖克模</t>
  </si>
  <si>
    <t>黎淼</t>
  </si>
  <si>
    <t>杨军</t>
  </si>
  <si>
    <t>黄祥圣</t>
  </si>
  <si>
    <t>余富华</t>
  </si>
  <si>
    <t>黄海伟</t>
  </si>
  <si>
    <t>贺启华</t>
  </si>
  <si>
    <t>尹强</t>
  </si>
  <si>
    <t>王圣音关</t>
  </si>
  <si>
    <t>廖强</t>
  </si>
  <si>
    <t>刘佳豪</t>
  </si>
  <si>
    <t>苏文迪</t>
  </si>
  <si>
    <t>刘伟潮</t>
  </si>
  <si>
    <t>曾进</t>
  </si>
  <si>
    <t>吴文智</t>
  </si>
  <si>
    <t>桂小云</t>
  </si>
  <si>
    <t>黎合广</t>
  </si>
  <si>
    <t>KM1-03电仪车间1</t>
  </si>
  <si>
    <t>张祖明</t>
  </si>
  <si>
    <t>电仪一班班长</t>
  </si>
  <si>
    <t>钟海明</t>
  </si>
  <si>
    <t>电仪一班专责</t>
  </si>
  <si>
    <t>杨治强</t>
  </si>
  <si>
    <t>欧阳盛朝</t>
  </si>
  <si>
    <t>王虎萍</t>
  </si>
  <si>
    <t>王波</t>
  </si>
  <si>
    <t>KM2-03电仪车间2</t>
  </si>
  <si>
    <t>肖春生</t>
  </si>
  <si>
    <t>电仪二班专责</t>
  </si>
  <si>
    <t>杨忠生</t>
  </si>
  <si>
    <t>曾建文</t>
  </si>
  <si>
    <t>陈战国</t>
  </si>
  <si>
    <t>林志华</t>
  </si>
  <si>
    <t>李坚</t>
  </si>
  <si>
    <t>刘军</t>
  </si>
  <si>
    <t>KM1-04机修车间1</t>
  </si>
  <si>
    <t>徐宗实</t>
  </si>
  <si>
    <t>黄世兴</t>
  </si>
  <si>
    <t>一期点检及调班</t>
  </si>
  <si>
    <t>杨进</t>
  </si>
  <si>
    <t>刘建兴</t>
  </si>
  <si>
    <t>文江勇</t>
  </si>
  <si>
    <t>肖启明</t>
  </si>
  <si>
    <t>宋玉高</t>
  </si>
  <si>
    <t>郭铮</t>
  </si>
  <si>
    <t>施萍华</t>
  </si>
  <si>
    <t>糜德彬</t>
  </si>
  <si>
    <t>贺运华</t>
  </si>
  <si>
    <t>KM2-04机修车间2</t>
  </si>
  <si>
    <t>张志勇</t>
  </si>
  <si>
    <t>陈明章</t>
  </si>
  <si>
    <t>李康林</t>
  </si>
  <si>
    <t>复卷机磨刀专职</t>
  </si>
  <si>
    <t>欧忠生</t>
  </si>
  <si>
    <t>华星星</t>
  </si>
  <si>
    <t>姚燕军</t>
  </si>
  <si>
    <t>肖仁模</t>
  </si>
  <si>
    <t>杨波</t>
  </si>
  <si>
    <t>喻琳</t>
  </si>
  <si>
    <t>江先胜</t>
  </si>
  <si>
    <t>二期点检及调班</t>
  </si>
  <si>
    <t>彭世丰</t>
  </si>
  <si>
    <t>尹雷祥</t>
  </si>
  <si>
    <t>叶永久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</si>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</sst>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  <numFmt numFmtId="178" formatCode="0.00_);[Red]\(0.00\)"/>
    <numFmt numFmtId="179" formatCode="yyyy/mm/dd"/>
    <numFmt numFmtId="180" formatCode="yyyy&quot;年&quot;m&quot;月&quot;d&quot;日&quot;;@"/>
    <numFmt numFmtId="181" formatCode="0_ "/>
  </numFmts>
  <fonts count="60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b/>
      <sz val="16"/>
      <name val="宋体"/>
      <charset val="134"/>
    </font>
    <font>
      <b/>
      <sz val="10"/>
      <color indexed="8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name val="微软雅黑"/>
      <charset val="134"/>
    </font>
    <font>
      <sz val="10"/>
      <color rgb="FF000000"/>
      <name val="宋体"/>
      <charset val="134"/>
    </font>
    <font>
      <sz val="10"/>
      <name val="黑体"/>
      <charset val="134"/>
    </font>
    <font>
      <b/>
      <sz val="18"/>
      <color rgb="FFFF0000"/>
      <name val="楷体"/>
      <charset val="134"/>
    </font>
    <font>
      <sz val="11"/>
      <color theme="1"/>
      <name val="楷体"/>
      <charset val="134"/>
    </font>
    <font>
      <b/>
      <sz val="11"/>
      <color theme="1"/>
      <name val="宋体"/>
      <charset val="134"/>
      <scheme val="minor"/>
    </font>
    <font>
      <b/>
      <sz val="11"/>
      <color theme="1"/>
      <name val="楷体"/>
      <charset val="134"/>
    </font>
    <font>
      <sz val="11"/>
      <color rgb="FFFF0000"/>
      <name val="楷体"/>
      <charset val="134"/>
    </font>
    <font>
      <sz val="11"/>
      <name val="楷体"/>
      <charset val="134"/>
    </font>
    <font>
      <sz val="11"/>
      <name val="宋体"/>
      <charset val="134"/>
      <scheme val="minor"/>
    </font>
    <font>
      <sz val="24"/>
      <name val="仿宋"/>
      <charset val="134"/>
    </font>
    <font>
      <b/>
      <sz val="12"/>
      <color theme="0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b/>
      <sz val="10"/>
      <color theme="1"/>
      <name val="微软雅黑"/>
      <charset val="134"/>
    </font>
    <font>
      <b/>
      <sz val="11"/>
      <name val="楷体"/>
      <charset val="134"/>
    </font>
    <font>
      <sz val="10"/>
      <color rgb="FFFF0000"/>
      <name val="宋体"/>
      <charset val="134"/>
      <scheme val="minor"/>
    </font>
    <font>
      <b/>
      <sz val="26"/>
      <name val="楷体"/>
      <charset val="134"/>
    </font>
    <font>
      <b/>
      <sz val="18"/>
      <name val="楷体"/>
      <charset val="134"/>
    </font>
    <font>
      <b/>
      <sz val="12"/>
      <name val="楷体"/>
      <charset val="134"/>
    </font>
    <font>
      <b/>
      <sz val="12"/>
      <color theme="1"/>
      <name val="楷体"/>
      <charset val="134"/>
    </font>
    <font>
      <sz val="12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b/>
      <sz val="14"/>
      <color theme="1"/>
      <name val="微软雅黑"/>
      <charset val="134"/>
    </font>
    <font>
      <b/>
      <sz val="10"/>
      <color theme="1"/>
      <name val="楷体"/>
      <charset val="134"/>
    </font>
    <font>
      <sz val="10"/>
      <color theme="1"/>
      <name val="楷体"/>
      <charset val="134"/>
    </font>
    <font>
      <sz val="10"/>
      <name val="楷体"/>
      <charset val="134"/>
    </font>
    <font>
      <b/>
      <sz val="9"/>
      <name val="宋体"/>
      <charset val="134"/>
    </font>
    <font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859614856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14" borderId="15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40" fillId="0" borderId="16" applyNumberFormat="0" applyFill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15" borderId="18" applyNumberFormat="0" applyAlignment="0" applyProtection="0">
      <alignment vertical="center"/>
    </xf>
    <xf numFmtId="0" fontId="43" fillId="16" borderId="19" applyNumberFormat="0" applyAlignment="0" applyProtection="0">
      <alignment vertical="center"/>
    </xf>
    <xf numFmtId="0" fontId="44" fillId="16" borderId="18" applyNumberFormat="0" applyAlignment="0" applyProtection="0">
      <alignment vertical="center"/>
    </xf>
    <xf numFmtId="0" fontId="45" fillId="17" borderId="20" applyNumberFormat="0" applyAlignment="0" applyProtection="0">
      <alignment vertical="center"/>
    </xf>
    <xf numFmtId="0" fontId="46" fillId="0" borderId="21" applyNumberFormat="0" applyFill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0" fontId="19" fillId="0" borderId="0"/>
  </cellStyleXfs>
  <cellXfs count="2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>
      <alignment vertical="center"/>
    </xf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176" fontId="4" fillId="0" borderId="1" xfId="0" applyNumberFormat="1" applyFont="1" applyBorder="1" applyAlignment="1">
      <alignment horizontal="center" vertical="center" shrinkToFit="1"/>
    </xf>
    <xf numFmtId="177" fontId="4" fillId="0" borderId="1" xfId="0" applyNumberFormat="1" applyFont="1" applyFill="1" applyBorder="1" applyAlignment="1">
      <alignment horizontal="center" vertical="center" shrinkToFit="1"/>
    </xf>
    <xf numFmtId="0" fontId="2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 wrapText="1" shrinkToFit="1"/>
    </xf>
    <xf numFmtId="177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3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 shrinkToFit="1"/>
    </xf>
    <xf numFmtId="176" fontId="6" fillId="0" borderId="1" xfId="0" applyNumberFormat="1" applyFont="1" applyBorder="1" applyAlignment="1">
      <alignment horizontal="center" vertical="center" shrinkToFit="1"/>
    </xf>
    <xf numFmtId="0" fontId="5" fillId="0" borderId="1" xfId="50" applyFont="1" applyBorder="1" applyAlignment="1" applyProtection="1">
      <alignment horizontal="center" vertical="center"/>
    </xf>
    <xf numFmtId="178" fontId="5" fillId="0" borderId="1" xfId="50" applyNumberFormat="1" applyFont="1" applyBorder="1" applyAlignment="1" applyProtection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1" xfId="49" applyFont="1" applyBorder="1" applyAlignment="1" applyProtection="1">
      <alignment horizontal="center" vertical="center"/>
    </xf>
    <xf numFmtId="178" fontId="1" fillId="0" borderId="1" xfId="49" applyNumberFormat="1" applyFont="1" applyBorder="1" applyAlignment="1" applyProtection="1">
      <alignment horizontal="center" vertical="center"/>
    </xf>
    <xf numFmtId="179" fontId="7" fillId="0" borderId="1" xfId="0" applyNumberFormat="1" applyFont="1" applyFill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 shrinkToFit="1"/>
    </xf>
    <xf numFmtId="177" fontId="6" fillId="0" borderId="1" xfId="0" applyNumberFormat="1" applyFont="1" applyBorder="1" applyAlignment="1">
      <alignment horizontal="center" vertical="center" wrapText="1"/>
    </xf>
    <xf numFmtId="0" fontId="5" fillId="0" borderId="1" xfId="51" applyFont="1" applyBorder="1" applyAlignment="1" applyProtection="1">
      <alignment horizontal="center" vertical="center"/>
    </xf>
    <xf numFmtId="178" fontId="5" fillId="0" borderId="1" xfId="49" applyNumberFormat="1" applyFont="1" applyBorder="1" applyAlignment="1" applyProtection="1">
      <alignment horizontal="center" vertical="center"/>
    </xf>
    <xf numFmtId="43" fontId="5" fillId="0" borderId="1" xfId="49" applyNumberFormat="1" applyFont="1" applyBorder="1" applyAlignment="1" applyProtection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50" applyNumberFormat="1" applyFont="1" applyBorder="1" applyAlignment="1" applyProtection="1">
      <alignment horizontal="center" vertical="center"/>
    </xf>
    <xf numFmtId="49" fontId="5" fillId="0" borderId="1" xfId="49" applyNumberFormat="1" applyFont="1" applyBorder="1" applyAlignment="1" applyProtection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178" fontId="5" fillId="2" borderId="1" xfId="0" applyNumberFormat="1" applyFont="1" applyFill="1" applyBorder="1" applyAlignment="1">
      <alignment horizontal="center" vertical="center"/>
    </xf>
    <xf numFmtId="178" fontId="5" fillId="0" borderId="1" xfId="51" applyNumberFormat="1" applyFont="1" applyBorder="1" applyAlignment="1" applyProtection="1">
      <alignment horizontal="center" vertical="center"/>
    </xf>
    <xf numFmtId="177" fontId="5" fillId="0" borderId="1" xfId="51" applyNumberFormat="1" applyFont="1" applyBorder="1" applyAlignment="1" applyProtection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/>
    </xf>
    <xf numFmtId="178" fontId="5" fillId="3" borderId="1" xfId="49" applyNumberFormat="1" applyFont="1" applyFill="1" applyBorder="1" applyAlignment="1" applyProtection="1">
      <alignment horizontal="center" vertical="center"/>
    </xf>
    <xf numFmtId="178" fontId="5" fillId="3" borderId="1" xfId="0" applyNumberFormat="1" applyFont="1" applyFill="1" applyBorder="1" applyAlignment="1">
      <alignment horizontal="center" vertical="center"/>
    </xf>
    <xf numFmtId="178" fontId="5" fillId="4" borderId="1" xfId="49" applyNumberFormat="1" applyFont="1" applyFill="1" applyBorder="1" applyAlignment="1" applyProtection="1">
      <alignment horizontal="center" vertical="center"/>
    </xf>
    <xf numFmtId="178" fontId="5" fillId="4" borderId="1" xfId="0" applyNumberFormat="1" applyFont="1" applyFill="1" applyBorder="1" applyAlignment="1">
      <alignment horizontal="center" vertical="center"/>
    </xf>
    <xf numFmtId="177" fontId="5" fillId="0" borderId="1" xfId="49" applyNumberFormat="1" applyFont="1" applyBorder="1" applyAlignment="1" applyProtection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177" fontId="5" fillId="0" borderId="1" xfId="0" applyNumberFormat="1" applyFont="1" applyBorder="1" applyAlignment="1">
      <alignment horizontal="center" vertical="center" wrapText="1" shrinkToFit="1"/>
    </xf>
    <xf numFmtId="0" fontId="5" fillId="3" borderId="1" xfId="49" applyFont="1" applyFill="1" applyBorder="1" applyAlignment="1" applyProtection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9" fillId="0" borderId="1" xfId="0" applyNumberFormat="1" applyFont="1" applyFill="1" applyBorder="1" applyAlignment="1">
      <alignment horizontal="center" vertical="center" wrapText="1"/>
    </xf>
    <xf numFmtId="180" fontId="5" fillId="0" borderId="1" xfId="0" applyNumberFormat="1" applyFont="1" applyBorder="1" applyAlignment="1">
      <alignment horizontal="center" vertical="center"/>
    </xf>
    <xf numFmtId="178" fontId="8" fillId="0" borderId="1" xfId="49" applyNumberFormat="1" applyFont="1" applyBorder="1" applyAlignment="1" applyProtection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43" fontId="5" fillId="0" borderId="1" xfId="51" applyNumberFormat="1" applyFont="1" applyBorder="1" applyAlignment="1" applyProtection="1">
      <alignment horizontal="center" vertical="center"/>
    </xf>
    <xf numFmtId="178" fontId="5" fillId="3" borderId="1" xfId="51" applyNumberFormat="1" applyFont="1" applyFill="1" applyBorder="1" applyAlignment="1" applyProtection="1">
      <alignment horizontal="center" vertical="center"/>
    </xf>
    <xf numFmtId="14" fontId="5" fillId="0" borderId="1" xfId="49" applyNumberFormat="1" applyFont="1" applyBorder="1" applyAlignment="1" applyProtection="1">
      <alignment horizontal="center" vertical="center"/>
    </xf>
    <xf numFmtId="43" fontId="5" fillId="0" borderId="1" xfId="51" applyNumberFormat="1" applyFont="1" applyBorder="1" applyAlignment="1" applyProtection="1">
      <alignment horizontal="center" vertical="center" wrapText="1"/>
    </xf>
    <xf numFmtId="178" fontId="5" fillId="0" borderId="1" xfId="51" applyNumberFormat="1" applyFont="1" applyFill="1" applyBorder="1" applyAlignment="1" applyProtection="1">
      <alignment horizontal="center" vertical="center"/>
    </xf>
    <xf numFmtId="179" fontId="5" fillId="0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/>
    </xf>
    <xf numFmtId="0" fontId="0" fillId="3" borderId="0" xfId="0" applyFill="1">
      <alignment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Fill="1" applyBorder="1" applyAlignment="1">
      <alignment horizontal="left" vertical="center"/>
    </xf>
    <xf numFmtId="0" fontId="10" fillId="0" borderId="3" xfId="0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wrapText="1"/>
    </xf>
    <xf numFmtId="0" fontId="13" fillId="0" borderId="1" xfId="0" applyFont="1" applyFill="1" applyBorder="1" applyAlignment="1">
      <alignment vertical="center" wrapText="1"/>
    </xf>
    <xf numFmtId="43" fontId="13" fillId="0" borderId="1" xfId="1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181" fontId="11" fillId="0" borderId="1" xfId="0" applyNumberFormat="1" applyFont="1" applyFill="1" applyBorder="1" applyAlignment="1">
      <alignment horizontal="center" vertical="center"/>
    </xf>
    <xf numFmtId="181" fontId="14" fillId="0" borderId="1" xfId="0" applyNumberFormat="1" applyFont="1" applyFill="1" applyBorder="1" applyAlignment="1">
      <alignment horizontal="center" vertical="center"/>
    </xf>
    <xf numFmtId="43" fontId="11" fillId="0" borderId="1" xfId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/>
    </xf>
    <xf numFmtId="0" fontId="11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181" fontId="11" fillId="7" borderId="1" xfId="0" applyNumberFormat="1" applyFont="1" applyFill="1" applyBorder="1" applyAlignment="1">
      <alignment horizontal="center" vertical="center"/>
    </xf>
    <xf numFmtId="43" fontId="11" fillId="8" borderId="1" xfId="1" applyFont="1" applyFill="1" applyBorder="1" applyAlignment="1">
      <alignment horizontal="center" vertical="center"/>
    </xf>
    <xf numFmtId="43" fontId="11" fillId="0" borderId="0" xfId="0" applyNumberFormat="1" applyFont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6" fillId="0" borderId="0" xfId="0" applyFont="1">
      <alignment vertical="center"/>
    </xf>
    <xf numFmtId="177" fontId="0" fillId="0" borderId="0" xfId="0" applyNumberFormat="1">
      <alignment vertical="center"/>
    </xf>
    <xf numFmtId="177" fontId="10" fillId="0" borderId="3" xfId="0" applyNumberFormat="1" applyFont="1" applyFill="1" applyBorder="1" applyAlignment="1">
      <alignment horizontal="left" vertical="center"/>
    </xf>
    <xf numFmtId="177" fontId="13" fillId="0" borderId="5" xfId="0" applyNumberFormat="1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177" fontId="13" fillId="0" borderId="6" xfId="0" applyNumberFormat="1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13" fillId="10" borderId="6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177" fontId="11" fillId="6" borderId="1" xfId="0" applyNumberFormat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77" fontId="15" fillId="6" borderId="1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/>
    </xf>
    <xf numFmtId="181" fontId="15" fillId="0" borderId="1" xfId="0" applyNumberFormat="1" applyFont="1" applyFill="1" applyBorder="1" applyAlignment="1">
      <alignment horizontal="center" vertical="center"/>
    </xf>
    <xf numFmtId="43" fontId="15" fillId="0" borderId="1" xfId="1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11" borderId="9" xfId="0" applyFont="1" applyFill="1" applyBorder="1" applyAlignment="1">
      <alignment horizontal="center" vertical="center" wrapText="1"/>
    </xf>
    <xf numFmtId="0" fontId="18" fillId="11" borderId="10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6" fillId="8" borderId="0" xfId="0" applyFont="1" applyFill="1">
      <alignment vertical="center"/>
    </xf>
    <xf numFmtId="0" fontId="0" fillId="0" borderId="0" xfId="0" applyAlignment="1">
      <alignment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 applyBorder="1" applyAlignment="1">
      <alignment horizontal="center" vertical="center" wrapText="1"/>
    </xf>
    <xf numFmtId="0" fontId="22" fillId="3" borderId="0" xfId="0" applyFont="1" applyFill="1" applyBorder="1" applyAlignment="1">
      <alignment horizontal="center" vertical="center" wrapText="1"/>
    </xf>
    <xf numFmtId="0" fontId="23" fillId="0" borderId="11" xfId="0" applyFont="1" applyBorder="1" applyAlignment="1">
      <alignment horizontal="right" vertical="center"/>
    </xf>
    <xf numFmtId="0" fontId="23" fillId="3" borderId="11" xfId="0" applyFont="1" applyFill="1" applyBorder="1" applyAlignment="1">
      <alignment horizontal="right" vertical="center"/>
    </xf>
    <xf numFmtId="0" fontId="24" fillId="8" borderId="1" xfId="0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3" borderId="5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8" borderId="5" xfId="0" applyFont="1" applyFill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3" borderId="6" xfId="0" applyFont="1" applyFill="1" applyBorder="1" applyAlignment="1">
      <alignment horizontal="center" vertical="center" wrapText="1"/>
    </xf>
    <xf numFmtId="0" fontId="25" fillId="8" borderId="6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15" fillId="8" borderId="7" xfId="0" applyFont="1" applyFill="1" applyBorder="1" applyAlignment="1">
      <alignment horizontal="center" vertical="center" wrapText="1"/>
    </xf>
    <xf numFmtId="0" fontId="15" fillId="8" borderId="4" xfId="0" applyFont="1" applyFill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15" fillId="8" borderId="13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25" fillId="8" borderId="6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horizontal="center" vertical="center" wrapText="1"/>
    </xf>
    <xf numFmtId="0" fontId="25" fillId="8" borderId="13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0" fillId="8" borderId="1" xfId="0" applyFill="1" applyBorder="1">
      <alignment vertical="center"/>
    </xf>
    <xf numFmtId="0" fontId="0" fillId="8" borderId="1" xfId="0" applyFill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8" borderId="1" xfId="52" applyFont="1" applyFill="1" applyBorder="1" applyAlignment="1">
      <alignment horizontal="center" vertical="center" wrapText="1"/>
    </xf>
    <xf numFmtId="0" fontId="15" fillId="3" borderId="1" xfId="52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7" fillId="8" borderId="0" xfId="0" applyFont="1" applyFill="1">
      <alignment vertical="center"/>
    </xf>
    <xf numFmtId="0" fontId="0" fillId="0" borderId="0" xfId="0" applyAlignment="1">
      <alignment vertical="center"/>
    </xf>
    <xf numFmtId="0" fontId="16" fillId="0" borderId="0" xfId="0" applyFont="1" applyAlignment="1">
      <alignment vertical="center" wrapText="1"/>
    </xf>
    <xf numFmtId="0" fontId="28" fillId="0" borderId="0" xfId="0" applyFont="1" applyBorder="1" applyAlignment="1">
      <alignment horizontal="center" vertical="top" wrapText="1"/>
    </xf>
    <xf numFmtId="0" fontId="29" fillId="0" borderId="0" xfId="0" applyFont="1" applyBorder="1" applyAlignment="1">
      <alignment horizontal="center" vertical="top" wrapText="1"/>
    </xf>
    <xf numFmtId="0" fontId="29" fillId="0" borderId="8" xfId="0" applyFont="1" applyBorder="1" applyAlignment="1">
      <alignment horizontal="center" vertical="top" wrapText="1"/>
    </xf>
    <xf numFmtId="0" fontId="29" fillId="0" borderId="11" xfId="0" applyFont="1" applyBorder="1" applyAlignment="1">
      <alignment horizontal="center" vertical="top" wrapText="1"/>
    </xf>
    <xf numFmtId="0" fontId="29" fillId="0" borderId="13" xfId="0" applyFont="1" applyBorder="1" applyAlignment="1">
      <alignment horizontal="center" vertical="top" wrapText="1"/>
    </xf>
    <xf numFmtId="0" fontId="26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right" vertical="center" wrapText="1"/>
    </xf>
    <xf numFmtId="0" fontId="15" fillId="3" borderId="3" xfId="0" applyFont="1" applyFill="1" applyBorder="1" applyAlignment="1">
      <alignment horizontal="right" vertical="center" wrapText="1"/>
    </xf>
    <xf numFmtId="0" fontId="15" fillId="3" borderId="4" xfId="0" applyFont="1" applyFill="1" applyBorder="1" applyAlignment="1">
      <alignment horizontal="right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12" borderId="5" xfId="0" applyFont="1" applyFill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12" borderId="14" xfId="0" applyFont="1" applyFill="1" applyBorder="1" applyAlignment="1">
      <alignment horizontal="center" vertical="center" wrapText="1"/>
    </xf>
    <xf numFmtId="0" fontId="15" fillId="12" borderId="6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right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5" fillId="8" borderId="5" xfId="0" applyFont="1" applyFill="1" applyBorder="1" applyAlignment="1">
      <alignment horizontal="center" vertical="center" wrapText="1"/>
    </xf>
    <xf numFmtId="0" fontId="15" fillId="8" borderId="14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/>
    </xf>
    <xf numFmtId="0" fontId="30" fillId="8" borderId="1" xfId="0" applyFont="1" applyFill="1" applyBorder="1" applyAlignment="1">
      <alignment horizontal="center" vertical="center" wrapText="1"/>
    </xf>
    <xf numFmtId="0" fontId="23" fillId="8" borderId="5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right" vertical="center" wrapText="1"/>
    </xf>
    <xf numFmtId="0" fontId="11" fillId="3" borderId="3" xfId="0" applyFont="1" applyFill="1" applyBorder="1" applyAlignment="1">
      <alignment horizontal="right" vertical="center" wrapText="1"/>
    </xf>
    <xf numFmtId="0" fontId="11" fillId="3" borderId="4" xfId="0" applyFont="1" applyFill="1" applyBorder="1" applyAlignment="1">
      <alignment horizontal="righ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5" fillId="13" borderId="5" xfId="0" applyFont="1" applyFill="1" applyBorder="1" applyAlignment="1">
      <alignment horizontal="center" vertical="center" wrapText="1"/>
    </xf>
    <xf numFmtId="0" fontId="15" fillId="13" borderId="6" xfId="0" applyFont="1" applyFill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7 5 3 6" xfId="49"/>
    <cellStyle name="常规 70 2 5 2 4 2" xfId="50"/>
    <cellStyle name="常规 80 6 2 4" xfId="51"/>
    <cellStyle name="常规_Sheet1" xfId="52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14</xdr:col>
      <xdr:colOff>5080</xdr:colOff>
      <xdr:row>25</xdr:row>
      <xdr:rowOff>154305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8674100" cy="45916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249977111117893"/>
  </sheetPr>
  <dimension ref="A1"/>
  <sheetViews>
    <sheetView zoomScale="145" zoomScaleNormal="145" workbookViewId="0">
      <selection activeCell="C28" sqref="C28"/>
    </sheetView>
  </sheetViews>
  <sheetFormatPr defaultColWidth="8.87272727272727" defaultRowHeight="14"/>
  <sheetData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399945066682943"/>
  </sheetPr>
  <dimension ref="A1:I178"/>
  <sheetViews>
    <sheetView tabSelected="1" zoomScale="120" zoomScaleNormal="120" topLeftCell="B7" workbookViewId="0">
      <selection activeCell="E27" sqref="E27"/>
    </sheetView>
  </sheetViews>
  <sheetFormatPr defaultColWidth="9" defaultRowHeight="14"/>
  <cols>
    <col min="1" max="1" width="9" style="174"/>
    <col min="2" max="2" width="14" style="220" customWidth="1"/>
    <col min="3" max="3" width="30.8727272727273" style="174" customWidth="1"/>
    <col min="4" max="6" width="14.3727272727273" style="174" customWidth="1"/>
    <col min="7" max="7" width="27.6272727272727" style="174" customWidth="1"/>
    <col min="8" max="8" width="24.7545454545455" style="174" customWidth="1"/>
    <col min="9" max="9" width="9.25454545454545" style="174" customWidth="1"/>
  </cols>
  <sheetData>
    <row r="1" s="219" customFormat="1" ht="31.5" customHeight="1" spans="1:9">
      <c r="A1" s="221" t="s">
        <v>0</v>
      </c>
      <c r="B1" s="222"/>
      <c r="C1" s="222"/>
      <c r="D1" s="222"/>
      <c r="E1" s="222"/>
      <c r="F1" s="222"/>
      <c r="G1" s="222"/>
      <c r="H1" s="223"/>
    </row>
    <row r="2" ht="31.5" customHeight="1" spans="1:9">
      <c r="A2" s="224"/>
      <c r="B2" s="224"/>
      <c r="C2" s="224"/>
      <c r="D2" s="224"/>
      <c r="E2" s="224"/>
      <c r="F2" s="224"/>
      <c r="G2" s="224"/>
      <c r="H2" s="225"/>
      <c r="I2"/>
    </row>
    <row r="3" spans="1:9">
      <c r="A3" s="226" t="s">
        <v>1</v>
      </c>
      <c r="B3" s="226" t="s">
        <v>2</v>
      </c>
      <c r="C3" s="226" t="s">
        <v>3</v>
      </c>
      <c r="D3" s="226" t="s">
        <v>4</v>
      </c>
      <c r="E3" s="226" t="s">
        <v>5</v>
      </c>
      <c r="F3" s="226" t="s">
        <v>6</v>
      </c>
      <c r="G3" s="227" t="s">
        <v>7</v>
      </c>
      <c r="H3" s="226" t="s">
        <v>8</v>
      </c>
      <c r="I3"/>
    </row>
    <row r="4" spans="1:9">
      <c r="A4" s="228">
        <v>1</v>
      </c>
      <c r="B4" s="209" t="s">
        <v>9</v>
      </c>
      <c r="C4" s="209" t="s">
        <v>10</v>
      </c>
      <c r="D4" s="209">
        <v>1</v>
      </c>
      <c r="E4" s="209">
        <v>1</v>
      </c>
      <c r="F4" s="209">
        <v>0</v>
      </c>
      <c r="G4" s="228" t="s">
        <v>11</v>
      </c>
      <c r="H4" s="209"/>
      <c r="I4"/>
    </row>
    <row r="5" spans="1:9">
      <c r="A5" s="229" t="s">
        <v>12</v>
      </c>
      <c r="B5" s="230"/>
      <c r="C5" s="231"/>
      <c r="D5" s="206">
        <f>SUM(D4)</f>
        <v>1</v>
      </c>
      <c r="E5" s="206">
        <f t="shared" ref="E5:F5" si="0">SUM(E4)</f>
        <v>1</v>
      </c>
      <c r="F5" s="206">
        <f t="shared" si="0"/>
        <v>0</v>
      </c>
      <c r="G5" s="232"/>
      <c r="H5" s="206"/>
      <c r="I5"/>
    </row>
    <row r="6" spans="1:9">
      <c r="A6" s="228">
        <v>1</v>
      </c>
      <c r="B6" s="209" t="s">
        <v>13</v>
      </c>
      <c r="C6" s="209" t="s">
        <v>14</v>
      </c>
      <c r="D6" s="209">
        <v>1</v>
      </c>
      <c r="E6" s="209">
        <v>1</v>
      </c>
      <c r="F6" s="209">
        <v>0</v>
      </c>
      <c r="G6" s="228" t="s">
        <v>15</v>
      </c>
      <c r="H6" s="209"/>
      <c r="I6"/>
    </row>
    <row r="7" spans="1:9">
      <c r="A7" s="228">
        <v>2</v>
      </c>
      <c r="B7" s="209"/>
      <c r="C7" s="209" t="s">
        <v>16</v>
      </c>
      <c r="D7" s="209">
        <v>1</v>
      </c>
      <c r="E7" s="209">
        <v>1</v>
      </c>
      <c r="F7" s="209">
        <v>0</v>
      </c>
      <c r="G7" s="228" t="s">
        <v>17</v>
      </c>
      <c r="H7" s="209"/>
      <c r="I7"/>
    </row>
    <row r="8" spans="1:9">
      <c r="A8" s="229" t="s">
        <v>12</v>
      </c>
      <c r="B8" s="230"/>
      <c r="C8" s="231"/>
      <c r="D8" s="206">
        <f>SUM(D6:D7)</f>
        <v>2</v>
      </c>
      <c r="E8" s="206">
        <f t="shared" ref="E8:F8" si="1">SUM(E6:E7)</f>
        <v>2</v>
      </c>
      <c r="F8" s="206">
        <f t="shared" si="1"/>
        <v>0</v>
      </c>
      <c r="G8" s="232"/>
      <c r="H8" s="206"/>
      <c r="I8"/>
    </row>
    <row r="9" spans="1:9">
      <c r="A9" s="226" t="s">
        <v>1</v>
      </c>
      <c r="B9" s="226" t="s">
        <v>2</v>
      </c>
      <c r="C9" s="226" t="s">
        <v>3</v>
      </c>
      <c r="D9" s="226" t="s">
        <v>4</v>
      </c>
      <c r="E9" s="226" t="s">
        <v>5</v>
      </c>
      <c r="F9" s="226" t="s">
        <v>6</v>
      </c>
      <c r="G9" s="227" t="s">
        <v>7</v>
      </c>
      <c r="H9" s="226" t="s">
        <v>8</v>
      </c>
      <c r="I9"/>
    </row>
    <row r="10" spans="1:9">
      <c r="A10" s="209">
        <v>1</v>
      </c>
      <c r="B10" s="233" t="s">
        <v>18</v>
      </c>
      <c r="C10" s="209" t="s">
        <v>19</v>
      </c>
      <c r="D10" s="209">
        <v>1</v>
      </c>
      <c r="E10" s="209">
        <v>1</v>
      </c>
      <c r="F10" s="209">
        <v>0</v>
      </c>
      <c r="G10" s="228" t="s">
        <v>20</v>
      </c>
      <c r="H10" s="234"/>
      <c r="I10"/>
    </row>
    <row r="11" spans="1:9">
      <c r="A11" s="209">
        <v>2</v>
      </c>
      <c r="B11" s="235"/>
      <c r="C11" s="201" t="s">
        <v>21</v>
      </c>
      <c r="D11" s="201">
        <v>0</v>
      </c>
      <c r="E11" s="201"/>
      <c r="F11" s="201"/>
      <c r="G11" s="228"/>
      <c r="H11" s="236"/>
      <c r="I11"/>
    </row>
    <row r="12" spans="1:9">
      <c r="A12" s="209">
        <v>3</v>
      </c>
      <c r="B12" s="235"/>
      <c r="C12" s="201" t="s">
        <v>22</v>
      </c>
      <c r="D12" s="201">
        <v>0</v>
      </c>
      <c r="E12" s="201"/>
      <c r="F12" s="201"/>
      <c r="G12" s="228"/>
      <c r="H12" s="236"/>
      <c r="I12"/>
    </row>
    <row r="13" spans="1:9">
      <c r="A13" s="209">
        <v>4</v>
      </c>
      <c r="B13" s="235"/>
      <c r="C13" s="201" t="s">
        <v>23</v>
      </c>
      <c r="D13" s="201">
        <v>0</v>
      </c>
      <c r="E13" s="201"/>
      <c r="F13" s="201"/>
      <c r="G13" s="228"/>
      <c r="H13" s="236"/>
      <c r="I13"/>
    </row>
    <row r="14" spans="1:9">
      <c r="A14" s="209">
        <v>5</v>
      </c>
      <c r="B14" s="235"/>
      <c r="C14" s="209" t="s">
        <v>24</v>
      </c>
      <c r="D14" s="201">
        <v>0</v>
      </c>
      <c r="E14" s="209"/>
      <c r="F14" s="209"/>
      <c r="G14" s="228"/>
      <c r="H14" s="237"/>
      <c r="I14"/>
    </row>
    <row r="15" spans="1:9">
      <c r="A15" s="238" t="s">
        <v>12</v>
      </c>
      <c r="B15" s="238"/>
      <c r="C15" s="238"/>
      <c r="D15" s="206">
        <f>SUM(D10:D14)</f>
        <v>1</v>
      </c>
      <c r="E15" s="206">
        <f t="shared" ref="E15:F15" si="2">SUM(E10:E14)</f>
        <v>1</v>
      </c>
      <c r="F15" s="206">
        <f t="shared" si="2"/>
        <v>0</v>
      </c>
      <c r="G15" s="232"/>
      <c r="H15" s="206"/>
      <c r="I15"/>
    </row>
    <row r="16" spans="1:9">
      <c r="A16" s="226" t="s">
        <v>1</v>
      </c>
      <c r="B16" s="226" t="s">
        <v>2</v>
      </c>
      <c r="C16" s="226" t="s">
        <v>3</v>
      </c>
      <c r="D16" s="226" t="s">
        <v>4</v>
      </c>
      <c r="E16" s="226" t="s">
        <v>5</v>
      </c>
      <c r="F16" s="226" t="s">
        <v>6</v>
      </c>
      <c r="G16" s="227" t="s">
        <v>7</v>
      </c>
      <c r="H16" s="226" t="s">
        <v>8</v>
      </c>
      <c r="I16"/>
    </row>
    <row r="17" spans="1:9">
      <c r="A17" s="209">
        <v>1</v>
      </c>
      <c r="B17" s="201" t="s">
        <v>25</v>
      </c>
      <c r="C17" s="239" t="s">
        <v>26</v>
      </c>
      <c r="D17" s="239">
        <v>1</v>
      </c>
      <c r="E17" s="239">
        <v>1</v>
      </c>
      <c r="F17" s="239">
        <v>0</v>
      </c>
      <c r="G17" s="228" t="s">
        <v>27</v>
      </c>
      <c r="H17" s="209"/>
      <c r="I17"/>
    </row>
    <row r="18" spans="1:9">
      <c r="A18" s="209">
        <v>2</v>
      </c>
      <c r="B18" s="201"/>
      <c r="C18" s="239" t="s">
        <v>28</v>
      </c>
      <c r="D18" s="239">
        <v>1</v>
      </c>
      <c r="E18" s="239">
        <v>1</v>
      </c>
      <c r="F18" s="239">
        <v>0</v>
      </c>
      <c r="G18" s="228" t="s">
        <v>29</v>
      </c>
      <c r="H18" s="209"/>
      <c r="I18"/>
    </row>
    <row r="19" spans="1:9">
      <c r="A19" s="209">
        <v>3</v>
      </c>
      <c r="B19" s="201"/>
      <c r="C19" s="239" t="s">
        <v>30</v>
      </c>
      <c r="D19" s="239">
        <v>1</v>
      </c>
      <c r="E19" s="239">
        <v>0</v>
      </c>
      <c r="F19" s="239">
        <v>1</v>
      </c>
      <c r="G19" s="228"/>
      <c r="H19" s="209"/>
      <c r="I19"/>
    </row>
    <row r="20" spans="1:9">
      <c r="A20" s="209">
        <v>4</v>
      </c>
      <c r="B20" s="201"/>
      <c r="C20" s="239" t="s">
        <v>31</v>
      </c>
      <c r="D20" s="239">
        <v>1</v>
      </c>
      <c r="E20" s="239">
        <v>1</v>
      </c>
      <c r="F20" s="239">
        <v>0</v>
      </c>
      <c r="G20" s="228" t="s">
        <v>32</v>
      </c>
      <c r="H20" s="209"/>
      <c r="I20"/>
    </row>
    <row r="21" spans="1:9">
      <c r="A21" s="209">
        <v>5</v>
      </c>
      <c r="B21" s="201"/>
      <c r="C21" s="239" t="s">
        <v>33</v>
      </c>
      <c r="D21" s="239">
        <v>1</v>
      </c>
      <c r="E21" s="239">
        <v>0</v>
      </c>
      <c r="F21" s="239">
        <v>1</v>
      </c>
      <c r="G21" s="240"/>
      <c r="H21" s="241"/>
      <c r="I21"/>
    </row>
    <row r="22" spans="1:9">
      <c r="A22" s="209">
        <v>6</v>
      </c>
      <c r="B22" s="201"/>
      <c r="C22" s="239" t="s">
        <v>34</v>
      </c>
      <c r="D22" s="239">
        <v>1</v>
      </c>
      <c r="E22" s="239">
        <v>1</v>
      </c>
      <c r="F22" s="239">
        <v>0</v>
      </c>
      <c r="G22" s="228" t="s">
        <v>35</v>
      </c>
      <c r="H22" s="241"/>
      <c r="I22"/>
    </row>
    <row r="23" spans="1:9">
      <c r="A23" s="209">
        <v>7</v>
      </c>
      <c r="B23" s="201"/>
      <c r="C23" s="239" t="s">
        <v>36</v>
      </c>
      <c r="D23" s="239">
        <v>1</v>
      </c>
      <c r="E23" s="239">
        <v>0</v>
      </c>
      <c r="F23" s="239">
        <v>1</v>
      </c>
      <c r="G23" s="240"/>
      <c r="H23" s="241"/>
      <c r="I23"/>
    </row>
    <row r="24" spans="1:9">
      <c r="A24" s="229" t="s">
        <v>12</v>
      </c>
      <c r="B24" s="230"/>
      <c r="C24" s="231"/>
      <c r="D24" s="206">
        <f>SUM(D17:D23)</f>
        <v>7</v>
      </c>
      <c r="E24" s="206">
        <f t="shared" ref="E24:F24" si="3">SUM(E17:E23)</f>
        <v>4</v>
      </c>
      <c r="F24" s="206">
        <f t="shared" si="3"/>
        <v>3</v>
      </c>
      <c r="G24" s="232"/>
      <c r="H24" s="206"/>
      <c r="I24"/>
    </row>
    <row r="25" spans="1:9">
      <c r="A25" s="226" t="s">
        <v>1</v>
      </c>
      <c r="B25" s="226" t="s">
        <v>2</v>
      </c>
      <c r="C25" s="226" t="s">
        <v>3</v>
      </c>
      <c r="D25" s="226" t="s">
        <v>4</v>
      </c>
      <c r="E25" s="226" t="s">
        <v>5</v>
      </c>
      <c r="F25" s="226" t="s">
        <v>6</v>
      </c>
      <c r="G25" s="227" t="s">
        <v>7</v>
      </c>
      <c r="H25" s="226" t="s">
        <v>8</v>
      </c>
      <c r="I25"/>
    </row>
    <row r="26" spans="1:9">
      <c r="A26" s="209">
        <v>1</v>
      </c>
      <c r="B26" s="242" t="s">
        <v>37</v>
      </c>
      <c r="C26" s="209" t="s">
        <v>38</v>
      </c>
      <c r="D26" s="209">
        <v>1</v>
      </c>
      <c r="E26" s="209">
        <v>1</v>
      </c>
      <c r="F26" s="209">
        <v>0</v>
      </c>
      <c r="G26" s="228" t="s">
        <v>39</v>
      </c>
      <c r="H26" s="209"/>
      <c r="I26"/>
    </row>
    <row r="27" spans="1:9">
      <c r="A27" s="209">
        <v>2</v>
      </c>
      <c r="B27" s="243"/>
      <c r="C27" s="209" t="s">
        <v>40</v>
      </c>
      <c r="D27" s="209">
        <v>2</v>
      </c>
      <c r="E27" s="209">
        <v>1</v>
      </c>
      <c r="F27" s="209">
        <v>1</v>
      </c>
      <c r="G27" s="228" t="s">
        <v>41</v>
      </c>
      <c r="H27" s="209"/>
      <c r="I27"/>
    </row>
    <row r="28" spans="1:9">
      <c r="A28" s="209">
        <v>3</v>
      </c>
      <c r="B28" s="243"/>
      <c r="C28" s="209" t="s">
        <v>42</v>
      </c>
      <c r="D28" s="209">
        <v>1</v>
      </c>
      <c r="E28" s="209">
        <v>0</v>
      </c>
      <c r="F28" s="209">
        <v>1</v>
      </c>
      <c r="G28" s="228"/>
      <c r="H28" s="209"/>
      <c r="I28"/>
    </row>
    <row r="29" spans="1:9">
      <c r="A29" s="209">
        <v>4</v>
      </c>
      <c r="B29" s="244"/>
      <c r="C29" s="209" t="s">
        <v>43</v>
      </c>
      <c r="D29" s="209">
        <v>3</v>
      </c>
      <c r="E29" s="209">
        <v>0</v>
      </c>
      <c r="F29" s="209">
        <v>3</v>
      </c>
      <c r="G29" s="228"/>
      <c r="H29" s="209"/>
      <c r="I29"/>
    </row>
    <row r="30" spans="1:9">
      <c r="A30" s="229" t="s">
        <v>12</v>
      </c>
      <c r="B30" s="230"/>
      <c r="C30" s="231"/>
      <c r="D30" s="206">
        <f>SUM(D26:D29)</f>
        <v>7</v>
      </c>
      <c r="E30" s="206">
        <f t="shared" ref="E30:F30" si="4">SUM(E26:E29)</f>
        <v>2</v>
      </c>
      <c r="F30" s="206">
        <f t="shared" si="4"/>
        <v>5</v>
      </c>
      <c r="G30" s="245"/>
      <c r="H30" s="246"/>
      <c r="I30"/>
    </row>
    <row r="31" spans="1:9">
      <c r="A31" s="226" t="s">
        <v>1</v>
      </c>
      <c r="B31" s="226" t="s">
        <v>2</v>
      </c>
      <c r="C31" s="226" t="s">
        <v>3</v>
      </c>
      <c r="D31" s="226" t="s">
        <v>4</v>
      </c>
      <c r="E31" s="226" t="s">
        <v>5</v>
      </c>
      <c r="F31" s="226" t="s">
        <v>6</v>
      </c>
      <c r="G31" s="227" t="s">
        <v>7</v>
      </c>
      <c r="H31" s="226" t="s">
        <v>8</v>
      </c>
      <c r="I31"/>
    </row>
    <row r="32" spans="1:9">
      <c r="A32" s="209">
        <v>1</v>
      </c>
      <c r="B32" s="201" t="s">
        <v>44</v>
      </c>
      <c r="C32" s="209" t="s">
        <v>45</v>
      </c>
      <c r="D32" s="209">
        <v>1</v>
      </c>
      <c r="E32" s="209">
        <v>1</v>
      </c>
      <c r="F32" s="209">
        <v>0</v>
      </c>
      <c r="G32" s="228" t="s">
        <v>46</v>
      </c>
      <c r="H32" s="209"/>
      <c r="I32"/>
    </row>
    <row r="33" spans="1:9">
      <c r="A33" s="209">
        <v>2</v>
      </c>
      <c r="B33" s="201"/>
      <c r="C33" s="209" t="s">
        <v>47</v>
      </c>
      <c r="D33" s="209">
        <v>1</v>
      </c>
      <c r="E33" s="209">
        <v>1</v>
      </c>
      <c r="F33" s="209">
        <v>0</v>
      </c>
      <c r="G33" s="228" t="s">
        <v>48</v>
      </c>
      <c r="H33" s="209"/>
      <c r="I33"/>
    </row>
    <row r="34" spans="1:9">
      <c r="A34" s="209">
        <v>3</v>
      </c>
      <c r="B34" s="201"/>
      <c r="C34" s="209" t="s">
        <v>49</v>
      </c>
      <c r="D34" s="201">
        <v>3</v>
      </c>
      <c r="E34" s="201">
        <v>1</v>
      </c>
      <c r="F34" s="201">
        <v>2</v>
      </c>
      <c r="G34" s="228" t="s">
        <v>50</v>
      </c>
      <c r="H34" s="209"/>
      <c r="I34"/>
    </row>
    <row r="35" spans="1:9">
      <c r="A35" s="209">
        <v>4</v>
      </c>
      <c r="B35" s="201"/>
      <c r="C35" s="209" t="s">
        <v>51</v>
      </c>
      <c r="D35" s="209">
        <v>1</v>
      </c>
      <c r="E35" s="209">
        <v>0</v>
      </c>
      <c r="F35" s="209">
        <v>1</v>
      </c>
      <c r="G35" s="228"/>
      <c r="H35" s="209"/>
      <c r="I35"/>
    </row>
    <row r="36" spans="1:9">
      <c r="A36" s="209">
        <v>5</v>
      </c>
      <c r="B36" s="201"/>
      <c r="C36" s="209" t="s">
        <v>52</v>
      </c>
      <c r="D36" s="209">
        <v>1</v>
      </c>
      <c r="E36" s="209">
        <v>0</v>
      </c>
      <c r="F36" s="209">
        <v>1</v>
      </c>
      <c r="G36" s="228"/>
      <c r="H36" s="209"/>
      <c r="I36"/>
    </row>
    <row r="37" spans="1:9">
      <c r="A37" s="209">
        <v>6</v>
      </c>
      <c r="B37" s="201"/>
      <c r="C37" s="209" t="s">
        <v>53</v>
      </c>
      <c r="D37" s="209">
        <v>2</v>
      </c>
      <c r="E37" s="209">
        <v>2</v>
      </c>
      <c r="F37" s="209">
        <v>0</v>
      </c>
      <c r="G37" s="228" t="s">
        <v>54</v>
      </c>
      <c r="H37" s="209" t="s">
        <v>55</v>
      </c>
      <c r="I37"/>
    </row>
    <row r="38" spans="1:9">
      <c r="A38" s="229" t="s">
        <v>12</v>
      </c>
      <c r="B38" s="230"/>
      <c r="C38" s="231"/>
      <c r="D38" s="206">
        <f>SUM(D32:D37)</f>
        <v>9</v>
      </c>
      <c r="E38" s="206">
        <f t="shared" ref="E38:F38" si="5">SUM(E32:E37)</f>
        <v>5</v>
      </c>
      <c r="F38" s="206">
        <f t="shared" si="5"/>
        <v>4</v>
      </c>
      <c r="G38" s="245"/>
      <c r="H38" s="246"/>
      <c r="I38"/>
    </row>
    <row r="39" spans="1:9">
      <c r="A39" s="226" t="s">
        <v>1</v>
      </c>
      <c r="B39" s="226" t="s">
        <v>2</v>
      </c>
      <c r="C39" s="226" t="s">
        <v>3</v>
      </c>
      <c r="D39" s="226" t="s">
        <v>4</v>
      </c>
      <c r="E39" s="226" t="s">
        <v>5</v>
      </c>
      <c r="F39" s="226" t="s">
        <v>6</v>
      </c>
      <c r="G39" s="227" t="s">
        <v>7</v>
      </c>
      <c r="H39" s="226" t="s">
        <v>8</v>
      </c>
      <c r="I39"/>
    </row>
    <row r="40" ht="14.5" spans="1:9">
      <c r="A40" s="209">
        <v>1</v>
      </c>
      <c r="B40" s="242" t="s">
        <v>56</v>
      </c>
      <c r="C40" s="209" t="s">
        <v>57</v>
      </c>
      <c r="D40" s="247">
        <v>1</v>
      </c>
      <c r="E40" s="209">
        <v>1</v>
      </c>
      <c r="F40" s="247">
        <v>0</v>
      </c>
      <c r="G40" s="228" t="s">
        <v>58</v>
      </c>
      <c r="H40" s="209" t="s">
        <v>59</v>
      </c>
      <c r="I40"/>
    </row>
    <row r="41" ht="14.5" spans="1:9">
      <c r="A41" s="209">
        <v>2</v>
      </c>
      <c r="B41" s="243"/>
      <c r="C41" s="209" t="s">
        <v>60</v>
      </c>
      <c r="D41" s="247">
        <v>1</v>
      </c>
      <c r="E41" s="209">
        <v>0</v>
      </c>
      <c r="F41" s="247">
        <v>1</v>
      </c>
      <c r="G41" s="216"/>
      <c r="H41" s="216"/>
      <c r="I41"/>
    </row>
    <row r="42" ht="14.5" spans="1:9">
      <c r="A42" s="209">
        <v>3</v>
      </c>
      <c r="B42" s="243"/>
      <c r="C42" s="209" t="s">
        <v>61</v>
      </c>
      <c r="D42" s="247">
        <v>1</v>
      </c>
      <c r="E42" s="209">
        <v>0</v>
      </c>
      <c r="F42" s="247">
        <v>1</v>
      </c>
      <c r="G42" s="240"/>
      <c r="H42" s="241"/>
      <c r="I42"/>
    </row>
    <row r="43" ht="14.5" spans="1:9">
      <c r="A43" s="209">
        <v>4</v>
      </c>
      <c r="B43" s="243"/>
      <c r="C43" s="209" t="s">
        <v>62</v>
      </c>
      <c r="D43" s="247">
        <v>1</v>
      </c>
      <c r="E43" s="209">
        <v>0</v>
      </c>
      <c r="F43" s="247">
        <v>1</v>
      </c>
      <c r="G43" s="240"/>
      <c r="H43" s="241"/>
      <c r="I43"/>
    </row>
    <row r="44" ht="14.5" spans="1:9">
      <c r="A44" s="209">
        <v>5</v>
      </c>
      <c r="B44" s="244"/>
      <c r="C44" s="209" t="s">
        <v>63</v>
      </c>
      <c r="D44" s="247">
        <v>4</v>
      </c>
      <c r="E44" s="209">
        <v>0</v>
      </c>
      <c r="F44" s="247">
        <v>4</v>
      </c>
      <c r="G44" s="240"/>
      <c r="H44" s="241"/>
      <c r="I44"/>
    </row>
    <row r="45" spans="1:9">
      <c r="A45" s="229" t="s">
        <v>12</v>
      </c>
      <c r="B45" s="230"/>
      <c r="C45" s="231"/>
      <c r="D45" s="206">
        <f>SUM(D40:D44)</f>
        <v>8</v>
      </c>
      <c r="E45" s="206">
        <f t="shared" ref="E45:F45" si="6">SUM(E40:E44)</f>
        <v>1</v>
      </c>
      <c r="F45" s="206">
        <f t="shared" si="6"/>
        <v>7</v>
      </c>
      <c r="G45" s="232"/>
      <c r="H45" s="206"/>
      <c r="I45"/>
    </row>
    <row r="46" ht="14.25" customHeight="1" spans="1:9">
      <c r="A46" s="226" t="s">
        <v>1</v>
      </c>
      <c r="B46" s="226" t="s">
        <v>2</v>
      </c>
      <c r="C46" s="226" t="s">
        <v>3</v>
      </c>
      <c r="D46" s="226" t="s">
        <v>4</v>
      </c>
      <c r="E46" s="226" t="s">
        <v>5</v>
      </c>
      <c r="F46" s="226" t="s">
        <v>6</v>
      </c>
      <c r="G46" s="227" t="s">
        <v>7</v>
      </c>
      <c r="H46" s="226" t="s">
        <v>8</v>
      </c>
      <c r="I46"/>
    </row>
    <row r="47" ht="14.25" customHeight="1" spans="1:9">
      <c r="A47" s="209">
        <v>1</v>
      </c>
      <c r="B47" s="242" t="s">
        <v>64</v>
      </c>
      <c r="C47" s="209" t="s">
        <v>65</v>
      </c>
      <c r="D47" s="209">
        <v>1</v>
      </c>
      <c r="E47" s="209">
        <v>1</v>
      </c>
      <c r="F47" s="209">
        <v>0</v>
      </c>
      <c r="G47" s="209" t="s">
        <v>66</v>
      </c>
      <c r="H47" s="226"/>
      <c r="I47"/>
    </row>
    <row r="48" spans="1:9">
      <c r="A48" s="209">
        <v>2</v>
      </c>
      <c r="B48" s="243"/>
      <c r="C48" s="209" t="s">
        <v>67</v>
      </c>
      <c r="D48" s="209">
        <v>1</v>
      </c>
      <c r="E48" s="209">
        <v>1</v>
      </c>
      <c r="F48" s="209">
        <v>0</v>
      </c>
      <c r="G48" s="228" t="s">
        <v>68</v>
      </c>
      <c r="H48" s="209"/>
      <c r="I48"/>
    </row>
    <row r="49" spans="1:9">
      <c r="A49" s="209">
        <v>3</v>
      </c>
      <c r="B49" s="243"/>
      <c r="C49" s="209" t="s">
        <v>69</v>
      </c>
      <c r="D49" s="209">
        <v>2</v>
      </c>
      <c r="E49" s="209">
        <v>1</v>
      </c>
      <c r="F49" s="209">
        <v>1</v>
      </c>
      <c r="G49" s="228" t="s">
        <v>70</v>
      </c>
      <c r="H49" s="209"/>
      <c r="I49"/>
    </row>
    <row r="50" spans="1:9">
      <c r="A50" s="209">
        <v>4</v>
      </c>
      <c r="B50" s="243"/>
      <c r="C50" s="209" t="s">
        <v>71</v>
      </c>
      <c r="D50" s="209">
        <v>1</v>
      </c>
      <c r="E50" s="209">
        <v>0</v>
      </c>
      <c r="F50" s="209">
        <v>1</v>
      </c>
      <c r="G50" s="228"/>
      <c r="H50" s="209"/>
      <c r="I50"/>
    </row>
    <row r="51" spans="1:9">
      <c r="A51" s="209">
        <v>5</v>
      </c>
      <c r="B51" s="244"/>
      <c r="C51" s="209" t="s">
        <v>72</v>
      </c>
      <c r="D51" s="209">
        <v>1</v>
      </c>
      <c r="E51" s="209">
        <v>0</v>
      </c>
      <c r="F51" s="209">
        <v>1</v>
      </c>
      <c r="G51" s="228"/>
      <c r="H51" s="209"/>
      <c r="I51"/>
    </row>
    <row r="52" spans="1:9">
      <c r="A52" s="229" t="s">
        <v>12</v>
      </c>
      <c r="B52" s="230"/>
      <c r="C52" s="231"/>
      <c r="D52" s="206">
        <f>SUM(D47:D51)</f>
        <v>6</v>
      </c>
      <c r="E52" s="206">
        <f t="shared" ref="E52:F52" si="7">SUM(E47:E51)</f>
        <v>3</v>
      </c>
      <c r="F52" s="206">
        <f t="shared" si="7"/>
        <v>3</v>
      </c>
      <c r="G52" s="232"/>
      <c r="H52" s="206"/>
      <c r="I52"/>
    </row>
    <row r="53" spans="1:9">
      <c r="A53" s="226" t="s">
        <v>1</v>
      </c>
      <c r="B53" s="226" t="s">
        <v>2</v>
      </c>
      <c r="C53" s="226" t="s">
        <v>3</v>
      </c>
      <c r="D53" s="226" t="s">
        <v>4</v>
      </c>
      <c r="E53" s="226" t="s">
        <v>5</v>
      </c>
      <c r="F53" s="226" t="s">
        <v>6</v>
      </c>
      <c r="G53" s="227" t="s">
        <v>7</v>
      </c>
      <c r="H53" s="226" t="s">
        <v>8</v>
      </c>
      <c r="I53"/>
    </row>
    <row r="54" spans="1:9">
      <c r="A54" s="209">
        <v>1</v>
      </c>
      <c r="B54" s="242" t="s">
        <v>73</v>
      </c>
      <c r="C54" s="209" t="s">
        <v>74</v>
      </c>
      <c r="D54" s="209">
        <v>1</v>
      </c>
      <c r="E54" s="209">
        <v>0</v>
      </c>
      <c r="F54" s="209">
        <v>1</v>
      </c>
      <c r="G54" s="228"/>
      <c r="H54" s="226"/>
      <c r="I54"/>
    </row>
    <row r="55" spans="1:9">
      <c r="A55" s="209">
        <v>2</v>
      </c>
      <c r="B55" s="243"/>
      <c r="C55" s="209" t="s">
        <v>75</v>
      </c>
      <c r="D55" s="209">
        <v>1</v>
      </c>
      <c r="E55" s="209">
        <v>0</v>
      </c>
      <c r="F55" s="209">
        <v>1</v>
      </c>
      <c r="G55" s="228"/>
      <c r="H55" s="209"/>
      <c r="I55"/>
    </row>
    <row r="56" spans="1:9">
      <c r="A56" s="209">
        <v>3</v>
      </c>
      <c r="B56" s="243"/>
      <c r="C56" s="209" t="s">
        <v>76</v>
      </c>
      <c r="D56" s="209">
        <v>1</v>
      </c>
      <c r="E56" s="209">
        <v>1</v>
      </c>
      <c r="F56" s="209">
        <v>0</v>
      </c>
      <c r="G56" s="228" t="s">
        <v>77</v>
      </c>
      <c r="H56" s="209"/>
      <c r="I56"/>
    </row>
    <row r="57" spans="1:9">
      <c r="A57" s="209">
        <v>4</v>
      </c>
      <c r="B57" s="243"/>
      <c r="C57" s="209" t="s">
        <v>78</v>
      </c>
      <c r="D57" s="209">
        <v>1</v>
      </c>
      <c r="E57" s="209">
        <v>1</v>
      </c>
      <c r="F57" s="209">
        <v>0</v>
      </c>
      <c r="G57" s="228" t="s">
        <v>79</v>
      </c>
      <c r="H57" s="209"/>
      <c r="I57"/>
    </row>
    <row r="58" spans="1:9">
      <c r="A58" s="209">
        <v>5</v>
      </c>
      <c r="B58" s="243"/>
      <c r="C58" s="201" t="s">
        <v>80</v>
      </c>
      <c r="D58" s="201">
        <v>4</v>
      </c>
      <c r="E58" s="201">
        <v>3</v>
      </c>
      <c r="F58" s="201">
        <v>1</v>
      </c>
      <c r="G58" s="248" t="s">
        <v>81</v>
      </c>
      <c r="H58" s="201" t="s">
        <v>82</v>
      </c>
      <c r="I58"/>
    </row>
    <row r="59" spans="1:9">
      <c r="A59" s="209">
        <v>6</v>
      </c>
      <c r="B59" s="243"/>
      <c r="C59" s="201" t="s">
        <v>83</v>
      </c>
      <c r="D59" s="201">
        <v>1</v>
      </c>
      <c r="E59" s="201">
        <v>0</v>
      </c>
      <c r="F59" s="201">
        <v>1</v>
      </c>
      <c r="G59" s="248"/>
      <c r="H59" s="201"/>
      <c r="I59"/>
    </row>
    <row r="60" spans="1:9">
      <c r="A60" s="209">
        <v>7</v>
      </c>
      <c r="B60" s="243"/>
      <c r="C60" s="201" t="s">
        <v>84</v>
      </c>
      <c r="D60" s="201">
        <v>1</v>
      </c>
      <c r="E60" s="201">
        <v>1</v>
      </c>
      <c r="F60" s="201">
        <v>0</v>
      </c>
      <c r="G60" s="248" t="s">
        <v>85</v>
      </c>
      <c r="H60" s="201"/>
      <c r="I60"/>
    </row>
    <row r="61" spans="1:9">
      <c r="A61" s="209">
        <v>8</v>
      </c>
      <c r="B61" s="243"/>
      <c r="C61" s="201" t="s">
        <v>86</v>
      </c>
      <c r="D61" s="201">
        <v>2</v>
      </c>
      <c r="E61" s="201">
        <v>1</v>
      </c>
      <c r="F61" s="201">
        <v>1</v>
      </c>
      <c r="G61" s="248" t="s">
        <v>87</v>
      </c>
      <c r="H61" s="201"/>
      <c r="I61"/>
    </row>
    <row r="62" spans="1:9">
      <c r="A62" s="209">
        <v>9</v>
      </c>
      <c r="B62" s="244"/>
      <c r="C62" s="201" t="s">
        <v>88</v>
      </c>
      <c r="D62" s="201">
        <v>1</v>
      </c>
      <c r="E62" s="201">
        <v>1</v>
      </c>
      <c r="F62" s="201">
        <v>0</v>
      </c>
      <c r="G62" s="248" t="s">
        <v>89</v>
      </c>
      <c r="H62" s="201"/>
      <c r="I62"/>
    </row>
    <row r="63" spans="1:9">
      <c r="A63" s="229" t="s">
        <v>12</v>
      </c>
      <c r="B63" s="230"/>
      <c r="C63" s="231"/>
      <c r="D63" s="206">
        <f>SUM(D54:D62)</f>
        <v>13</v>
      </c>
      <c r="E63" s="206">
        <f t="shared" ref="E63:F63" si="8">SUM(E54:E62)</f>
        <v>8</v>
      </c>
      <c r="F63" s="206">
        <f t="shared" si="8"/>
        <v>5</v>
      </c>
      <c r="G63" s="232"/>
      <c r="H63" s="206"/>
      <c r="I63"/>
    </row>
    <row r="64" spans="1:9">
      <c r="A64" s="226" t="s">
        <v>1</v>
      </c>
      <c r="B64" s="226" t="s">
        <v>2</v>
      </c>
      <c r="C64" s="226" t="s">
        <v>3</v>
      </c>
      <c r="D64" s="226" t="s">
        <v>4</v>
      </c>
      <c r="E64" s="226" t="s">
        <v>5</v>
      </c>
      <c r="F64" s="226" t="s">
        <v>6</v>
      </c>
      <c r="G64" s="227" t="s">
        <v>7</v>
      </c>
      <c r="H64" s="226" t="s">
        <v>8</v>
      </c>
      <c r="I64"/>
    </row>
    <row r="65" spans="1:9">
      <c r="A65" s="209">
        <v>1</v>
      </c>
      <c r="B65" s="243" t="s">
        <v>90</v>
      </c>
      <c r="C65" s="209" t="s">
        <v>91</v>
      </c>
      <c r="D65" s="209">
        <v>1</v>
      </c>
      <c r="E65" s="209">
        <v>0</v>
      </c>
      <c r="F65" s="209">
        <v>1</v>
      </c>
      <c r="G65" s="228"/>
      <c r="H65" s="209"/>
      <c r="I65"/>
    </row>
    <row r="66" spans="1:9">
      <c r="A66" s="209">
        <v>2</v>
      </c>
      <c r="B66" s="243"/>
      <c r="C66" s="209" t="s">
        <v>92</v>
      </c>
      <c r="D66" s="209">
        <v>1</v>
      </c>
      <c r="E66" s="209">
        <v>1</v>
      </c>
      <c r="F66" s="209">
        <v>0</v>
      </c>
      <c r="G66" s="228" t="s">
        <v>93</v>
      </c>
      <c r="H66" s="209"/>
      <c r="I66"/>
    </row>
    <row r="67" spans="1:9">
      <c r="A67" s="209">
        <v>3</v>
      </c>
      <c r="B67" s="244"/>
      <c r="C67" s="209" t="s">
        <v>94</v>
      </c>
      <c r="D67" s="209">
        <v>1</v>
      </c>
      <c r="E67" s="209">
        <v>0</v>
      </c>
      <c r="F67" s="209">
        <v>1</v>
      </c>
      <c r="G67" s="228"/>
      <c r="H67" s="209"/>
      <c r="I67"/>
    </row>
    <row r="68" spans="1:9">
      <c r="A68" s="229" t="s">
        <v>12</v>
      </c>
      <c r="B68" s="230"/>
      <c r="C68" s="231"/>
      <c r="D68" s="206">
        <f>SUM(D65:D67)</f>
        <v>3</v>
      </c>
      <c r="E68" s="206">
        <f t="shared" ref="E68:F68" si="9">SUM(E65:E67)</f>
        <v>1</v>
      </c>
      <c r="F68" s="206">
        <f t="shared" si="9"/>
        <v>2</v>
      </c>
      <c r="G68" s="232"/>
      <c r="H68" s="206"/>
      <c r="I68"/>
    </row>
    <row r="69" spans="1:9">
      <c r="A69" s="226" t="s">
        <v>1</v>
      </c>
      <c r="B69" s="226" t="s">
        <v>2</v>
      </c>
      <c r="C69" s="226" t="s">
        <v>3</v>
      </c>
      <c r="D69" s="226" t="s">
        <v>4</v>
      </c>
      <c r="E69" s="226" t="s">
        <v>5</v>
      </c>
      <c r="F69" s="226" t="s">
        <v>6</v>
      </c>
      <c r="G69" s="227" t="s">
        <v>7</v>
      </c>
      <c r="H69" s="226" t="s">
        <v>8</v>
      </c>
      <c r="I69"/>
    </row>
    <row r="70" ht="14.25" customHeight="1" spans="1:9">
      <c r="A70" s="209">
        <v>1</v>
      </c>
      <c r="B70" s="242" t="s">
        <v>95</v>
      </c>
      <c r="C70" s="209" t="s">
        <v>96</v>
      </c>
      <c r="D70" s="209">
        <v>1</v>
      </c>
      <c r="E70" s="209">
        <v>1</v>
      </c>
      <c r="F70" s="209">
        <v>0</v>
      </c>
      <c r="G70" s="228" t="s">
        <v>97</v>
      </c>
      <c r="H70" s="209"/>
      <c r="I70"/>
    </row>
    <row r="71" ht="14.25" customHeight="1" spans="1:9">
      <c r="A71" s="209">
        <v>2</v>
      </c>
      <c r="B71" s="243"/>
      <c r="C71" s="209" t="s">
        <v>98</v>
      </c>
      <c r="D71" s="209">
        <v>1</v>
      </c>
      <c r="E71" s="209">
        <v>1</v>
      </c>
      <c r="F71" s="209">
        <v>0</v>
      </c>
      <c r="G71" s="228" t="s">
        <v>99</v>
      </c>
      <c r="H71" s="209" t="s">
        <v>100</v>
      </c>
      <c r="I71"/>
    </row>
    <row r="72" ht="14.25" customHeight="1" spans="1:9">
      <c r="A72" s="209">
        <v>3</v>
      </c>
      <c r="B72" s="243"/>
      <c r="C72" s="209" t="s">
        <v>101</v>
      </c>
      <c r="D72" s="209">
        <v>1</v>
      </c>
      <c r="E72" s="209">
        <v>0</v>
      </c>
      <c r="F72" s="209">
        <v>1</v>
      </c>
      <c r="G72" s="228"/>
      <c r="H72" s="209"/>
      <c r="I72"/>
    </row>
    <row r="73" ht="14.25" customHeight="1" spans="1:9">
      <c r="A73" s="209">
        <v>4</v>
      </c>
      <c r="B73" s="243"/>
      <c r="C73" s="209" t="s">
        <v>102</v>
      </c>
      <c r="D73" s="209">
        <v>1</v>
      </c>
      <c r="E73" s="209">
        <v>1</v>
      </c>
      <c r="F73" s="209">
        <v>0</v>
      </c>
      <c r="G73" s="228" t="s">
        <v>103</v>
      </c>
      <c r="H73" s="209"/>
      <c r="I73"/>
    </row>
    <row r="74" ht="14.25" customHeight="1" spans="1:9">
      <c r="A74" s="209">
        <v>5</v>
      </c>
      <c r="B74" s="243"/>
      <c r="C74" s="209" t="s">
        <v>104</v>
      </c>
      <c r="D74" s="209">
        <v>1</v>
      </c>
      <c r="E74" s="209">
        <v>0</v>
      </c>
      <c r="F74" s="209">
        <v>1</v>
      </c>
      <c r="G74" s="228"/>
      <c r="H74" s="209"/>
      <c r="I74"/>
    </row>
    <row r="75" ht="14.25" customHeight="1" spans="1:9">
      <c r="A75" s="209">
        <v>6</v>
      </c>
      <c r="B75" s="243"/>
      <c r="C75" s="209" t="s">
        <v>105</v>
      </c>
      <c r="D75" s="209">
        <v>6</v>
      </c>
      <c r="E75" s="209">
        <v>0</v>
      </c>
      <c r="F75" s="209">
        <v>6</v>
      </c>
      <c r="G75" s="228"/>
      <c r="H75" s="209"/>
      <c r="I75"/>
    </row>
    <row r="76" ht="14.25" customHeight="1" spans="1:9">
      <c r="A76" s="209">
        <v>7</v>
      </c>
      <c r="B76" s="243"/>
      <c r="C76" s="209" t="s">
        <v>106</v>
      </c>
      <c r="D76" s="209">
        <v>6</v>
      </c>
      <c r="E76" s="209">
        <v>0</v>
      </c>
      <c r="F76" s="209">
        <v>6</v>
      </c>
      <c r="G76" s="228"/>
      <c r="H76" s="209"/>
      <c r="I76"/>
    </row>
    <row r="77" ht="14.25" customHeight="1" spans="1:9">
      <c r="A77" s="209">
        <v>8</v>
      </c>
      <c r="B77" s="243"/>
      <c r="C77" s="209" t="s">
        <v>42</v>
      </c>
      <c r="D77" s="209">
        <v>4</v>
      </c>
      <c r="E77" s="209">
        <v>0</v>
      </c>
      <c r="F77" s="209">
        <v>4</v>
      </c>
      <c r="G77" s="228"/>
      <c r="H77" s="209"/>
      <c r="I77"/>
    </row>
    <row r="78" ht="14.25" customHeight="1" spans="1:9">
      <c r="A78" s="209">
        <v>9</v>
      </c>
      <c r="B78" s="243"/>
      <c r="C78" s="209" t="s">
        <v>107</v>
      </c>
      <c r="D78" s="209">
        <v>1</v>
      </c>
      <c r="E78" s="209">
        <v>0</v>
      </c>
      <c r="F78" s="209">
        <v>1</v>
      </c>
      <c r="G78" s="228"/>
      <c r="H78" s="209"/>
      <c r="I78"/>
    </row>
    <row r="79" ht="14.25" customHeight="1" spans="1:9">
      <c r="A79" s="209">
        <v>10</v>
      </c>
      <c r="B79" s="243"/>
      <c r="C79" s="209" t="s">
        <v>108</v>
      </c>
      <c r="D79" s="209">
        <v>2</v>
      </c>
      <c r="E79" s="209">
        <v>0</v>
      </c>
      <c r="F79" s="209">
        <v>2</v>
      </c>
      <c r="G79" s="228"/>
      <c r="H79" s="209"/>
      <c r="I79"/>
    </row>
    <row r="80" ht="14.25" customHeight="1" spans="1:9">
      <c r="A80" s="209">
        <v>11</v>
      </c>
      <c r="B80" s="243"/>
      <c r="C80" s="209" t="s">
        <v>109</v>
      </c>
      <c r="D80" s="209">
        <v>3</v>
      </c>
      <c r="E80" s="209">
        <v>0</v>
      </c>
      <c r="F80" s="209">
        <v>3</v>
      </c>
      <c r="G80" s="228"/>
      <c r="H80" s="209"/>
      <c r="I80"/>
    </row>
    <row r="81" ht="14.25" customHeight="1" spans="1:9">
      <c r="A81" s="209">
        <v>12</v>
      </c>
      <c r="B81" s="243"/>
      <c r="C81" s="209" t="s">
        <v>110</v>
      </c>
      <c r="D81" s="209">
        <v>1</v>
      </c>
      <c r="E81" s="209">
        <v>0</v>
      </c>
      <c r="F81" s="209">
        <v>1</v>
      </c>
      <c r="G81" s="228"/>
      <c r="H81" s="209"/>
      <c r="I81"/>
    </row>
    <row r="82" spans="1:9">
      <c r="A82" s="229" t="s">
        <v>12</v>
      </c>
      <c r="B82" s="230"/>
      <c r="C82" s="231"/>
      <c r="D82" s="206">
        <f>SUM(D70:D81)</f>
        <v>28</v>
      </c>
      <c r="E82" s="206">
        <f t="shared" ref="E82:F82" si="10">SUM(E70:E81)</f>
        <v>3</v>
      </c>
      <c r="F82" s="206">
        <f t="shared" si="10"/>
        <v>25</v>
      </c>
      <c r="G82" s="232"/>
      <c r="H82" s="206"/>
      <c r="I82"/>
    </row>
    <row r="83" spans="1:9">
      <c r="A83" s="226" t="s">
        <v>1</v>
      </c>
      <c r="B83" s="226" t="s">
        <v>2</v>
      </c>
      <c r="C83" s="226" t="s">
        <v>3</v>
      </c>
      <c r="D83" s="226" t="s">
        <v>4</v>
      </c>
      <c r="E83" s="226" t="s">
        <v>5</v>
      </c>
      <c r="F83" s="226" t="s">
        <v>6</v>
      </c>
      <c r="G83" s="227" t="s">
        <v>7</v>
      </c>
      <c r="H83" s="226" t="s">
        <v>8</v>
      </c>
      <c r="I83"/>
    </row>
    <row r="84" ht="15" customHeight="1" spans="1:9">
      <c r="A84" s="209">
        <v>1</v>
      </c>
      <c r="B84" s="242" t="s">
        <v>111</v>
      </c>
      <c r="C84" s="201" t="s">
        <v>112</v>
      </c>
      <c r="D84" s="201">
        <v>1</v>
      </c>
      <c r="E84" s="209">
        <v>1</v>
      </c>
      <c r="F84" s="209">
        <v>0</v>
      </c>
      <c r="G84" s="228" t="s">
        <v>113</v>
      </c>
      <c r="H84" s="209"/>
      <c r="I84"/>
    </row>
    <row r="85" ht="15" customHeight="1" spans="1:9">
      <c r="A85" s="209">
        <v>2</v>
      </c>
      <c r="B85" s="243"/>
      <c r="C85" s="201" t="s">
        <v>114</v>
      </c>
      <c r="D85" s="201">
        <v>1</v>
      </c>
      <c r="E85" s="209">
        <v>1</v>
      </c>
      <c r="F85" s="209">
        <v>0</v>
      </c>
      <c r="G85" s="228" t="s">
        <v>115</v>
      </c>
      <c r="H85" s="209"/>
      <c r="I85"/>
    </row>
    <row r="86" ht="15" customHeight="1" spans="1:9">
      <c r="A86" s="209">
        <v>3</v>
      </c>
      <c r="B86" s="243"/>
      <c r="C86" s="201" t="s">
        <v>116</v>
      </c>
      <c r="D86" s="201">
        <v>2</v>
      </c>
      <c r="E86" s="209">
        <v>0</v>
      </c>
      <c r="F86" s="201">
        <v>2</v>
      </c>
      <c r="G86" s="228"/>
      <c r="H86" s="209"/>
      <c r="I86"/>
    </row>
    <row r="87" ht="15" customHeight="1" spans="1:9">
      <c r="A87" s="209">
        <v>4</v>
      </c>
      <c r="B87" s="243"/>
      <c r="C87" s="201" t="s">
        <v>117</v>
      </c>
      <c r="D87" s="201">
        <v>1</v>
      </c>
      <c r="E87" s="209">
        <v>0</v>
      </c>
      <c r="F87" s="201">
        <v>1</v>
      </c>
      <c r="G87" s="228"/>
      <c r="H87" s="209"/>
      <c r="I87"/>
    </row>
    <row r="88" ht="15" customHeight="1" spans="1:9">
      <c r="A88" s="209">
        <v>5</v>
      </c>
      <c r="B88" s="243"/>
      <c r="C88" s="201" t="s">
        <v>118</v>
      </c>
      <c r="D88" s="201">
        <v>3</v>
      </c>
      <c r="E88" s="209">
        <v>0</v>
      </c>
      <c r="F88" s="201">
        <v>3</v>
      </c>
      <c r="G88" s="228"/>
      <c r="H88" s="209"/>
      <c r="I88"/>
    </row>
    <row r="89" ht="15" customHeight="1" spans="1:9">
      <c r="A89" s="209">
        <v>6</v>
      </c>
      <c r="B89" s="243"/>
      <c r="C89" s="201" t="s">
        <v>119</v>
      </c>
      <c r="D89" s="201">
        <v>1</v>
      </c>
      <c r="E89" s="209">
        <v>0</v>
      </c>
      <c r="F89" s="201">
        <v>1</v>
      </c>
      <c r="G89" s="228"/>
      <c r="H89" s="209"/>
      <c r="I89"/>
    </row>
    <row r="90" ht="15" customHeight="1" spans="1:9">
      <c r="A90" s="209">
        <v>7</v>
      </c>
      <c r="B90" s="243"/>
      <c r="C90" s="201" t="s">
        <v>120</v>
      </c>
      <c r="D90" s="201">
        <v>3</v>
      </c>
      <c r="E90" s="209">
        <v>3</v>
      </c>
      <c r="F90" s="209">
        <v>0</v>
      </c>
      <c r="G90" s="228" t="s">
        <v>121</v>
      </c>
      <c r="H90" s="209"/>
      <c r="I90"/>
    </row>
    <row r="91" spans="1:9">
      <c r="A91" s="229" t="s">
        <v>12</v>
      </c>
      <c r="B91" s="230"/>
      <c r="C91" s="231"/>
      <c r="D91" s="206">
        <f>SUM(D84:D90)</f>
        <v>12</v>
      </c>
      <c r="E91" s="206">
        <f t="shared" ref="E91:F91" si="11">SUM(E84:E90)</f>
        <v>5</v>
      </c>
      <c r="F91" s="206">
        <f t="shared" si="11"/>
        <v>7</v>
      </c>
      <c r="G91" s="232"/>
      <c r="H91" s="206"/>
      <c r="I91"/>
    </row>
    <row r="92" spans="1:9">
      <c r="A92" s="226" t="s">
        <v>1</v>
      </c>
      <c r="B92" s="226" t="s">
        <v>2</v>
      </c>
      <c r="C92" s="226" t="s">
        <v>3</v>
      </c>
      <c r="D92" s="226" t="s">
        <v>4</v>
      </c>
      <c r="E92" s="226" t="s">
        <v>5</v>
      </c>
      <c r="F92" s="226" t="s">
        <v>6</v>
      </c>
      <c r="G92" s="227" t="s">
        <v>7</v>
      </c>
      <c r="H92" s="226" t="s">
        <v>8</v>
      </c>
      <c r="I92"/>
    </row>
    <row r="93" spans="1:9">
      <c r="A93" s="209">
        <v>1</v>
      </c>
      <c r="B93" s="242" t="s">
        <v>122</v>
      </c>
      <c r="C93" s="201" t="s">
        <v>123</v>
      </c>
      <c r="D93" s="201">
        <v>1</v>
      </c>
      <c r="E93" s="209">
        <v>1</v>
      </c>
      <c r="F93" s="209">
        <v>0</v>
      </c>
      <c r="G93" s="248" t="s">
        <v>124</v>
      </c>
      <c r="H93" s="226"/>
      <c r="I93"/>
    </row>
    <row r="94" spans="1:9">
      <c r="A94" s="209">
        <v>2</v>
      </c>
      <c r="B94" s="243"/>
      <c r="C94" s="201" t="s">
        <v>112</v>
      </c>
      <c r="D94" s="201">
        <v>1</v>
      </c>
      <c r="E94" s="209">
        <v>1</v>
      </c>
      <c r="F94" s="209">
        <v>0</v>
      </c>
      <c r="G94" s="248" t="s">
        <v>125</v>
      </c>
      <c r="H94" s="226"/>
      <c r="I94"/>
    </row>
    <row r="95" spans="1:9">
      <c r="A95" s="209">
        <v>3</v>
      </c>
      <c r="B95" s="243"/>
      <c r="C95" s="201" t="s">
        <v>126</v>
      </c>
      <c r="D95" s="201">
        <v>1</v>
      </c>
      <c r="E95" s="209">
        <v>1</v>
      </c>
      <c r="F95" s="209">
        <v>0</v>
      </c>
      <c r="G95" s="248" t="s">
        <v>127</v>
      </c>
      <c r="H95" s="226"/>
      <c r="I95"/>
    </row>
    <row r="96" spans="1:9">
      <c r="A96" s="209">
        <v>4</v>
      </c>
      <c r="B96" s="243"/>
      <c r="C96" s="201" t="s">
        <v>128</v>
      </c>
      <c r="D96" s="201">
        <v>1</v>
      </c>
      <c r="E96" s="209">
        <v>1</v>
      </c>
      <c r="F96" s="201">
        <v>0</v>
      </c>
      <c r="G96" s="248" t="s">
        <v>129</v>
      </c>
      <c r="H96" s="226"/>
      <c r="I96"/>
    </row>
    <row r="97" spans="1:9">
      <c r="A97" s="209">
        <v>5</v>
      </c>
      <c r="B97" s="243"/>
      <c r="C97" s="201" t="s">
        <v>130</v>
      </c>
      <c r="D97" s="201">
        <v>1</v>
      </c>
      <c r="E97" s="209">
        <v>0</v>
      </c>
      <c r="F97" s="201">
        <v>1</v>
      </c>
      <c r="G97" s="248"/>
      <c r="H97" s="226"/>
      <c r="I97"/>
    </row>
    <row r="98" spans="1:9">
      <c r="A98" s="209">
        <v>6</v>
      </c>
      <c r="B98" s="243"/>
      <c r="C98" s="201" t="s">
        <v>131</v>
      </c>
      <c r="D98" s="201">
        <v>1</v>
      </c>
      <c r="E98" s="209">
        <v>0</v>
      </c>
      <c r="F98" s="201">
        <v>1</v>
      </c>
      <c r="G98" s="248"/>
      <c r="H98" s="226" t="s">
        <v>132</v>
      </c>
      <c r="I98"/>
    </row>
    <row r="99" spans="1:9">
      <c r="A99" s="209">
        <v>7</v>
      </c>
      <c r="B99" s="243"/>
      <c r="C99" s="201" t="s">
        <v>133</v>
      </c>
      <c r="D99" s="201">
        <v>1</v>
      </c>
      <c r="E99" s="209">
        <v>1</v>
      </c>
      <c r="F99" s="201">
        <v>0</v>
      </c>
      <c r="G99" s="248" t="s">
        <v>134</v>
      </c>
      <c r="H99" s="226"/>
      <c r="I99"/>
    </row>
    <row r="100" spans="1:9">
      <c r="A100" s="209">
        <v>8</v>
      </c>
      <c r="B100" s="243"/>
      <c r="C100" s="210" t="s">
        <v>135</v>
      </c>
      <c r="D100" s="201">
        <v>3</v>
      </c>
      <c r="E100" s="209">
        <v>1</v>
      </c>
      <c r="F100" s="209">
        <v>2</v>
      </c>
      <c r="G100" s="248" t="s">
        <v>136</v>
      </c>
      <c r="H100" s="226"/>
      <c r="I100"/>
    </row>
    <row r="101" spans="1:9">
      <c r="A101" s="209">
        <v>9</v>
      </c>
      <c r="B101" s="243"/>
      <c r="C101" s="210" t="s">
        <v>137</v>
      </c>
      <c r="D101" s="201">
        <v>1</v>
      </c>
      <c r="E101" s="209">
        <v>0</v>
      </c>
      <c r="F101" s="209">
        <v>1</v>
      </c>
      <c r="G101" s="248"/>
      <c r="H101" s="226"/>
      <c r="I101"/>
    </row>
    <row r="102" spans="1:9">
      <c r="A102" s="209">
        <v>10</v>
      </c>
      <c r="B102" s="243"/>
      <c r="C102" s="210" t="s">
        <v>138</v>
      </c>
      <c r="D102" s="201">
        <v>1</v>
      </c>
      <c r="E102" s="209">
        <v>0</v>
      </c>
      <c r="F102" s="209">
        <v>1</v>
      </c>
      <c r="G102" s="248"/>
      <c r="H102" s="226" t="s">
        <v>132</v>
      </c>
      <c r="I102"/>
    </row>
    <row r="103" spans="1:9">
      <c r="A103" s="209">
        <v>11</v>
      </c>
      <c r="B103" s="243"/>
      <c r="C103" s="210" t="s">
        <v>139</v>
      </c>
      <c r="D103" s="201">
        <v>1</v>
      </c>
      <c r="E103" s="209">
        <v>1</v>
      </c>
      <c r="F103" s="209">
        <v>0</v>
      </c>
      <c r="G103" s="248" t="s">
        <v>140</v>
      </c>
      <c r="H103" s="226"/>
      <c r="I103"/>
    </row>
    <row r="104" spans="1:9">
      <c r="A104" s="209">
        <v>12</v>
      </c>
      <c r="B104" s="243"/>
      <c r="C104" s="210" t="s">
        <v>141</v>
      </c>
      <c r="D104" s="201">
        <v>3</v>
      </c>
      <c r="E104" s="209">
        <v>0</v>
      </c>
      <c r="F104" s="201">
        <v>3</v>
      </c>
      <c r="G104" s="248"/>
      <c r="H104" s="209"/>
      <c r="I104"/>
    </row>
    <row r="105" spans="1:9">
      <c r="A105" s="209">
        <v>13</v>
      </c>
      <c r="B105" s="243"/>
      <c r="C105" s="210" t="s">
        <v>142</v>
      </c>
      <c r="D105" s="201">
        <v>1</v>
      </c>
      <c r="E105" s="209">
        <v>0</v>
      </c>
      <c r="F105" s="201">
        <v>1</v>
      </c>
      <c r="G105" s="248"/>
      <c r="H105" s="209"/>
      <c r="I105"/>
    </row>
    <row r="106" spans="1:9">
      <c r="A106" s="209">
        <v>14</v>
      </c>
      <c r="B106" s="243"/>
      <c r="C106" s="210" t="s">
        <v>143</v>
      </c>
      <c r="D106" s="201">
        <v>2</v>
      </c>
      <c r="E106" s="209">
        <v>1</v>
      </c>
      <c r="F106" s="209">
        <v>1</v>
      </c>
      <c r="G106" s="248" t="s">
        <v>144</v>
      </c>
      <c r="H106" s="209"/>
      <c r="I106"/>
    </row>
    <row r="107" ht="14.5" spans="1:9">
      <c r="A107" s="209">
        <v>15</v>
      </c>
      <c r="B107" s="243"/>
      <c r="C107" s="210" t="s">
        <v>145</v>
      </c>
      <c r="D107" s="249">
        <v>3</v>
      </c>
      <c r="E107" s="209">
        <v>1</v>
      </c>
      <c r="F107" s="209">
        <v>2</v>
      </c>
      <c r="G107" s="248" t="s">
        <v>146</v>
      </c>
      <c r="H107" s="209"/>
      <c r="I107"/>
    </row>
    <row r="108" ht="15" spans="1:9">
      <c r="A108" s="209">
        <v>16</v>
      </c>
      <c r="B108" s="243"/>
      <c r="C108" s="201" t="s">
        <v>147</v>
      </c>
      <c r="D108" s="249">
        <v>3</v>
      </c>
      <c r="E108" s="201">
        <v>0</v>
      </c>
      <c r="F108" s="249">
        <v>3</v>
      </c>
      <c r="G108" s="248"/>
      <c r="H108" s="250"/>
      <c r="I108"/>
    </row>
    <row r="109" ht="15" spans="1:9">
      <c r="A109" s="209">
        <v>17</v>
      </c>
      <c r="B109" s="243"/>
      <c r="C109" s="201" t="s">
        <v>148</v>
      </c>
      <c r="D109" s="249">
        <v>3</v>
      </c>
      <c r="E109" s="201">
        <v>0</v>
      </c>
      <c r="F109" s="249">
        <v>3</v>
      </c>
      <c r="G109" s="248"/>
      <c r="H109" s="250"/>
      <c r="I109"/>
    </row>
    <row r="110" ht="15" spans="1:9">
      <c r="A110" s="209">
        <v>18</v>
      </c>
      <c r="B110" s="243"/>
      <c r="C110" s="201" t="s">
        <v>149</v>
      </c>
      <c r="D110" s="249">
        <v>3</v>
      </c>
      <c r="E110" s="201">
        <v>0</v>
      </c>
      <c r="F110" s="249">
        <v>3</v>
      </c>
      <c r="G110" s="248"/>
      <c r="H110" s="250"/>
      <c r="I110"/>
    </row>
    <row r="111" ht="15" spans="1:9">
      <c r="A111" s="209">
        <v>19</v>
      </c>
      <c r="B111" s="243"/>
      <c r="C111" s="201" t="s">
        <v>150</v>
      </c>
      <c r="D111" s="249">
        <v>3</v>
      </c>
      <c r="E111" s="201">
        <v>0</v>
      </c>
      <c r="F111" s="249">
        <v>3</v>
      </c>
      <c r="G111" s="248"/>
      <c r="H111" s="250"/>
      <c r="I111"/>
    </row>
    <row r="112" ht="15" spans="1:9">
      <c r="A112" s="209">
        <v>20</v>
      </c>
      <c r="B112" s="243"/>
      <c r="C112" s="201" t="s">
        <v>151</v>
      </c>
      <c r="D112" s="249">
        <v>3</v>
      </c>
      <c r="E112" s="201">
        <v>0</v>
      </c>
      <c r="F112" s="249">
        <v>3</v>
      </c>
      <c r="G112" s="248"/>
      <c r="H112" s="250"/>
      <c r="I112"/>
    </row>
    <row r="113" ht="15" spans="1:9">
      <c r="A113" s="209">
        <v>21</v>
      </c>
      <c r="B113" s="243"/>
      <c r="C113" s="201" t="s">
        <v>152</v>
      </c>
      <c r="D113" s="249">
        <v>3</v>
      </c>
      <c r="E113" s="201">
        <v>0</v>
      </c>
      <c r="F113" s="249">
        <v>3</v>
      </c>
      <c r="G113" s="248"/>
      <c r="H113" s="250"/>
      <c r="I113"/>
    </row>
    <row r="114" ht="15" spans="1:9">
      <c r="A114" s="209">
        <v>22</v>
      </c>
      <c r="B114" s="243"/>
      <c r="C114" s="201" t="s">
        <v>153</v>
      </c>
      <c r="D114" s="249">
        <v>3</v>
      </c>
      <c r="E114" s="201">
        <v>0</v>
      </c>
      <c r="F114" s="249">
        <v>3</v>
      </c>
      <c r="G114" s="248"/>
      <c r="H114" s="250"/>
      <c r="I114"/>
    </row>
    <row r="115" ht="15" spans="1:9">
      <c r="A115" s="209">
        <v>23</v>
      </c>
      <c r="B115" s="243"/>
      <c r="C115" s="201" t="s">
        <v>154</v>
      </c>
      <c r="D115" s="249">
        <v>3</v>
      </c>
      <c r="E115" s="201">
        <v>0</v>
      </c>
      <c r="F115" s="249">
        <v>3</v>
      </c>
      <c r="G115" s="248"/>
      <c r="H115" s="250" t="s">
        <v>155</v>
      </c>
      <c r="I115"/>
    </row>
    <row r="116" ht="15" spans="1:9">
      <c r="A116" s="209">
        <v>24</v>
      </c>
      <c r="B116" s="243"/>
      <c r="C116" s="201" t="s">
        <v>156</v>
      </c>
      <c r="D116" s="249">
        <v>3</v>
      </c>
      <c r="E116" s="201">
        <v>0</v>
      </c>
      <c r="F116" s="249">
        <v>3</v>
      </c>
      <c r="G116" s="248"/>
      <c r="H116" s="250" t="s">
        <v>155</v>
      </c>
      <c r="I116"/>
    </row>
    <row r="117" ht="15" spans="1:9">
      <c r="A117" s="209">
        <v>25</v>
      </c>
      <c r="B117" s="243"/>
      <c r="C117" s="201" t="s">
        <v>157</v>
      </c>
      <c r="D117" s="249">
        <v>6</v>
      </c>
      <c r="E117" s="201">
        <v>0</v>
      </c>
      <c r="F117" s="249">
        <v>6</v>
      </c>
      <c r="G117" s="248"/>
      <c r="H117" s="250"/>
      <c r="I117"/>
    </row>
    <row r="118" ht="14.5" spans="1:9">
      <c r="A118" s="209">
        <v>26</v>
      </c>
      <c r="B118" s="243"/>
      <c r="C118" s="201" t="s">
        <v>158</v>
      </c>
      <c r="D118" s="251">
        <v>3</v>
      </c>
      <c r="E118" s="201">
        <v>0</v>
      </c>
      <c r="F118" s="251">
        <v>3</v>
      </c>
      <c r="G118" s="248"/>
      <c r="H118" s="209"/>
      <c r="I118"/>
    </row>
    <row r="119" spans="1:9">
      <c r="A119" s="209">
        <v>27</v>
      </c>
      <c r="B119" s="244"/>
      <c r="C119" s="201" t="s">
        <v>159</v>
      </c>
      <c r="D119" s="201">
        <v>3</v>
      </c>
      <c r="E119" s="201">
        <v>0</v>
      </c>
      <c r="F119" s="201">
        <v>3</v>
      </c>
      <c r="G119" s="248"/>
      <c r="H119" s="209"/>
      <c r="I119"/>
    </row>
    <row r="120" spans="1:9">
      <c r="A120" s="252" t="s">
        <v>12</v>
      </c>
      <c r="B120" s="253"/>
      <c r="C120" s="254"/>
      <c r="D120" s="255">
        <f>SUM(D93:D119)</f>
        <v>61</v>
      </c>
      <c r="E120" s="255">
        <f t="shared" ref="E120:F120" si="12">SUM(E93:E119)</f>
        <v>9</v>
      </c>
      <c r="F120" s="255">
        <f t="shared" si="12"/>
        <v>52</v>
      </c>
      <c r="G120" s="256"/>
      <c r="H120" s="255"/>
      <c r="I120"/>
    </row>
    <row r="121" spans="1:9">
      <c r="A121" s="226" t="s">
        <v>1</v>
      </c>
      <c r="B121" s="226" t="s">
        <v>2</v>
      </c>
      <c r="C121" s="226" t="s">
        <v>3</v>
      </c>
      <c r="D121" s="226" t="s">
        <v>4</v>
      </c>
      <c r="E121" s="226" t="s">
        <v>5</v>
      </c>
      <c r="F121" s="226" t="s">
        <v>6</v>
      </c>
      <c r="G121" s="227" t="s">
        <v>7</v>
      </c>
      <c r="H121" s="226" t="s">
        <v>8</v>
      </c>
      <c r="I121"/>
    </row>
    <row r="122" spans="1:9">
      <c r="A122" s="209">
        <v>1</v>
      </c>
      <c r="B122" s="233" t="s">
        <v>160</v>
      </c>
      <c r="C122" s="209" t="s">
        <v>19</v>
      </c>
      <c r="D122" s="209">
        <v>1</v>
      </c>
      <c r="E122" s="209">
        <v>1</v>
      </c>
      <c r="F122" s="209">
        <v>0</v>
      </c>
      <c r="G122" s="228" t="s">
        <v>161</v>
      </c>
      <c r="H122" s="209"/>
      <c r="I122"/>
    </row>
    <row r="123" spans="1:9">
      <c r="A123" s="209">
        <v>2</v>
      </c>
      <c r="B123" s="257"/>
      <c r="C123" s="209" t="s">
        <v>110</v>
      </c>
      <c r="D123" s="209">
        <v>2</v>
      </c>
      <c r="E123" s="209">
        <v>0</v>
      </c>
      <c r="F123" s="209">
        <v>2</v>
      </c>
      <c r="G123" s="258"/>
      <c r="H123" s="209"/>
      <c r="I123"/>
    </row>
    <row r="124" spans="1:9">
      <c r="A124" s="229" t="s">
        <v>12</v>
      </c>
      <c r="B124" s="230"/>
      <c r="C124" s="231"/>
      <c r="D124" s="206">
        <f>SUM(D122:D123)</f>
        <v>3</v>
      </c>
      <c r="E124" s="206">
        <f t="shared" ref="E124:F124" si="13">SUM(E122:E123)</f>
        <v>1</v>
      </c>
      <c r="F124" s="206">
        <f t="shared" si="13"/>
        <v>2</v>
      </c>
      <c r="G124" s="232"/>
      <c r="H124" s="206"/>
      <c r="I124"/>
    </row>
    <row r="125" spans="1:9">
      <c r="A125" s="226" t="s">
        <v>1</v>
      </c>
      <c r="B125" s="226" t="s">
        <v>2</v>
      </c>
      <c r="C125" s="226" t="s">
        <v>3</v>
      </c>
      <c r="D125" s="226" t="s">
        <v>4</v>
      </c>
      <c r="E125" s="226" t="s">
        <v>5</v>
      </c>
      <c r="F125" s="226" t="s">
        <v>6</v>
      </c>
      <c r="G125" s="227" t="s">
        <v>7</v>
      </c>
      <c r="H125" s="226" t="s">
        <v>8</v>
      </c>
      <c r="I125"/>
    </row>
    <row r="126" spans="1:9">
      <c r="A126" s="209">
        <v>1</v>
      </c>
      <c r="B126" s="242" t="s">
        <v>162</v>
      </c>
      <c r="C126" s="209" t="s">
        <v>163</v>
      </c>
      <c r="D126" s="209">
        <v>1</v>
      </c>
      <c r="E126" s="209">
        <v>0</v>
      </c>
      <c r="F126" s="209">
        <v>1</v>
      </c>
      <c r="G126" s="228"/>
      <c r="H126" s="209"/>
      <c r="I126"/>
    </row>
    <row r="127" spans="1:9">
      <c r="A127" s="209">
        <v>2</v>
      </c>
      <c r="B127" s="243"/>
      <c r="C127" s="209" t="s">
        <v>164</v>
      </c>
      <c r="D127" s="209">
        <v>1</v>
      </c>
      <c r="E127" s="209">
        <v>1</v>
      </c>
      <c r="F127" s="209">
        <v>0</v>
      </c>
      <c r="G127" s="228" t="s">
        <v>165</v>
      </c>
      <c r="H127" s="209"/>
      <c r="I127"/>
    </row>
    <row r="128" spans="1:9">
      <c r="A128" s="209">
        <v>3</v>
      </c>
      <c r="B128" s="243"/>
      <c r="C128" s="209" t="s">
        <v>142</v>
      </c>
      <c r="D128" s="209">
        <v>2</v>
      </c>
      <c r="E128" s="209">
        <v>0</v>
      </c>
      <c r="F128" s="209">
        <v>2</v>
      </c>
      <c r="G128" s="228"/>
      <c r="H128" s="209"/>
      <c r="I128"/>
    </row>
    <row r="129" spans="1:9">
      <c r="A129" s="209">
        <v>4</v>
      </c>
      <c r="B129" s="243"/>
      <c r="C129" s="209" t="s">
        <v>166</v>
      </c>
      <c r="D129" s="209">
        <v>5</v>
      </c>
      <c r="E129" s="209">
        <v>0</v>
      </c>
      <c r="F129" s="209">
        <v>5</v>
      </c>
      <c r="G129" s="228"/>
      <c r="H129" s="209"/>
      <c r="I129"/>
    </row>
    <row r="130" spans="1:9">
      <c r="A130" s="209">
        <v>5</v>
      </c>
      <c r="B130" s="243"/>
      <c r="C130" s="209" t="s">
        <v>167</v>
      </c>
      <c r="D130" s="209">
        <v>3</v>
      </c>
      <c r="E130" s="209">
        <v>2</v>
      </c>
      <c r="F130" s="209">
        <v>1</v>
      </c>
      <c r="G130" s="228" t="s">
        <v>168</v>
      </c>
      <c r="H130" s="209"/>
      <c r="I130"/>
    </row>
    <row r="131" spans="1:9">
      <c r="A131" s="209">
        <v>6</v>
      </c>
      <c r="B131" s="243"/>
      <c r="C131" s="209" t="s">
        <v>169</v>
      </c>
      <c r="D131" s="209">
        <v>2</v>
      </c>
      <c r="E131" s="209">
        <v>1</v>
      </c>
      <c r="F131" s="209">
        <v>1</v>
      </c>
      <c r="G131" s="228" t="s">
        <v>170</v>
      </c>
      <c r="H131" s="209"/>
      <c r="I131"/>
    </row>
    <row r="132" spans="1:9">
      <c r="A132" s="209">
        <v>7</v>
      </c>
      <c r="B132" s="243"/>
      <c r="C132" s="209" t="s">
        <v>171</v>
      </c>
      <c r="D132" s="209">
        <v>12</v>
      </c>
      <c r="E132" s="209">
        <v>2</v>
      </c>
      <c r="F132" s="209">
        <v>10</v>
      </c>
      <c r="G132" s="228" t="s">
        <v>172</v>
      </c>
      <c r="H132" s="209"/>
      <c r="I132"/>
    </row>
    <row r="133" spans="1:9">
      <c r="A133" s="229" t="s">
        <v>12</v>
      </c>
      <c r="B133" s="230"/>
      <c r="C133" s="231"/>
      <c r="D133" s="206">
        <f>SUM(D126:D132)</f>
        <v>26</v>
      </c>
      <c r="E133" s="206">
        <f t="shared" ref="E133:F133" si="14">SUM(E126:E132)</f>
        <v>6</v>
      </c>
      <c r="F133" s="206">
        <f t="shared" si="14"/>
        <v>20</v>
      </c>
      <c r="G133" s="232"/>
      <c r="H133" s="206"/>
      <c r="I133"/>
    </row>
    <row r="134" spans="1:9">
      <c r="A134" s="226" t="s">
        <v>1</v>
      </c>
      <c r="B134" s="226" t="s">
        <v>2</v>
      </c>
      <c r="C134" s="226" t="s">
        <v>3</v>
      </c>
      <c r="D134" s="226" t="s">
        <v>4</v>
      </c>
      <c r="E134" s="226" t="s">
        <v>5</v>
      </c>
      <c r="F134" s="226" t="s">
        <v>6</v>
      </c>
      <c r="G134" s="227" t="s">
        <v>7</v>
      </c>
      <c r="H134" s="226" t="s">
        <v>8</v>
      </c>
      <c r="I134"/>
    </row>
    <row r="135" spans="1:9">
      <c r="A135" s="209">
        <v>1</v>
      </c>
      <c r="B135" s="242" t="s">
        <v>173</v>
      </c>
      <c r="C135" s="201" t="s">
        <v>174</v>
      </c>
      <c r="D135" s="209">
        <v>1</v>
      </c>
      <c r="E135" s="209">
        <v>1</v>
      </c>
      <c r="F135" s="209">
        <v>0</v>
      </c>
      <c r="G135" s="228" t="s">
        <v>175</v>
      </c>
      <c r="H135" s="209"/>
      <c r="I135"/>
    </row>
    <row r="136" spans="1:9">
      <c r="A136" s="209">
        <v>2</v>
      </c>
      <c r="B136" s="243"/>
      <c r="C136" s="201" t="s">
        <v>176</v>
      </c>
      <c r="D136" s="209">
        <v>1</v>
      </c>
      <c r="E136" s="209">
        <v>1</v>
      </c>
      <c r="F136" s="209">
        <v>0</v>
      </c>
      <c r="G136" s="228" t="s">
        <v>177</v>
      </c>
      <c r="H136" s="209" t="s">
        <v>178</v>
      </c>
      <c r="I136"/>
    </row>
    <row r="137" spans="1:9">
      <c r="A137" s="209">
        <v>3</v>
      </c>
      <c r="B137" s="243"/>
      <c r="C137" s="201" t="s">
        <v>179</v>
      </c>
      <c r="D137" s="209">
        <v>1</v>
      </c>
      <c r="E137" s="209">
        <v>0</v>
      </c>
      <c r="F137" s="209">
        <v>1</v>
      </c>
      <c r="G137" s="228"/>
      <c r="H137" s="209"/>
      <c r="I137"/>
    </row>
    <row r="138" spans="1:9">
      <c r="A138" s="209">
        <v>4</v>
      </c>
      <c r="B138" s="243"/>
      <c r="C138" s="201" t="s">
        <v>180</v>
      </c>
      <c r="D138" s="209">
        <v>1</v>
      </c>
      <c r="E138" s="209">
        <v>1</v>
      </c>
      <c r="F138" s="209">
        <v>0</v>
      </c>
      <c r="G138" s="228" t="s">
        <v>181</v>
      </c>
      <c r="H138" s="209"/>
      <c r="I138"/>
    </row>
    <row r="139" spans="1:9">
      <c r="A139" s="209">
        <v>5</v>
      </c>
      <c r="B139" s="243"/>
      <c r="C139" s="201" t="s">
        <v>182</v>
      </c>
      <c r="D139" s="209">
        <v>1</v>
      </c>
      <c r="E139" s="209">
        <v>0</v>
      </c>
      <c r="F139" s="209">
        <v>1</v>
      </c>
      <c r="G139" s="228"/>
      <c r="H139" s="209" t="s">
        <v>183</v>
      </c>
      <c r="I139"/>
    </row>
    <row r="140" spans="1:9">
      <c r="A140" s="209">
        <v>6</v>
      </c>
      <c r="B140" s="243"/>
      <c r="C140" s="201" t="s">
        <v>184</v>
      </c>
      <c r="D140" s="209">
        <v>1</v>
      </c>
      <c r="E140" s="209">
        <v>1</v>
      </c>
      <c r="F140" s="209">
        <v>0</v>
      </c>
      <c r="G140" s="228" t="s">
        <v>185</v>
      </c>
      <c r="H140" s="209"/>
      <c r="I140"/>
    </row>
    <row r="141" spans="1:9">
      <c r="A141" s="209">
        <v>7</v>
      </c>
      <c r="B141" s="243"/>
      <c r="C141" s="201" t="s">
        <v>186</v>
      </c>
      <c r="D141" s="209">
        <v>3</v>
      </c>
      <c r="E141" s="209">
        <v>1</v>
      </c>
      <c r="F141" s="209">
        <v>2</v>
      </c>
      <c r="G141" s="232" t="s">
        <v>187</v>
      </c>
      <c r="H141" s="259" t="s">
        <v>188</v>
      </c>
      <c r="I141"/>
    </row>
    <row r="142" spans="1:9">
      <c r="A142" s="209">
        <v>8</v>
      </c>
      <c r="B142" s="243"/>
      <c r="C142" s="201" t="s">
        <v>189</v>
      </c>
      <c r="D142" s="209">
        <v>3</v>
      </c>
      <c r="E142" s="209">
        <v>0</v>
      </c>
      <c r="F142" s="209">
        <v>3</v>
      </c>
      <c r="G142" s="232"/>
      <c r="H142" s="260"/>
      <c r="I142"/>
    </row>
    <row r="143" spans="1:9">
      <c r="A143" s="209">
        <v>9</v>
      </c>
      <c r="B143" s="243"/>
      <c r="C143" s="201" t="s">
        <v>190</v>
      </c>
      <c r="D143" s="209">
        <v>3</v>
      </c>
      <c r="E143" s="209">
        <v>0</v>
      </c>
      <c r="F143" s="209">
        <v>3</v>
      </c>
      <c r="G143" s="228"/>
      <c r="H143" s="209"/>
      <c r="I143"/>
    </row>
    <row r="144" spans="1:9">
      <c r="A144" s="209">
        <v>10</v>
      </c>
      <c r="B144" s="243"/>
      <c r="C144" s="201" t="s">
        <v>191</v>
      </c>
      <c r="D144" s="209">
        <v>2</v>
      </c>
      <c r="E144" s="209">
        <v>0</v>
      </c>
      <c r="F144" s="209">
        <v>2</v>
      </c>
      <c r="G144" s="228"/>
      <c r="H144" s="209" t="s">
        <v>192</v>
      </c>
      <c r="I144"/>
    </row>
    <row r="145" ht="17.25" customHeight="1" spans="1:9">
      <c r="A145" s="209">
        <v>11</v>
      </c>
      <c r="B145" s="243"/>
      <c r="C145" s="201" t="s">
        <v>193</v>
      </c>
      <c r="D145" s="209">
        <v>1</v>
      </c>
      <c r="E145" s="209">
        <v>0</v>
      </c>
      <c r="F145" s="209">
        <v>1</v>
      </c>
      <c r="G145" s="228"/>
      <c r="H145" s="209" t="s">
        <v>194</v>
      </c>
      <c r="I145"/>
    </row>
    <row r="146" ht="28" spans="1:9">
      <c r="A146" s="209">
        <v>12</v>
      </c>
      <c r="B146" s="243"/>
      <c r="C146" s="201" t="s">
        <v>195</v>
      </c>
      <c r="D146" s="209">
        <v>4</v>
      </c>
      <c r="E146" s="209">
        <v>1</v>
      </c>
      <c r="F146" s="209">
        <v>3</v>
      </c>
      <c r="G146" s="228" t="s">
        <v>196</v>
      </c>
      <c r="H146" s="209" t="s">
        <v>197</v>
      </c>
      <c r="I146"/>
    </row>
    <row r="147" ht="28" spans="1:9">
      <c r="A147" s="209">
        <v>13</v>
      </c>
      <c r="B147" s="243"/>
      <c r="C147" s="201" t="s">
        <v>198</v>
      </c>
      <c r="D147" s="209">
        <v>9</v>
      </c>
      <c r="E147" s="209">
        <v>1</v>
      </c>
      <c r="F147" s="209">
        <v>8</v>
      </c>
      <c r="G147" s="228" t="s">
        <v>199</v>
      </c>
      <c r="H147" s="209" t="s">
        <v>197</v>
      </c>
      <c r="I147"/>
    </row>
    <row r="148" ht="28" spans="1:9">
      <c r="A148" s="209">
        <v>14</v>
      </c>
      <c r="B148" s="243"/>
      <c r="C148" s="209" t="s">
        <v>167</v>
      </c>
      <c r="D148" s="209">
        <v>4</v>
      </c>
      <c r="E148" s="209">
        <v>0</v>
      </c>
      <c r="F148" s="209">
        <v>4</v>
      </c>
      <c r="G148" s="228"/>
      <c r="H148" s="209" t="s">
        <v>200</v>
      </c>
      <c r="I148"/>
    </row>
    <row r="149" spans="1:9">
      <c r="A149" s="229" t="s">
        <v>12</v>
      </c>
      <c r="B149" s="230"/>
      <c r="C149" s="231"/>
      <c r="D149" s="206">
        <f>SUM(D135:D148)</f>
        <v>35</v>
      </c>
      <c r="E149" s="206">
        <f t="shared" ref="E149:F149" si="15">SUM(E135:E148)</f>
        <v>7</v>
      </c>
      <c r="F149" s="206">
        <f t="shared" si="15"/>
        <v>28</v>
      </c>
      <c r="G149" s="206"/>
      <c r="H149" s="206"/>
      <c r="I149"/>
    </row>
    <row r="150" spans="1:9">
      <c r="A150" s="226" t="s">
        <v>1</v>
      </c>
      <c r="B150" s="226" t="s">
        <v>2</v>
      </c>
      <c r="C150" s="226" t="s">
        <v>3</v>
      </c>
      <c r="D150" s="226" t="s">
        <v>4</v>
      </c>
      <c r="E150" s="226" t="s">
        <v>5</v>
      </c>
      <c r="F150" s="226" t="s">
        <v>6</v>
      </c>
      <c r="G150" s="227" t="s">
        <v>7</v>
      </c>
      <c r="H150" s="226" t="s">
        <v>8</v>
      </c>
      <c r="I150"/>
    </row>
    <row r="151" spans="1:9">
      <c r="A151" s="209">
        <v>1</v>
      </c>
      <c r="B151" s="242" t="s">
        <v>201</v>
      </c>
      <c r="C151" s="209" t="s">
        <v>202</v>
      </c>
      <c r="D151" s="209">
        <v>1</v>
      </c>
      <c r="E151" s="209">
        <v>1</v>
      </c>
      <c r="F151" s="209">
        <v>0</v>
      </c>
      <c r="G151" s="228" t="s">
        <v>203</v>
      </c>
      <c r="H151" s="226"/>
      <c r="I151"/>
    </row>
    <row r="152" ht="13.5" customHeight="1" spans="1:9">
      <c r="A152" s="209">
        <v>2</v>
      </c>
      <c r="B152" s="243"/>
      <c r="C152" s="209" t="s">
        <v>204</v>
      </c>
      <c r="D152" s="209">
        <v>1</v>
      </c>
      <c r="E152" s="209">
        <v>1</v>
      </c>
      <c r="F152" s="209">
        <v>0</v>
      </c>
      <c r="G152" s="228" t="s">
        <v>205</v>
      </c>
      <c r="H152" s="209" t="s">
        <v>206</v>
      </c>
      <c r="I152"/>
    </row>
    <row r="153" spans="1:9">
      <c r="A153" s="209">
        <v>3</v>
      </c>
      <c r="B153" s="243"/>
      <c r="C153" s="209" t="s">
        <v>167</v>
      </c>
      <c r="D153" s="209">
        <v>3</v>
      </c>
      <c r="E153" s="209">
        <v>1</v>
      </c>
      <c r="F153" s="209">
        <v>2</v>
      </c>
      <c r="G153" s="228" t="s">
        <v>207</v>
      </c>
      <c r="H153" s="209"/>
      <c r="I153"/>
    </row>
    <row r="154" spans="1:9">
      <c r="A154" s="209">
        <v>4</v>
      </c>
      <c r="B154" s="243"/>
      <c r="C154" s="209" t="s">
        <v>118</v>
      </c>
      <c r="D154" s="209">
        <v>6</v>
      </c>
      <c r="E154" s="209">
        <v>0</v>
      </c>
      <c r="F154" s="209">
        <v>6</v>
      </c>
      <c r="G154" s="228"/>
      <c r="H154" s="209"/>
      <c r="I154"/>
    </row>
    <row r="155" spans="1:9">
      <c r="A155" s="209">
        <v>5</v>
      </c>
      <c r="B155" s="243"/>
      <c r="C155" s="209" t="s">
        <v>208</v>
      </c>
      <c r="D155" s="209">
        <v>9</v>
      </c>
      <c r="E155" s="209">
        <v>0</v>
      </c>
      <c r="F155" s="209">
        <v>9</v>
      </c>
      <c r="G155" s="228"/>
      <c r="H155" s="209"/>
      <c r="I155"/>
    </row>
    <row r="156" spans="1:9">
      <c r="A156" s="209">
        <v>6</v>
      </c>
      <c r="B156" s="243"/>
      <c r="C156" s="209" t="s">
        <v>209</v>
      </c>
      <c r="D156" s="209">
        <v>6</v>
      </c>
      <c r="E156" s="209">
        <v>0</v>
      </c>
      <c r="F156" s="209">
        <v>6</v>
      </c>
      <c r="G156" s="228"/>
      <c r="H156" s="209"/>
      <c r="I156"/>
    </row>
    <row r="157" spans="1:9">
      <c r="A157" s="209">
        <v>7</v>
      </c>
      <c r="B157" s="243"/>
      <c r="C157" s="209" t="s">
        <v>210</v>
      </c>
      <c r="D157" s="209">
        <v>9</v>
      </c>
      <c r="E157" s="209">
        <v>0</v>
      </c>
      <c r="F157" s="209">
        <v>9</v>
      </c>
      <c r="G157" s="228"/>
      <c r="H157" s="209"/>
      <c r="I157"/>
    </row>
    <row r="158" spans="1:9">
      <c r="A158" s="209">
        <v>8</v>
      </c>
      <c r="B158" s="244"/>
      <c r="C158" s="209" t="s">
        <v>211</v>
      </c>
      <c r="D158" s="209">
        <v>3</v>
      </c>
      <c r="E158" s="209">
        <v>0</v>
      </c>
      <c r="F158" s="209">
        <v>3</v>
      </c>
      <c r="G158" s="228"/>
      <c r="H158" s="209"/>
      <c r="I158"/>
    </row>
    <row r="159" spans="1:9">
      <c r="A159" s="229" t="s">
        <v>12</v>
      </c>
      <c r="B159" s="230"/>
      <c r="C159" s="231"/>
      <c r="D159" s="206">
        <f>SUM(D151:D158)</f>
        <v>38</v>
      </c>
      <c r="E159" s="206">
        <f t="shared" ref="E159:F159" si="16">SUM(E151:E158)</f>
        <v>3</v>
      </c>
      <c r="F159" s="206">
        <f t="shared" si="16"/>
        <v>35</v>
      </c>
      <c r="G159" s="232"/>
      <c r="H159" s="206"/>
      <c r="I159" s="206"/>
    </row>
    <row r="160" spans="1:9">
      <c r="A160" s="226" t="s">
        <v>1</v>
      </c>
      <c r="B160" s="226" t="s">
        <v>2</v>
      </c>
      <c r="C160" s="226" t="s">
        <v>3</v>
      </c>
      <c r="D160" s="226" t="s">
        <v>212</v>
      </c>
      <c r="E160" s="226" t="s">
        <v>213</v>
      </c>
      <c r="F160" s="227" t="s">
        <v>5</v>
      </c>
      <c r="G160" s="226" t="s">
        <v>6</v>
      </c>
      <c r="H160" s="227" t="s">
        <v>7</v>
      </c>
      <c r="I160" s="226" t="s">
        <v>8</v>
      </c>
    </row>
    <row r="161" spans="1:9">
      <c r="A161" s="209">
        <v>1</v>
      </c>
      <c r="B161" s="242" t="s">
        <v>214</v>
      </c>
      <c r="C161" s="209" t="s">
        <v>215</v>
      </c>
      <c r="D161" s="125">
        <v>1</v>
      </c>
      <c r="E161" s="125">
        <v>1</v>
      </c>
      <c r="F161" s="209">
        <v>1</v>
      </c>
      <c r="G161" s="209">
        <v>1</v>
      </c>
      <c r="H161" s="228" t="s">
        <v>216</v>
      </c>
      <c r="I161" s="216"/>
    </row>
    <row r="162" spans="1:9">
      <c r="A162" s="209">
        <v>2</v>
      </c>
      <c r="B162" s="243"/>
      <c r="C162" s="209" t="s">
        <v>217</v>
      </c>
      <c r="D162" s="125">
        <v>3</v>
      </c>
      <c r="E162" s="125">
        <v>3</v>
      </c>
      <c r="F162" s="209">
        <v>2</v>
      </c>
      <c r="G162" s="209">
        <v>4</v>
      </c>
      <c r="H162" s="209" t="s">
        <v>218</v>
      </c>
      <c r="I162" s="216"/>
    </row>
    <row r="163" spans="1:9">
      <c r="A163" s="209">
        <v>3</v>
      </c>
      <c r="B163" s="243"/>
      <c r="C163" s="209" t="s">
        <v>118</v>
      </c>
      <c r="D163" s="125">
        <v>3</v>
      </c>
      <c r="E163" s="125">
        <v>3</v>
      </c>
      <c r="F163" s="209">
        <v>0</v>
      </c>
      <c r="G163" s="209">
        <v>6</v>
      </c>
      <c r="H163" s="209"/>
      <c r="I163" s="209"/>
    </row>
    <row r="164" spans="1:9">
      <c r="A164" s="209">
        <v>4</v>
      </c>
      <c r="B164" s="243"/>
      <c r="C164" s="209" t="s">
        <v>219</v>
      </c>
      <c r="D164" s="125">
        <v>3</v>
      </c>
      <c r="E164" s="125">
        <v>3</v>
      </c>
      <c r="F164" s="209">
        <v>0</v>
      </c>
      <c r="G164" s="209">
        <v>6</v>
      </c>
      <c r="H164" s="209"/>
      <c r="I164" s="209"/>
    </row>
    <row r="165" spans="1:9">
      <c r="A165" s="209">
        <v>5</v>
      </c>
      <c r="B165" s="243"/>
      <c r="C165" s="209" t="s">
        <v>220</v>
      </c>
      <c r="D165" s="125">
        <v>3</v>
      </c>
      <c r="E165" s="125">
        <v>3</v>
      </c>
      <c r="F165" s="209">
        <v>0</v>
      </c>
      <c r="G165" s="209">
        <v>6</v>
      </c>
      <c r="H165" s="209"/>
      <c r="I165" s="209"/>
    </row>
    <row r="166" spans="1:9">
      <c r="A166" s="209">
        <v>6</v>
      </c>
      <c r="B166" s="243"/>
      <c r="C166" s="209" t="s">
        <v>221</v>
      </c>
      <c r="D166" s="125">
        <v>3</v>
      </c>
      <c r="E166" s="125">
        <v>3</v>
      </c>
      <c r="F166" s="209">
        <v>1</v>
      </c>
      <c r="G166" s="209">
        <v>5</v>
      </c>
      <c r="H166" s="209" t="s">
        <v>222</v>
      </c>
      <c r="I166" s="209"/>
    </row>
    <row r="167" spans="1:9">
      <c r="A167" s="209">
        <v>7</v>
      </c>
      <c r="B167" s="243"/>
      <c r="C167" s="209" t="s">
        <v>223</v>
      </c>
      <c r="D167" s="125">
        <v>3</v>
      </c>
      <c r="E167" s="125">
        <v>3</v>
      </c>
      <c r="F167" s="209">
        <v>0</v>
      </c>
      <c r="G167" s="209">
        <v>6</v>
      </c>
      <c r="H167" s="209"/>
      <c r="I167" s="209"/>
    </row>
    <row r="168" spans="1:9">
      <c r="A168" s="209">
        <v>8</v>
      </c>
      <c r="B168" s="243"/>
      <c r="C168" s="209" t="s">
        <v>224</v>
      </c>
      <c r="D168" s="125">
        <v>3</v>
      </c>
      <c r="E168" s="125">
        <v>3</v>
      </c>
      <c r="F168" s="209">
        <v>0</v>
      </c>
      <c r="G168" s="209">
        <v>6</v>
      </c>
      <c r="H168" s="209"/>
      <c r="I168" s="209"/>
    </row>
    <row r="169" spans="1:9">
      <c r="A169" s="209">
        <v>9</v>
      </c>
      <c r="B169" s="243"/>
      <c r="C169" s="209" t="s">
        <v>225</v>
      </c>
      <c r="D169" s="125">
        <v>3</v>
      </c>
      <c r="E169" s="125">
        <v>3</v>
      </c>
      <c r="F169" s="209">
        <v>0</v>
      </c>
      <c r="G169" s="209">
        <v>6</v>
      </c>
      <c r="H169" s="209"/>
      <c r="I169" s="209"/>
    </row>
    <row r="170" spans="1:9">
      <c r="A170" s="209">
        <v>10</v>
      </c>
      <c r="B170" s="243"/>
      <c r="C170" s="209" t="s">
        <v>226</v>
      </c>
      <c r="D170" s="125">
        <v>6</v>
      </c>
      <c r="E170" s="125">
        <v>6</v>
      </c>
      <c r="F170" s="209">
        <v>0</v>
      </c>
      <c r="G170" s="209">
        <v>12</v>
      </c>
      <c r="H170" s="209"/>
      <c r="I170" s="209"/>
    </row>
    <row r="171" spans="1:9">
      <c r="A171" s="209">
        <v>11</v>
      </c>
      <c r="B171" s="243"/>
      <c r="C171" s="209" t="s">
        <v>227</v>
      </c>
      <c r="D171" s="125">
        <v>3</v>
      </c>
      <c r="E171" s="125">
        <v>3</v>
      </c>
      <c r="F171" s="209">
        <v>0</v>
      </c>
      <c r="G171" s="209">
        <v>6</v>
      </c>
      <c r="H171" s="209"/>
      <c r="I171" s="209"/>
    </row>
    <row r="172" spans="1:9">
      <c r="A172" s="209">
        <v>12</v>
      </c>
      <c r="B172" s="243"/>
      <c r="C172" s="209" t="s">
        <v>228</v>
      </c>
      <c r="D172" s="125">
        <v>0</v>
      </c>
      <c r="E172" s="125">
        <v>3</v>
      </c>
      <c r="F172" s="209">
        <v>0</v>
      </c>
      <c r="G172" s="209">
        <v>3</v>
      </c>
      <c r="H172" s="209"/>
      <c r="I172" s="209"/>
    </row>
    <row r="173" spans="1:9">
      <c r="A173" s="229" t="s">
        <v>12</v>
      </c>
      <c r="B173" s="230"/>
      <c r="C173" s="231"/>
      <c r="D173" s="206">
        <f>SUM(D161:D172)</f>
        <v>34</v>
      </c>
      <c r="E173" s="206">
        <f t="shared" ref="E173:G173" si="17">SUM(E161:E172)</f>
        <v>37</v>
      </c>
      <c r="F173" s="206">
        <f t="shared" si="17"/>
        <v>4</v>
      </c>
      <c r="G173" s="206">
        <f t="shared" si="17"/>
        <v>67</v>
      </c>
      <c r="H173" s="206"/>
      <c r="I173" s="206"/>
    </row>
    <row r="174" ht="15" spans="1:9">
      <c r="A174" s="261" t="s">
        <v>229</v>
      </c>
      <c r="B174" s="262"/>
      <c r="C174" s="262" t="s">
        <v>230</v>
      </c>
      <c r="D174" s="262">
        <f>SUM(D173,E173,D159,D149,D133,D124,D120,D91,D82,D68,D63,D52,D45,D38,D30,D24,D15,D8,D5)</f>
        <v>331</v>
      </c>
      <c r="E174" s="262" t="s">
        <v>231</v>
      </c>
      <c r="F174" s="263">
        <f>SUM(F173,E159,E149,E133,E124,E120,E91,E82,E68,E63,E52,E45,E38,E30,E24,E15,E8,E5)</f>
        <v>66</v>
      </c>
      <c r="G174" s="263" t="s">
        <v>232</v>
      </c>
      <c r="H174" s="263">
        <f>SUM(G173,F159,F149,F133,F124,F120,F91,F82,F68,F63,F52,F45,F38,F30,F24,F15,F8,F5)</f>
        <v>265</v>
      </c>
      <c r="I174" s="216"/>
    </row>
    <row r="177" ht="39" customHeight="1" spans="1:9">
      <c r="A177" s="264" t="s">
        <v>233</v>
      </c>
      <c r="B177" s="264"/>
      <c r="C177" s="264"/>
      <c r="D177" s="264"/>
      <c r="E177" s="264"/>
      <c r="F177" s="264"/>
      <c r="G177" s="264"/>
      <c r="H177" s="264"/>
      <c r="I177" s="264"/>
    </row>
    <row r="178" spans="1:9">
      <c r="A178" s="265" t="s">
        <v>234</v>
      </c>
      <c r="B178" s="265"/>
      <c r="C178" s="265"/>
      <c r="D178" s="265"/>
      <c r="E178" s="265"/>
      <c r="F178" s="265"/>
      <c r="G178" s="265"/>
    </row>
  </sheetData>
  <mergeCells count="42">
    <mergeCell ref="A5:C5"/>
    <mergeCell ref="A8:C8"/>
    <mergeCell ref="A15:C15"/>
    <mergeCell ref="A24:C24"/>
    <mergeCell ref="A30:C30"/>
    <mergeCell ref="A38:C38"/>
    <mergeCell ref="A45:C45"/>
    <mergeCell ref="A52:C52"/>
    <mergeCell ref="A63:C63"/>
    <mergeCell ref="A68:C68"/>
    <mergeCell ref="A82:C82"/>
    <mergeCell ref="A91:C91"/>
    <mergeCell ref="A120:C120"/>
    <mergeCell ref="A124:C124"/>
    <mergeCell ref="A133:C133"/>
    <mergeCell ref="A149:C149"/>
    <mergeCell ref="A159:C159"/>
    <mergeCell ref="A173:C173"/>
    <mergeCell ref="A174:B174"/>
    <mergeCell ref="A177:I177"/>
    <mergeCell ref="A178:G178"/>
    <mergeCell ref="B6:B7"/>
    <mergeCell ref="B10:B14"/>
    <mergeCell ref="B17:B23"/>
    <mergeCell ref="B26:B29"/>
    <mergeCell ref="B32:B37"/>
    <mergeCell ref="B40:B44"/>
    <mergeCell ref="B47:B51"/>
    <mergeCell ref="B54:B62"/>
    <mergeCell ref="B65:B67"/>
    <mergeCell ref="B70:B81"/>
    <mergeCell ref="B84:B90"/>
    <mergeCell ref="B93:B119"/>
    <mergeCell ref="B122:B123"/>
    <mergeCell ref="B126:B132"/>
    <mergeCell ref="B135:B148"/>
    <mergeCell ref="B151:B158"/>
    <mergeCell ref="B161:B172"/>
    <mergeCell ref="H10:H14"/>
    <mergeCell ref="H141:H142"/>
    <mergeCell ref="H152:H158"/>
    <mergeCell ref="A1:H2"/>
  </mergeCells>
  <pageMargins left="0.7" right="0.7" top="0.75" bottom="0.75" header="0.3" footer="0.3"/>
  <pageSetup paperSize="125" orientation="portrait" horizontalDpi="180" verticalDpi="18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N142"/>
  <sheetViews>
    <sheetView workbookViewId="0">
      <pane ySplit="4" topLeftCell="A21" activePane="bottomLeft" state="frozen"/>
      <selection/>
      <selection pane="bottomLeft" activeCell="I34" sqref="A24:I34"/>
    </sheetView>
  </sheetViews>
  <sheetFormatPr defaultColWidth="9" defaultRowHeight="14"/>
  <cols>
    <col min="1" max="1" width="12.5" style="173" customWidth="1"/>
    <col min="2" max="2" width="22" customWidth="1"/>
    <col min="3" max="4" width="6.37272727272727" customWidth="1"/>
    <col min="5" max="5" width="6.37272727272727" style="72" customWidth="1"/>
    <col min="6" max="6" width="11.6272727272727" customWidth="1"/>
    <col min="7" max="7" width="9.12727272727273" customWidth="1"/>
    <col min="8" max="8" width="17.5" style="174" customWidth="1"/>
    <col min="9" max="9" width="33.2545454545455" style="174" customWidth="1"/>
    <col min="10" max="12" width="7.37272727272727" style="174" customWidth="1"/>
    <col min="13" max="13" width="8.37272727272727" style="174" customWidth="1"/>
    <col min="14" max="14" width="36.6272727272727" style="174" customWidth="1"/>
    <col min="15" max="16" width="7.87272727272727" style="174" customWidth="1"/>
    <col min="17" max="17" width="31" style="175" customWidth="1"/>
  </cols>
  <sheetData>
    <row r="1" ht="42.75" customHeight="1" spans="1:14">
      <c r="A1" s="176" t="s">
        <v>235</v>
      </c>
      <c r="B1" s="176"/>
      <c r="C1" s="176"/>
      <c r="D1" s="176"/>
      <c r="E1" s="177"/>
      <c r="F1" s="176"/>
      <c r="G1" s="176"/>
      <c r="H1" s="176"/>
      <c r="I1" s="176"/>
      <c r="J1" s="176"/>
      <c r="K1" s="176"/>
      <c r="L1" s="176"/>
      <c r="M1" s="176"/>
      <c r="N1" s="176"/>
    </row>
    <row r="2" ht="14.5" spans="1:14">
      <c r="A2" s="178" t="s">
        <v>236</v>
      </c>
      <c r="B2" s="178"/>
      <c r="C2" s="178"/>
      <c r="D2" s="178"/>
      <c r="E2" s="179"/>
      <c r="F2" s="178"/>
      <c r="G2" s="178"/>
      <c r="H2" s="178"/>
      <c r="I2" s="178"/>
      <c r="J2" s="178"/>
      <c r="K2" s="178"/>
      <c r="L2" s="178"/>
      <c r="M2" s="178"/>
      <c r="N2" s="178"/>
    </row>
    <row r="3" ht="14.5" spans="1:14">
      <c r="A3" s="180" t="s">
        <v>2</v>
      </c>
      <c r="B3" s="180" t="s">
        <v>237</v>
      </c>
      <c r="C3" s="181" t="s">
        <v>4</v>
      </c>
      <c r="D3" s="181" t="s">
        <v>5</v>
      </c>
      <c r="E3" s="182" t="s">
        <v>6</v>
      </c>
      <c r="F3" s="183" t="s">
        <v>238</v>
      </c>
      <c r="G3" s="183"/>
      <c r="H3" s="183"/>
      <c r="I3" s="183"/>
      <c r="J3" s="184" t="s">
        <v>239</v>
      </c>
      <c r="K3" s="185" t="s">
        <v>240</v>
      </c>
      <c r="L3" s="185"/>
      <c r="M3" s="186"/>
      <c r="N3" s="181" t="s">
        <v>241</v>
      </c>
    </row>
    <row r="4" ht="14.5" spans="1:14">
      <c r="A4" s="180"/>
      <c r="B4" s="180"/>
      <c r="C4" s="187"/>
      <c r="D4" s="187"/>
      <c r="E4" s="188"/>
      <c r="F4" s="187" t="s">
        <v>242</v>
      </c>
      <c r="G4" s="187" t="s">
        <v>243</v>
      </c>
      <c r="H4" s="187" t="s">
        <v>244</v>
      </c>
      <c r="I4" s="187" t="s">
        <v>245</v>
      </c>
      <c r="J4" s="189"/>
      <c r="K4" s="187">
        <v>8</v>
      </c>
      <c r="L4" s="187">
        <v>9</v>
      </c>
      <c r="M4" s="187">
        <v>10</v>
      </c>
      <c r="N4" s="187"/>
    </row>
    <row r="5" ht="14.5" spans="1:14">
      <c r="A5" s="190" t="s">
        <v>9</v>
      </c>
      <c r="B5" s="191" t="s">
        <v>10</v>
      </c>
      <c r="C5" s="192">
        <v>1</v>
      </c>
      <c r="D5" s="192">
        <v>1</v>
      </c>
      <c r="E5" s="193">
        <v>0</v>
      </c>
      <c r="F5" s="192"/>
      <c r="G5" s="192"/>
      <c r="H5" s="192"/>
      <c r="I5" s="192"/>
      <c r="J5" s="194" t="s">
        <v>246</v>
      </c>
      <c r="K5" s="195"/>
      <c r="L5" s="195"/>
      <c r="M5" s="195"/>
      <c r="N5" s="195"/>
    </row>
    <row r="6" ht="14.5" spans="1:14">
      <c r="A6" s="196" t="s">
        <v>13</v>
      </c>
      <c r="B6" s="197" t="s">
        <v>14</v>
      </c>
      <c r="C6" s="192">
        <v>1</v>
      </c>
      <c r="D6" s="192">
        <v>1</v>
      </c>
      <c r="E6" s="193">
        <v>0</v>
      </c>
      <c r="F6" s="189"/>
      <c r="G6" s="189"/>
      <c r="H6" s="194"/>
      <c r="I6" s="194"/>
      <c r="J6" s="194" t="s">
        <v>246</v>
      </c>
      <c r="K6" s="198"/>
      <c r="L6" s="198"/>
      <c r="M6" s="198"/>
      <c r="N6" s="199"/>
    </row>
    <row r="7" ht="14.5" spans="1:14">
      <c r="A7" s="200"/>
      <c r="B7" s="197" t="s">
        <v>247</v>
      </c>
      <c r="C7" s="192">
        <v>1</v>
      </c>
      <c r="D7" s="192">
        <v>1</v>
      </c>
      <c r="E7" s="193">
        <v>0</v>
      </c>
      <c r="F7" s="189"/>
      <c r="G7" s="189"/>
      <c r="H7" s="194"/>
      <c r="I7" s="194"/>
      <c r="J7" s="194" t="s">
        <v>246</v>
      </c>
      <c r="K7" s="198"/>
      <c r="L7" s="198"/>
      <c r="M7" s="198"/>
      <c r="N7" s="199"/>
    </row>
    <row r="8" ht="14.5" spans="1:14">
      <c r="A8" s="196" t="s">
        <v>18</v>
      </c>
      <c r="B8" s="201" t="s">
        <v>19</v>
      </c>
      <c r="C8" s="192">
        <v>1</v>
      </c>
      <c r="D8" s="192">
        <v>1</v>
      </c>
      <c r="E8" s="193">
        <v>0</v>
      </c>
      <c r="F8" s="202"/>
      <c r="G8" s="202"/>
      <c r="H8" s="194"/>
      <c r="I8" s="194"/>
      <c r="J8" s="194" t="s">
        <v>246</v>
      </c>
      <c r="K8" s="198"/>
      <c r="L8" s="198"/>
      <c r="M8" s="198"/>
      <c r="N8" s="199"/>
    </row>
    <row r="9" ht="14.5" spans="1:14">
      <c r="A9" s="203"/>
      <c r="B9" s="201" t="s">
        <v>21</v>
      </c>
      <c r="C9" s="192">
        <v>0</v>
      </c>
      <c r="D9" s="192">
        <v>0</v>
      </c>
      <c r="E9" s="193">
        <v>0</v>
      </c>
      <c r="F9" s="202"/>
      <c r="G9" s="202"/>
      <c r="H9" s="194"/>
      <c r="I9" s="194"/>
      <c r="J9" s="194"/>
      <c r="K9" s="199"/>
      <c r="L9" s="199"/>
      <c r="M9" s="199"/>
      <c r="N9" s="199"/>
    </row>
    <row r="10" ht="14.5" spans="1:14">
      <c r="A10" s="203"/>
      <c r="B10" s="201" t="s">
        <v>22</v>
      </c>
      <c r="C10" s="192">
        <v>0</v>
      </c>
      <c r="D10" s="192">
        <v>0</v>
      </c>
      <c r="E10" s="193">
        <v>0</v>
      </c>
      <c r="F10" s="202"/>
      <c r="G10" s="202"/>
      <c r="H10" s="194"/>
      <c r="I10" s="194"/>
      <c r="J10" s="194"/>
      <c r="K10" s="199"/>
      <c r="L10" s="199"/>
      <c r="M10" s="199"/>
      <c r="N10" s="199"/>
    </row>
    <row r="11" ht="14.5" spans="1:14">
      <c r="A11" s="203"/>
      <c r="B11" s="201" t="s">
        <v>23</v>
      </c>
      <c r="C11" s="192">
        <v>0</v>
      </c>
      <c r="D11" s="192">
        <v>0</v>
      </c>
      <c r="E11" s="193">
        <v>0</v>
      </c>
      <c r="F11" s="202"/>
      <c r="G11" s="202"/>
      <c r="H11" s="194"/>
      <c r="I11" s="194"/>
      <c r="J11" s="194"/>
      <c r="K11" s="199"/>
      <c r="L11" s="199"/>
      <c r="M11" s="199"/>
      <c r="N11" s="199"/>
    </row>
    <row r="12" ht="14.5" spans="1:14">
      <c r="A12" s="200"/>
      <c r="B12" s="201" t="s">
        <v>24</v>
      </c>
      <c r="C12" s="192">
        <v>0</v>
      </c>
      <c r="D12" s="192">
        <v>0</v>
      </c>
      <c r="E12" s="193">
        <v>0</v>
      </c>
      <c r="F12" s="202"/>
      <c r="G12" s="202"/>
      <c r="H12" s="194"/>
      <c r="I12" s="194"/>
      <c r="J12" s="194"/>
      <c r="K12" s="199"/>
      <c r="L12" s="199"/>
      <c r="M12" s="199"/>
      <c r="N12" s="199"/>
    </row>
    <row r="13" ht="14.5" spans="1:14">
      <c r="A13" s="196" t="s">
        <v>25</v>
      </c>
      <c r="B13" s="201" t="s">
        <v>26</v>
      </c>
      <c r="C13" s="192">
        <v>1</v>
      </c>
      <c r="D13" s="192">
        <v>1</v>
      </c>
      <c r="E13" s="193">
        <v>0</v>
      </c>
      <c r="F13" s="202"/>
      <c r="G13" s="202"/>
      <c r="H13" s="194"/>
      <c r="I13" s="194"/>
      <c r="J13" s="194" t="s">
        <v>246</v>
      </c>
      <c r="K13" s="194"/>
      <c r="L13" s="194"/>
      <c r="M13" s="194"/>
      <c r="N13" s="204"/>
    </row>
    <row r="14" ht="28" spans="1:14">
      <c r="A14" s="203"/>
      <c r="B14" s="201" t="s">
        <v>28</v>
      </c>
      <c r="C14" s="192">
        <v>1</v>
      </c>
      <c r="D14" s="192">
        <v>1</v>
      </c>
      <c r="E14" s="193">
        <v>0</v>
      </c>
      <c r="F14" s="197" t="s">
        <v>248</v>
      </c>
      <c r="G14" s="197" t="s">
        <v>249</v>
      </c>
      <c r="H14" s="197" t="s">
        <v>250</v>
      </c>
      <c r="I14" s="197" t="s">
        <v>251</v>
      </c>
      <c r="J14" s="197" t="s">
        <v>246</v>
      </c>
      <c r="K14" s="197"/>
      <c r="L14" s="197"/>
      <c r="M14" s="197"/>
      <c r="N14" s="197"/>
    </row>
    <row r="15" ht="28" spans="1:14">
      <c r="A15" s="203"/>
      <c r="B15" s="201" t="s">
        <v>30</v>
      </c>
      <c r="C15" s="192">
        <v>1</v>
      </c>
      <c r="D15" s="192">
        <v>0</v>
      </c>
      <c r="E15" s="193">
        <v>1</v>
      </c>
      <c r="F15" s="197" t="s">
        <v>248</v>
      </c>
      <c r="G15" s="197" t="s">
        <v>249</v>
      </c>
      <c r="H15" s="197" t="s">
        <v>250</v>
      </c>
      <c r="I15" s="197" t="s">
        <v>252</v>
      </c>
      <c r="J15" s="197"/>
      <c r="K15" s="197"/>
      <c r="L15" s="197">
        <v>1</v>
      </c>
      <c r="M15" s="197"/>
      <c r="N15" s="197" t="s">
        <v>253</v>
      </c>
    </row>
    <row r="16" ht="70" spans="1:14">
      <c r="A16" s="203"/>
      <c r="B16" s="201" t="s">
        <v>31</v>
      </c>
      <c r="C16" s="192">
        <v>1</v>
      </c>
      <c r="D16" s="192">
        <v>1</v>
      </c>
      <c r="E16" s="193">
        <v>0</v>
      </c>
      <c r="F16" s="197" t="s">
        <v>248</v>
      </c>
      <c r="G16" s="197" t="s">
        <v>249</v>
      </c>
      <c r="H16" s="197" t="s">
        <v>250</v>
      </c>
      <c r="I16" s="197" t="s">
        <v>252</v>
      </c>
      <c r="J16" s="197" t="s">
        <v>246</v>
      </c>
      <c r="K16" s="197"/>
      <c r="L16" s="197"/>
      <c r="M16" s="197"/>
      <c r="N16" s="197" t="s">
        <v>254</v>
      </c>
    </row>
    <row r="17" ht="14.5" spans="1:14">
      <c r="A17" s="203"/>
      <c r="B17" s="201" t="s">
        <v>33</v>
      </c>
      <c r="C17" s="192">
        <v>1</v>
      </c>
      <c r="D17" s="192">
        <v>0</v>
      </c>
      <c r="E17" s="193">
        <v>1</v>
      </c>
      <c r="F17" s="197" t="s">
        <v>248</v>
      </c>
      <c r="G17" s="197" t="s">
        <v>255</v>
      </c>
      <c r="H17" s="197" t="s">
        <v>250</v>
      </c>
      <c r="I17" s="197" t="s">
        <v>256</v>
      </c>
      <c r="J17" s="197"/>
      <c r="K17" s="197"/>
      <c r="L17" s="197">
        <v>1</v>
      </c>
      <c r="M17" s="197"/>
      <c r="N17" s="197" t="s">
        <v>257</v>
      </c>
    </row>
    <row r="18" ht="14.5" spans="1:14">
      <c r="A18" s="203"/>
      <c r="B18" s="201" t="s">
        <v>34</v>
      </c>
      <c r="C18" s="192">
        <v>1</v>
      </c>
      <c r="D18" s="192">
        <v>1</v>
      </c>
      <c r="E18" s="193">
        <v>0</v>
      </c>
      <c r="F18" s="197" t="s">
        <v>248</v>
      </c>
      <c r="G18" s="197" t="s">
        <v>255</v>
      </c>
      <c r="H18" s="197" t="s">
        <v>250</v>
      </c>
      <c r="I18" s="197" t="s">
        <v>256</v>
      </c>
      <c r="J18" s="197" t="s">
        <v>246</v>
      </c>
      <c r="K18" s="197"/>
      <c r="L18" s="197"/>
      <c r="M18" s="197"/>
      <c r="N18" s="197" t="s">
        <v>258</v>
      </c>
    </row>
    <row r="19" ht="14.5" spans="1:14">
      <c r="A19" s="200"/>
      <c r="B19" s="201" t="s">
        <v>36</v>
      </c>
      <c r="C19" s="192">
        <v>1</v>
      </c>
      <c r="D19" s="192">
        <v>0</v>
      </c>
      <c r="E19" s="193">
        <v>1</v>
      </c>
      <c r="F19" s="197" t="s">
        <v>248</v>
      </c>
      <c r="G19" s="197" t="s">
        <v>255</v>
      </c>
      <c r="H19" s="197" t="s">
        <v>250</v>
      </c>
      <c r="I19" s="197" t="s">
        <v>259</v>
      </c>
      <c r="J19" s="197"/>
      <c r="K19" s="197"/>
      <c r="L19" s="197">
        <v>1</v>
      </c>
      <c r="M19" s="197"/>
      <c r="N19" s="197" t="s">
        <v>260</v>
      </c>
    </row>
    <row r="20" ht="42" spans="1:14">
      <c r="A20" s="196" t="s">
        <v>37</v>
      </c>
      <c r="B20" s="201" t="s">
        <v>38</v>
      </c>
      <c r="C20" s="192">
        <v>1</v>
      </c>
      <c r="D20" s="192">
        <v>1</v>
      </c>
      <c r="E20" s="193">
        <v>0</v>
      </c>
      <c r="F20" s="197" t="s">
        <v>261</v>
      </c>
      <c r="G20" s="197" t="s">
        <v>262</v>
      </c>
      <c r="H20" s="197" t="s">
        <v>263</v>
      </c>
      <c r="I20" s="197" t="s">
        <v>264</v>
      </c>
      <c r="J20" s="197" t="s">
        <v>246</v>
      </c>
      <c r="K20" s="197"/>
      <c r="L20" s="197"/>
      <c r="M20" s="197"/>
      <c r="N20" s="205" t="s">
        <v>265</v>
      </c>
    </row>
    <row r="21" ht="28" spans="1:14">
      <c r="A21" s="203"/>
      <c r="B21" s="201" t="s">
        <v>40</v>
      </c>
      <c r="C21" s="192">
        <v>2</v>
      </c>
      <c r="D21" s="192">
        <v>1</v>
      </c>
      <c r="E21" s="193">
        <v>1</v>
      </c>
      <c r="F21" s="197" t="s">
        <v>261</v>
      </c>
      <c r="G21" s="197" t="s">
        <v>262</v>
      </c>
      <c r="H21" s="197" t="s">
        <v>263</v>
      </c>
      <c r="I21" s="197" t="s">
        <v>266</v>
      </c>
      <c r="J21" s="197"/>
      <c r="K21" s="197"/>
      <c r="L21" s="197">
        <v>1</v>
      </c>
      <c r="M21" s="197"/>
      <c r="N21" s="205"/>
    </row>
    <row r="22" ht="28" spans="1:14">
      <c r="A22" s="203"/>
      <c r="B22" s="201" t="s">
        <v>42</v>
      </c>
      <c r="C22" s="192">
        <v>1</v>
      </c>
      <c r="D22" s="192">
        <v>0</v>
      </c>
      <c r="E22" s="193">
        <v>1</v>
      </c>
      <c r="F22" s="197" t="s">
        <v>261</v>
      </c>
      <c r="G22" s="197" t="s">
        <v>262</v>
      </c>
      <c r="H22" s="197" t="s">
        <v>263</v>
      </c>
      <c r="I22" s="197" t="s">
        <v>267</v>
      </c>
      <c r="J22" s="197"/>
      <c r="K22" s="197"/>
      <c r="L22" s="197">
        <v>1</v>
      </c>
      <c r="M22" s="197"/>
      <c r="N22" s="205" t="s">
        <v>268</v>
      </c>
    </row>
    <row r="23" ht="28" spans="1:14">
      <c r="A23" s="203"/>
      <c r="B23" s="201" t="s">
        <v>43</v>
      </c>
      <c r="C23" s="192">
        <v>3</v>
      </c>
      <c r="D23" s="192">
        <v>0</v>
      </c>
      <c r="E23" s="193">
        <v>3</v>
      </c>
      <c r="F23" s="197" t="s">
        <v>261</v>
      </c>
      <c r="G23" s="197" t="s">
        <v>262</v>
      </c>
      <c r="H23" s="197" t="s">
        <v>263</v>
      </c>
      <c r="I23" s="197" t="s">
        <v>266</v>
      </c>
      <c r="J23" s="197"/>
      <c r="K23" s="197"/>
      <c r="L23" s="197"/>
      <c r="M23" s="197">
        <v>3</v>
      </c>
      <c r="N23" s="205"/>
    </row>
    <row r="24" ht="14.5" spans="1:14">
      <c r="A24" s="196" t="s">
        <v>44</v>
      </c>
      <c r="B24" s="201" t="s">
        <v>45</v>
      </c>
      <c r="C24" s="192">
        <v>1</v>
      </c>
      <c r="D24" s="192">
        <v>1</v>
      </c>
      <c r="E24" s="193">
        <v>0</v>
      </c>
      <c r="F24" s="197"/>
      <c r="G24" s="197"/>
      <c r="H24" s="197"/>
      <c r="I24" s="197"/>
      <c r="J24" s="197" t="s">
        <v>246</v>
      </c>
      <c r="K24" s="197"/>
      <c r="L24" s="197"/>
      <c r="M24" s="197"/>
      <c r="N24" s="205"/>
    </row>
    <row r="25" ht="14.5" spans="1:14">
      <c r="A25" s="203"/>
      <c r="B25" s="201" t="s">
        <v>47</v>
      </c>
      <c r="C25" s="192">
        <v>1</v>
      </c>
      <c r="D25" s="192">
        <v>1</v>
      </c>
      <c r="E25" s="193">
        <v>0</v>
      </c>
      <c r="F25" s="197" t="s">
        <v>261</v>
      </c>
      <c r="G25" s="197" t="s">
        <v>269</v>
      </c>
      <c r="H25" s="197" t="s">
        <v>263</v>
      </c>
      <c r="I25" s="197" t="s">
        <v>270</v>
      </c>
      <c r="J25" s="197" t="s">
        <v>246</v>
      </c>
      <c r="K25" s="197"/>
      <c r="L25" s="197"/>
      <c r="M25" s="197"/>
      <c r="N25" s="205"/>
    </row>
    <row r="26" ht="14.5" spans="1:14">
      <c r="A26" s="203"/>
      <c r="B26" s="201" t="s">
        <v>49</v>
      </c>
      <c r="C26" s="192">
        <v>3</v>
      </c>
      <c r="D26" s="192">
        <v>1</v>
      </c>
      <c r="E26" s="193">
        <v>2</v>
      </c>
      <c r="F26" s="197" t="s">
        <v>261</v>
      </c>
      <c r="G26" s="197" t="s">
        <v>269</v>
      </c>
      <c r="H26" s="197" t="s">
        <v>263</v>
      </c>
      <c r="I26" s="197" t="s">
        <v>271</v>
      </c>
      <c r="J26" s="197"/>
      <c r="K26" s="197"/>
      <c r="L26" s="197">
        <v>2</v>
      </c>
      <c r="M26" s="197"/>
      <c r="N26" s="205"/>
    </row>
    <row r="27" ht="14.5" spans="1:14">
      <c r="A27" s="203"/>
      <c r="B27" s="201" t="s">
        <v>51</v>
      </c>
      <c r="C27" s="192">
        <v>1</v>
      </c>
      <c r="D27" s="192">
        <v>0</v>
      </c>
      <c r="E27" s="193">
        <v>1</v>
      </c>
      <c r="F27" s="197" t="s">
        <v>261</v>
      </c>
      <c r="G27" s="197" t="s">
        <v>269</v>
      </c>
      <c r="H27" s="197" t="s">
        <v>263</v>
      </c>
      <c r="I27" s="197" t="s">
        <v>271</v>
      </c>
      <c r="J27" s="197"/>
      <c r="K27" s="197"/>
      <c r="L27" s="197">
        <v>1</v>
      </c>
      <c r="M27" s="197"/>
      <c r="N27" s="205"/>
    </row>
    <row r="28" ht="14.5" spans="1:14">
      <c r="A28" s="203"/>
      <c r="B28" s="201" t="s">
        <v>52</v>
      </c>
      <c r="C28" s="192">
        <v>1</v>
      </c>
      <c r="D28" s="192">
        <v>0</v>
      </c>
      <c r="E28" s="193">
        <v>1</v>
      </c>
      <c r="F28" s="197" t="s">
        <v>261</v>
      </c>
      <c r="G28" s="197" t="s">
        <v>269</v>
      </c>
      <c r="H28" s="197" t="s">
        <v>263</v>
      </c>
      <c r="I28" s="197" t="s">
        <v>271</v>
      </c>
      <c r="J28" s="197"/>
      <c r="K28" s="197"/>
      <c r="L28" s="197">
        <v>1</v>
      </c>
      <c r="M28" s="197"/>
      <c r="N28" s="205"/>
    </row>
    <row r="29" ht="14.5" spans="1:14">
      <c r="A29" s="200"/>
      <c r="B29" s="201" t="s">
        <v>53</v>
      </c>
      <c r="C29" s="192">
        <v>2</v>
      </c>
      <c r="D29" s="192">
        <v>2</v>
      </c>
      <c r="E29" s="193">
        <v>0</v>
      </c>
      <c r="F29" s="197"/>
      <c r="G29" s="197"/>
      <c r="H29" s="197"/>
      <c r="I29" s="197"/>
      <c r="J29" s="197" t="s">
        <v>246</v>
      </c>
      <c r="K29" s="197"/>
      <c r="L29" s="197"/>
      <c r="M29" s="197"/>
      <c r="N29" s="205"/>
    </row>
    <row r="30" ht="14.5" spans="1:14">
      <c r="A30" s="196" t="s">
        <v>56</v>
      </c>
      <c r="B30" s="201" t="s">
        <v>57</v>
      </c>
      <c r="C30" s="192">
        <v>1</v>
      </c>
      <c r="D30" s="192">
        <v>1</v>
      </c>
      <c r="E30" s="193">
        <v>0</v>
      </c>
      <c r="F30" s="197" t="s">
        <v>261</v>
      </c>
      <c r="G30" s="197" t="s">
        <v>272</v>
      </c>
      <c r="H30" s="197" t="s">
        <v>273</v>
      </c>
      <c r="I30" s="197" t="s">
        <v>270</v>
      </c>
      <c r="J30" s="197" t="s">
        <v>246</v>
      </c>
      <c r="K30" s="197"/>
      <c r="L30" s="197"/>
      <c r="M30" s="197"/>
      <c r="N30" s="205"/>
    </row>
    <row r="31" ht="14.5" spans="1:14">
      <c r="A31" s="203"/>
      <c r="B31" s="201" t="s">
        <v>60</v>
      </c>
      <c r="C31" s="192">
        <v>1</v>
      </c>
      <c r="D31" s="192">
        <v>0</v>
      </c>
      <c r="E31" s="193">
        <v>1</v>
      </c>
      <c r="F31" s="197" t="s">
        <v>274</v>
      </c>
      <c r="G31" s="197" t="s">
        <v>272</v>
      </c>
      <c r="H31" s="197" t="s">
        <v>263</v>
      </c>
      <c r="I31" s="197" t="s">
        <v>271</v>
      </c>
      <c r="J31" s="197"/>
      <c r="K31" s="197"/>
      <c r="L31" s="197"/>
      <c r="M31" s="197">
        <v>1</v>
      </c>
      <c r="N31" s="205"/>
    </row>
    <row r="32" ht="14.5" spans="1:14">
      <c r="A32" s="203"/>
      <c r="B32" s="201" t="s">
        <v>61</v>
      </c>
      <c r="C32" s="192">
        <v>1</v>
      </c>
      <c r="D32" s="192">
        <v>0</v>
      </c>
      <c r="E32" s="193">
        <v>1</v>
      </c>
      <c r="F32" s="197" t="s">
        <v>274</v>
      </c>
      <c r="G32" s="197" t="s">
        <v>272</v>
      </c>
      <c r="H32" s="197" t="s">
        <v>263</v>
      </c>
      <c r="I32" s="197" t="s">
        <v>271</v>
      </c>
      <c r="J32" s="197"/>
      <c r="K32" s="197"/>
      <c r="L32" s="197"/>
      <c r="M32" s="197">
        <v>1</v>
      </c>
      <c r="N32" s="205"/>
    </row>
    <row r="33" ht="14.5" spans="1:14">
      <c r="A33" s="203"/>
      <c r="B33" s="201" t="s">
        <v>62</v>
      </c>
      <c r="C33" s="192">
        <v>1</v>
      </c>
      <c r="D33" s="192">
        <v>0</v>
      </c>
      <c r="E33" s="193">
        <v>1</v>
      </c>
      <c r="F33" s="197" t="s">
        <v>274</v>
      </c>
      <c r="G33" s="197" t="s">
        <v>272</v>
      </c>
      <c r="H33" s="197" t="s">
        <v>263</v>
      </c>
      <c r="I33" s="197" t="s">
        <v>271</v>
      </c>
      <c r="J33" s="197"/>
      <c r="K33" s="197"/>
      <c r="L33" s="197"/>
      <c r="M33" s="197">
        <v>1</v>
      </c>
      <c r="N33" s="205"/>
    </row>
    <row r="34" ht="14.5" spans="1:14">
      <c r="A34" s="203"/>
      <c r="B34" s="201" t="s">
        <v>63</v>
      </c>
      <c r="C34" s="192">
        <v>4</v>
      </c>
      <c r="D34" s="192">
        <v>0</v>
      </c>
      <c r="E34" s="193">
        <v>4</v>
      </c>
      <c r="F34" s="197" t="s">
        <v>274</v>
      </c>
      <c r="G34" s="197" t="s">
        <v>272</v>
      </c>
      <c r="H34" s="197" t="s">
        <v>263</v>
      </c>
      <c r="I34" s="197" t="s">
        <v>271</v>
      </c>
      <c r="J34" s="197"/>
      <c r="K34" s="197"/>
      <c r="L34" s="197"/>
      <c r="M34" s="197">
        <v>4</v>
      </c>
      <c r="N34" s="205"/>
    </row>
    <row r="35" ht="14.5" spans="1:14">
      <c r="A35" s="201" t="s">
        <v>64</v>
      </c>
      <c r="B35" s="201" t="s">
        <v>65</v>
      </c>
      <c r="C35" s="192">
        <v>1</v>
      </c>
      <c r="D35" s="192">
        <v>1</v>
      </c>
      <c r="E35" s="193">
        <v>0</v>
      </c>
      <c r="F35" s="197"/>
      <c r="G35" s="197"/>
      <c r="H35" s="197"/>
      <c r="I35" s="197"/>
      <c r="J35" s="197" t="s">
        <v>246</v>
      </c>
      <c r="K35" s="197"/>
      <c r="L35" s="197"/>
      <c r="M35" s="197"/>
      <c r="N35" s="205"/>
    </row>
    <row r="36" ht="14.5" spans="1:14">
      <c r="A36" s="201"/>
      <c r="B36" s="201" t="s">
        <v>67</v>
      </c>
      <c r="C36" s="192">
        <v>1</v>
      </c>
      <c r="D36" s="192">
        <v>1</v>
      </c>
      <c r="E36" s="193">
        <v>0</v>
      </c>
      <c r="F36" s="197"/>
      <c r="G36" s="197"/>
      <c r="H36" s="197"/>
      <c r="I36" s="197"/>
      <c r="J36" s="197" t="s">
        <v>246</v>
      </c>
      <c r="K36" s="197"/>
      <c r="L36" s="197"/>
      <c r="M36" s="197"/>
      <c r="N36" s="205"/>
    </row>
    <row r="37" ht="14.5" spans="1:14">
      <c r="A37" s="201"/>
      <c r="B37" s="201" t="s">
        <v>69</v>
      </c>
      <c r="C37" s="192">
        <v>2</v>
      </c>
      <c r="D37" s="192">
        <v>1</v>
      </c>
      <c r="E37" s="193">
        <v>1</v>
      </c>
      <c r="F37" s="197" t="s">
        <v>275</v>
      </c>
      <c r="G37" s="197" t="s">
        <v>276</v>
      </c>
      <c r="H37" s="197" t="s">
        <v>263</v>
      </c>
      <c r="I37" s="197" t="s">
        <v>277</v>
      </c>
      <c r="J37" s="197"/>
      <c r="K37" s="197">
        <v>1</v>
      </c>
      <c r="L37" s="197"/>
      <c r="M37" s="197"/>
      <c r="N37" s="205"/>
    </row>
    <row r="38" ht="14.5" spans="1:14">
      <c r="A38" s="201"/>
      <c r="B38" s="201" t="s">
        <v>71</v>
      </c>
      <c r="C38" s="192">
        <v>1</v>
      </c>
      <c r="D38" s="192">
        <v>0</v>
      </c>
      <c r="E38" s="193">
        <v>1</v>
      </c>
      <c r="F38" s="197" t="s">
        <v>275</v>
      </c>
      <c r="G38" s="197" t="s">
        <v>276</v>
      </c>
      <c r="H38" s="197" t="s">
        <v>263</v>
      </c>
      <c r="I38" s="197" t="s">
        <v>278</v>
      </c>
      <c r="J38" s="197"/>
      <c r="K38" s="197">
        <v>1</v>
      </c>
      <c r="L38" s="197"/>
      <c r="M38" s="197"/>
      <c r="N38" s="205"/>
    </row>
    <row r="39" ht="28" spans="1:14">
      <c r="A39" s="201"/>
      <c r="B39" s="201" t="s">
        <v>72</v>
      </c>
      <c r="C39" s="192">
        <v>1</v>
      </c>
      <c r="D39" s="192">
        <v>0</v>
      </c>
      <c r="E39" s="193">
        <v>1</v>
      </c>
      <c r="F39" s="197" t="s">
        <v>248</v>
      </c>
      <c r="G39" s="197" t="s">
        <v>276</v>
      </c>
      <c r="H39" s="197" t="s">
        <v>263</v>
      </c>
      <c r="I39" s="197" t="s">
        <v>279</v>
      </c>
      <c r="J39" s="197" t="s">
        <v>246</v>
      </c>
      <c r="K39" s="197"/>
      <c r="L39" s="197">
        <v>1</v>
      </c>
      <c r="M39" s="197"/>
      <c r="N39" s="205"/>
    </row>
    <row r="40" ht="14.5" spans="1:14">
      <c r="A40" s="201" t="s">
        <v>73</v>
      </c>
      <c r="B40" s="201" t="s">
        <v>74</v>
      </c>
      <c r="C40" s="192">
        <v>1</v>
      </c>
      <c r="D40" s="192">
        <v>0</v>
      </c>
      <c r="E40" s="193">
        <v>1</v>
      </c>
      <c r="F40" s="197"/>
      <c r="G40" s="197"/>
      <c r="H40" s="197"/>
      <c r="I40" s="197"/>
      <c r="J40" s="197" t="s">
        <v>246</v>
      </c>
      <c r="K40" s="197"/>
      <c r="L40" s="197">
        <v>1</v>
      </c>
      <c r="M40" s="197"/>
      <c r="N40" s="205"/>
    </row>
    <row r="41" ht="14.5" spans="1:14">
      <c r="A41" s="201"/>
      <c r="B41" s="201" t="s">
        <v>75</v>
      </c>
      <c r="C41" s="192">
        <v>1</v>
      </c>
      <c r="D41" s="192">
        <v>0</v>
      </c>
      <c r="E41" s="193">
        <v>1</v>
      </c>
      <c r="F41" s="197"/>
      <c r="G41" s="197"/>
      <c r="H41" s="197"/>
      <c r="I41" s="197"/>
      <c r="J41" s="197" t="s">
        <v>246</v>
      </c>
      <c r="K41" s="197"/>
      <c r="L41" s="197">
        <v>1</v>
      </c>
      <c r="M41" s="197"/>
      <c r="N41" s="205"/>
    </row>
    <row r="42" ht="28" spans="1:14">
      <c r="A42" s="201"/>
      <c r="B42" s="201" t="s">
        <v>76</v>
      </c>
      <c r="C42" s="192">
        <v>1</v>
      </c>
      <c r="D42" s="192">
        <v>1</v>
      </c>
      <c r="E42" s="193">
        <v>0</v>
      </c>
      <c r="F42" s="197" t="s">
        <v>261</v>
      </c>
      <c r="G42" s="197" t="s">
        <v>280</v>
      </c>
      <c r="H42" s="197" t="s">
        <v>281</v>
      </c>
      <c r="I42" s="197" t="s">
        <v>282</v>
      </c>
      <c r="J42" s="197" t="s">
        <v>246</v>
      </c>
      <c r="K42" s="197"/>
      <c r="L42" s="197"/>
      <c r="M42" s="197"/>
      <c r="N42" s="205"/>
    </row>
    <row r="43" ht="28" spans="1:14">
      <c r="A43" s="201"/>
      <c r="B43" s="201" t="s">
        <v>78</v>
      </c>
      <c r="C43" s="192">
        <v>1</v>
      </c>
      <c r="D43" s="192">
        <v>1</v>
      </c>
      <c r="E43" s="193">
        <v>0</v>
      </c>
      <c r="F43" s="197" t="s">
        <v>261</v>
      </c>
      <c r="G43" s="197" t="s">
        <v>280</v>
      </c>
      <c r="H43" s="197" t="s">
        <v>281</v>
      </c>
      <c r="I43" s="197" t="s">
        <v>282</v>
      </c>
      <c r="J43" s="197" t="s">
        <v>246</v>
      </c>
      <c r="K43" s="197"/>
      <c r="L43" s="197"/>
      <c r="M43" s="197"/>
      <c r="N43" s="205"/>
    </row>
    <row r="44" ht="14.5" spans="1:14">
      <c r="A44" s="201"/>
      <c r="B44" s="206" t="s">
        <v>80</v>
      </c>
      <c r="C44" s="192">
        <v>4</v>
      </c>
      <c r="D44" s="192">
        <v>3</v>
      </c>
      <c r="E44" s="193">
        <v>1</v>
      </c>
      <c r="F44" s="197" t="s">
        <v>274</v>
      </c>
      <c r="G44" s="197" t="s">
        <v>272</v>
      </c>
      <c r="H44" s="197" t="s">
        <v>263</v>
      </c>
      <c r="I44" s="197" t="s">
        <v>282</v>
      </c>
      <c r="J44" s="197"/>
      <c r="K44" s="197">
        <v>1</v>
      </c>
      <c r="L44" s="197"/>
      <c r="M44" s="197"/>
      <c r="N44" s="205" t="s">
        <v>283</v>
      </c>
    </row>
    <row r="45" ht="14.5" spans="1:14">
      <c r="A45" s="201"/>
      <c r="B45" s="201" t="s">
        <v>83</v>
      </c>
      <c r="C45" s="192">
        <v>1</v>
      </c>
      <c r="D45" s="192">
        <v>0</v>
      </c>
      <c r="E45" s="193">
        <v>1</v>
      </c>
      <c r="F45" s="197" t="s">
        <v>274</v>
      </c>
      <c r="G45" s="197" t="s">
        <v>284</v>
      </c>
      <c r="H45" s="197" t="s">
        <v>263</v>
      </c>
      <c r="I45" s="197" t="s">
        <v>285</v>
      </c>
      <c r="J45" s="197"/>
      <c r="K45" s="197"/>
      <c r="L45" s="197">
        <v>1</v>
      </c>
      <c r="M45" s="197"/>
      <c r="N45" s="205"/>
    </row>
    <row r="46" ht="14.5" spans="1:14">
      <c r="A46" s="201"/>
      <c r="B46" s="201" t="s">
        <v>84</v>
      </c>
      <c r="C46" s="192">
        <v>1</v>
      </c>
      <c r="D46" s="192">
        <v>1</v>
      </c>
      <c r="E46" s="193">
        <v>0</v>
      </c>
      <c r="F46" s="197" t="s">
        <v>274</v>
      </c>
      <c r="G46" s="197" t="s">
        <v>272</v>
      </c>
      <c r="H46" s="197" t="s">
        <v>263</v>
      </c>
      <c r="I46" s="197" t="s">
        <v>286</v>
      </c>
      <c r="J46" s="197" t="s">
        <v>246</v>
      </c>
      <c r="K46" s="197"/>
      <c r="L46" s="197"/>
      <c r="M46" s="197"/>
      <c r="N46" s="205"/>
    </row>
    <row r="47" ht="14.5" spans="1:14">
      <c r="A47" s="201"/>
      <c r="B47" s="201" t="s">
        <v>86</v>
      </c>
      <c r="C47" s="192">
        <v>2</v>
      </c>
      <c r="D47" s="192">
        <v>1</v>
      </c>
      <c r="E47" s="193">
        <v>1</v>
      </c>
      <c r="F47" s="197" t="s">
        <v>274</v>
      </c>
      <c r="G47" s="197" t="s">
        <v>284</v>
      </c>
      <c r="H47" s="197" t="s">
        <v>263</v>
      </c>
      <c r="I47" s="197" t="s">
        <v>285</v>
      </c>
      <c r="J47" s="197"/>
      <c r="K47" s="197"/>
      <c r="L47" s="197">
        <v>1</v>
      </c>
      <c r="M47" s="197"/>
      <c r="N47" s="205"/>
    </row>
    <row r="48" ht="14.5" spans="1:14">
      <c r="A48" s="201"/>
      <c r="B48" s="201" t="s">
        <v>287</v>
      </c>
      <c r="C48" s="192">
        <v>1</v>
      </c>
      <c r="D48" s="192">
        <v>1</v>
      </c>
      <c r="E48" s="193">
        <v>0</v>
      </c>
      <c r="F48" s="197" t="s">
        <v>274</v>
      </c>
      <c r="G48" s="197" t="s">
        <v>284</v>
      </c>
      <c r="H48" s="197" t="s">
        <v>263</v>
      </c>
      <c r="I48" s="197" t="s">
        <v>285</v>
      </c>
      <c r="J48" s="197" t="s">
        <v>246</v>
      </c>
      <c r="K48" s="197"/>
      <c r="L48" s="197"/>
      <c r="M48" s="197"/>
      <c r="N48" s="205"/>
    </row>
    <row r="49" ht="14.5" spans="1:14">
      <c r="A49" s="196" t="s">
        <v>90</v>
      </c>
      <c r="B49" s="206" t="s">
        <v>91</v>
      </c>
      <c r="C49" s="192">
        <v>1</v>
      </c>
      <c r="D49" s="192">
        <v>0</v>
      </c>
      <c r="E49" s="193">
        <v>1</v>
      </c>
      <c r="F49" s="197" t="s">
        <v>261</v>
      </c>
      <c r="G49" s="197" t="s">
        <v>272</v>
      </c>
      <c r="H49" s="197" t="s">
        <v>288</v>
      </c>
      <c r="I49" s="197" t="s">
        <v>270</v>
      </c>
      <c r="J49" s="197"/>
      <c r="K49" s="197">
        <v>1</v>
      </c>
      <c r="L49" s="197"/>
      <c r="M49" s="197"/>
      <c r="N49" s="205"/>
    </row>
    <row r="50" ht="14.5" spans="1:14">
      <c r="A50" s="203"/>
      <c r="B50" s="201" t="s">
        <v>92</v>
      </c>
      <c r="C50" s="192">
        <v>1</v>
      </c>
      <c r="D50" s="192">
        <v>1</v>
      </c>
      <c r="E50" s="193">
        <v>0</v>
      </c>
      <c r="F50" s="197" t="s">
        <v>261</v>
      </c>
      <c r="G50" s="197" t="s">
        <v>289</v>
      </c>
      <c r="H50" s="197" t="s">
        <v>288</v>
      </c>
      <c r="I50" s="197" t="s">
        <v>270</v>
      </c>
      <c r="J50" s="197" t="s">
        <v>246</v>
      </c>
      <c r="K50" s="197"/>
      <c r="L50" s="197"/>
      <c r="M50" s="197"/>
      <c r="N50" s="205"/>
    </row>
    <row r="51" ht="14.5" spans="1:14">
      <c r="A51" s="203"/>
      <c r="B51" s="201" t="s">
        <v>290</v>
      </c>
      <c r="C51" s="192">
        <v>1</v>
      </c>
      <c r="D51" s="192">
        <v>0</v>
      </c>
      <c r="E51" s="193">
        <v>1</v>
      </c>
      <c r="F51" s="197" t="s">
        <v>261</v>
      </c>
      <c r="G51" s="197" t="s">
        <v>291</v>
      </c>
      <c r="H51" s="197" t="s">
        <v>263</v>
      </c>
      <c r="I51" s="197" t="s">
        <v>271</v>
      </c>
      <c r="J51" s="197"/>
      <c r="K51" s="197">
        <v>1</v>
      </c>
      <c r="L51" s="197"/>
      <c r="M51" s="197"/>
      <c r="N51" s="205"/>
    </row>
    <row r="52" ht="14.5" spans="1:14">
      <c r="A52" s="196" t="s">
        <v>95</v>
      </c>
      <c r="B52" s="201" t="s">
        <v>96</v>
      </c>
      <c r="C52" s="192">
        <v>1</v>
      </c>
      <c r="D52" s="192">
        <v>1</v>
      </c>
      <c r="E52" s="193">
        <v>0</v>
      </c>
      <c r="F52" s="207"/>
      <c r="G52" s="207"/>
      <c r="H52" s="208"/>
      <c r="I52" s="208"/>
      <c r="J52" s="197" t="s">
        <v>246</v>
      </c>
      <c r="K52" s="208"/>
      <c r="L52" s="208"/>
      <c r="M52" s="208"/>
      <c r="N52" s="205"/>
    </row>
    <row r="53" ht="14.5" spans="1:14">
      <c r="A53" s="203"/>
      <c r="B53" s="201" t="s">
        <v>98</v>
      </c>
      <c r="C53" s="192">
        <v>1</v>
      </c>
      <c r="D53" s="192">
        <v>1</v>
      </c>
      <c r="E53" s="193">
        <v>0</v>
      </c>
      <c r="F53" s="197" t="s">
        <v>261</v>
      </c>
      <c r="G53" s="197" t="s">
        <v>272</v>
      </c>
      <c r="H53" s="197" t="s">
        <v>263</v>
      </c>
      <c r="I53" s="197" t="s">
        <v>270</v>
      </c>
      <c r="J53" s="197" t="s">
        <v>246</v>
      </c>
      <c r="K53" s="197"/>
      <c r="L53" s="197"/>
      <c r="M53" s="197"/>
      <c r="N53" s="205"/>
    </row>
    <row r="54" ht="14.5" spans="1:14">
      <c r="A54" s="203"/>
      <c r="B54" s="201" t="s">
        <v>101</v>
      </c>
      <c r="C54" s="192">
        <v>1</v>
      </c>
      <c r="D54" s="192">
        <v>0</v>
      </c>
      <c r="E54" s="193">
        <v>1</v>
      </c>
      <c r="F54" s="197" t="s">
        <v>261</v>
      </c>
      <c r="G54" s="197" t="s">
        <v>272</v>
      </c>
      <c r="H54" s="197" t="s">
        <v>263</v>
      </c>
      <c r="I54" s="197" t="s">
        <v>270</v>
      </c>
      <c r="J54" s="197"/>
      <c r="K54" s="197">
        <v>1</v>
      </c>
      <c r="L54" s="197"/>
      <c r="M54" s="197"/>
      <c r="N54" s="205"/>
    </row>
    <row r="55" ht="14.5" spans="1:14">
      <c r="A55" s="203"/>
      <c r="B55" s="201" t="s">
        <v>102</v>
      </c>
      <c r="C55" s="192">
        <v>1</v>
      </c>
      <c r="D55" s="192">
        <v>1</v>
      </c>
      <c r="E55" s="193">
        <v>0</v>
      </c>
      <c r="F55" s="197" t="s">
        <v>261</v>
      </c>
      <c r="G55" s="197" t="s">
        <v>272</v>
      </c>
      <c r="H55" s="197" t="s">
        <v>263</v>
      </c>
      <c r="I55" s="197" t="s">
        <v>270</v>
      </c>
      <c r="J55" s="197" t="s">
        <v>246</v>
      </c>
      <c r="K55" s="197"/>
      <c r="L55" s="197"/>
      <c r="M55" s="197"/>
      <c r="N55" s="205"/>
    </row>
    <row r="56" ht="14.5" spans="1:14">
      <c r="A56" s="203"/>
      <c r="B56" s="201" t="s">
        <v>104</v>
      </c>
      <c r="C56" s="192">
        <v>1</v>
      </c>
      <c r="D56" s="192">
        <v>0</v>
      </c>
      <c r="E56" s="193">
        <v>1</v>
      </c>
      <c r="F56" s="197" t="s">
        <v>261</v>
      </c>
      <c r="G56" s="197" t="s">
        <v>272</v>
      </c>
      <c r="H56" s="197" t="s">
        <v>263</v>
      </c>
      <c r="I56" s="197" t="s">
        <v>270</v>
      </c>
      <c r="J56" s="197"/>
      <c r="K56" s="197">
        <v>1</v>
      </c>
      <c r="L56" s="197"/>
      <c r="M56" s="197"/>
      <c r="N56" s="205"/>
    </row>
    <row r="57" ht="14.5" spans="1:14">
      <c r="A57" s="203"/>
      <c r="B57" s="201" t="s">
        <v>105</v>
      </c>
      <c r="C57" s="192">
        <v>6</v>
      </c>
      <c r="D57" s="192">
        <v>0</v>
      </c>
      <c r="E57" s="193">
        <v>6</v>
      </c>
      <c r="F57" s="197" t="s">
        <v>274</v>
      </c>
      <c r="G57" s="197" t="s">
        <v>272</v>
      </c>
      <c r="H57" s="197" t="s">
        <v>263</v>
      </c>
      <c r="I57" s="197" t="s">
        <v>271</v>
      </c>
      <c r="J57" s="197"/>
      <c r="K57" s="197">
        <v>2</v>
      </c>
      <c r="L57" s="197">
        <v>2</v>
      </c>
      <c r="M57" s="197">
        <v>2</v>
      </c>
      <c r="N57" s="205"/>
    </row>
    <row r="58" ht="14.5" spans="1:14">
      <c r="A58" s="203"/>
      <c r="B58" s="201" t="s">
        <v>106</v>
      </c>
      <c r="C58" s="192">
        <v>6</v>
      </c>
      <c r="D58" s="192">
        <v>0</v>
      </c>
      <c r="E58" s="193">
        <v>6</v>
      </c>
      <c r="F58" s="197" t="s">
        <v>274</v>
      </c>
      <c r="G58" s="197" t="s">
        <v>272</v>
      </c>
      <c r="H58" s="197" t="s">
        <v>263</v>
      </c>
      <c r="I58" s="197" t="s">
        <v>271</v>
      </c>
      <c r="J58" s="197"/>
      <c r="K58" s="197">
        <v>2</v>
      </c>
      <c r="L58" s="197">
        <v>2</v>
      </c>
      <c r="M58" s="197">
        <v>2</v>
      </c>
      <c r="N58" s="205"/>
    </row>
    <row r="59" ht="14.5" spans="1:14">
      <c r="A59" s="203"/>
      <c r="B59" s="201" t="s">
        <v>42</v>
      </c>
      <c r="C59" s="192">
        <v>4</v>
      </c>
      <c r="D59" s="192">
        <v>0</v>
      </c>
      <c r="E59" s="193">
        <v>4</v>
      </c>
      <c r="F59" s="197" t="s">
        <v>274</v>
      </c>
      <c r="G59" s="197" t="s">
        <v>272</v>
      </c>
      <c r="H59" s="197" t="s">
        <v>263</v>
      </c>
      <c r="I59" s="197" t="s">
        <v>271</v>
      </c>
      <c r="J59" s="197"/>
      <c r="K59" s="197">
        <v>2</v>
      </c>
      <c r="L59" s="197">
        <v>2</v>
      </c>
      <c r="M59" s="197"/>
      <c r="N59" s="205"/>
    </row>
    <row r="60" ht="14.5" spans="1:14">
      <c r="A60" s="203"/>
      <c r="B60" s="201" t="s">
        <v>107</v>
      </c>
      <c r="C60" s="192">
        <v>1</v>
      </c>
      <c r="D60" s="192">
        <v>0</v>
      </c>
      <c r="E60" s="193">
        <v>1</v>
      </c>
      <c r="F60" s="197" t="s">
        <v>274</v>
      </c>
      <c r="G60" s="197" t="s">
        <v>272</v>
      </c>
      <c r="H60" s="197" t="s">
        <v>263</v>
      </c>
      <c r="I60" s="197" t="s">
        <v>271</v>
      </c>
      <c r="J60" s="197"/>
      <c r="K60" s="197"/>
      <c r="L60" s="197">
        <v>1</v>
      </c>
      <c r="M60" s="197"/>
      <c r="N60" s="205"/>
    </row>
    <row r="61" ht="14.5" spans="1:14">
      <c r="A61" s="203"/>
      <c r="B61" s="201" t="s">
        <v>108</v>
      </c>
      <c r="C61" s="192">
        <v>2</v>
      </c>
      <c r="D61" s="192">
        <v>0</v>
      </c>
      <c r="E61" s="193">
        <v>2</v>
      </c>
      <c r="F61" s="197" t="s">
        <v>274</v>
      </c>
      <c r="G61" s="197" t="s">
        <v>272</v>
      </c>
      <c r="H61" s="197" t="s">
        <v>263</v>
      </c>
      <c r="I61" s="197" t="s">
        <v>271</v>
      </c>
      <c r="J61" s="197"/>
      <c r="K61" s="197">
        <v>1</v>
      </c>
      <c r="L61" s="197">
        <v>1</v>
      </c>
      <c r="M61" s="197"/>
      <c r="N61" s="205"/>
    </row>
    <row r="62" ht="14.5" spans="1:14">
      <c r="A62" s="203"/>
      <c r="B62" s="201" t="s">
        <v>109</v>
      </c>
      <c r="C62" s="192">
        <v>3</v>
      </c>
      <c r="D62" s="192">
        <v>0</v>
      </c>
      <c r="E62" s="193">
        <v>3</v>
      </c>
      <c r="F62" s="197" t="s">
        <v>274</v>
      </c>
      <c r="G62" s="197" t="s">
        <v>272</v>
      </c>
      <c r="H62" s="197" t="s">
        <v>263</v>
      </c>
      <c r="I62" s="197" t="s">
        <v>271</v>
      </c>
      <c r="J62" s="197"/>
      <c r="K62" s="197"/>
      <c r="L62" s="197">
        <v>3</v>
      </c>
      <c r="M62" s="197"/>
      <c r="N62" s="205"/>
    </row>
    <row r="63" ht="14.5" spans="1:14">
      <c r="A63" s="200"/>
      <c r="B63" s="201" t="s">
        <v>110</v>
      </c>
      <c r="C63" s="192">
        <v>1</v>
      </c>
      <c r="D63" s="192">
        <v>0</v>
      </c>
      <c r="E63" s="193">
        <v>1</v>
      </c>
      <c r="F63" s="197"/>
      <c r="G63" s="197"/>
      <c r="H63" s="197"/>
      <c r="I63" s="197"/>
      <c r="J63" s="197"/>
      <c r="K63" s="197">
        <v>1</v>
      </c>
      <c r="L63" s="197"/>
      <c r="M63" s="197"/>
      <c r="N63" s="205"/>
    </row>
    <row r="64" ht="14.5" spans="1:14">
      <c r="A64" s="196" t="s">
        <v>111</v>
      </c>
      <c r="B64" s="201" t="s">
        <v>112</v>
      </c>
      <c r="C64" s="192">
        <v>1</v>
      </c>
      <c r="D64" s="192">
        <v>1</v>
      </c>
      <c r="E64" s="193">
        <v>0</v>
      </c>
      <c r="F64" s="197" t="s">
        <v>292</v>
      </c>
      <c r="G64" s="197" t="s">
        <v>293</v>
      </c>
      <c r="H64" s="197" t="s">
        <v>263</v>
      </c>
      <c r="I64" s="197" t="s">
        <v>294</v>
      </c>
      <c r="J64" s="197" t="s">
        <v>246</v>
      </c>
      <c r="K64" s="197"/>
      <c r="L64" s="197"/>
      <c r="M64" s="197"/>
      <c r="N64" s="205"/>
    </row>
    <row r="65" ht="14.5" spans="1:14">
      <c r="A65" s="203"/>
      <c r="B65" s="201" t="s">
        <v>114</v>
      </c>
      <c r="C65" s="192">
        <v>1</v>
      </c>
      <c r="D65" s="192">
        <v>1</v>
      </c>
      <c r="E65" s="193">
        <v>0</v>
      </c>
      <c r="F65" s="197" t="s">
        <v>292</v>
      </c>
      <c r="G65" s="197" t="s">
        <v>293</v>
      </c>
      <c r="H65" s="197" t="s">
        <v>263</v>
      </c>
      <c r="I65" s="197" t="s">
        <v>294</v>
      </c>
      <c r="J65" s="197" t="s">
        <v>246</v>
      </c>
      <c r="K65" s="197"/>
      <c r="L65" s="197"/>
      <c r="M65" s="197"/>
      <c r="N65" s="205"/>
    </row>
    <row r="66" ht="14.5" spans="1:14">
      <c r="A66" s="203"/>
      <c r="B66" s="201" t="s">
        <v>116</v>
      </c>
      <c r="C66" s="192">
        <v>2</v>
      </c>
      <c r="D66" s="192">
        <v>0</v>
      </c>
      <c r="E66" s="193">
        <v>2</v>
      </c>
      <c r="F66" s="197" t="s">
        <v>295</v>
      </c>
      <c r="G66" s="197" t="s">
        <v>293</v>
      </c>
      <c r="H66" s="197" t="s">
        <v>296</v>
      </c>
      <c r="I66" s="197" t="s">
        <v>297</v>
      </c>
      <c r="J66" s="197"/>
      <c r="K66" s="197">
        <v>1</v>
      </c>
      <c r="L66" s="197">
        <v>1</v>
      </c>
      <c r="M66" s="197"/>
      <c r="N66" s="205"/>
    </row>
    <row r="67" ht="14.5" spans="1:14">
      <c r="A67" s="203"/>
      <c r="B67" s="201" t="s">
        <v>117</v>
      </c>
      <c r="C67" s="192">
        <v>1</v>
      </c>
      <c r="D67" s="192">
        <v>0</v>
      </c>
      <c r="E67" s="193">
        <v>1</v>
      </c>
      <c r="F67" s="197" t="s">
        <v>298</v>
      </c>
      <c r="G67" s="197" t="s">
        <v>293</v>
      </c>
      <c r="H67" s="197" t="s">
        <v>263</v>
      </c>
      <c r="I67" s="197" t="s">
        <v>294</v>
      </c>
      <c r="J67" s="197"/>
      <c r="K67" s="197">
        <v>1</v>
      </c>
      <c r="L67" s="197"/>
      <c r="M67" s="197"/>
      <c r="N67" s="205"/>
    </row>
    <row r="68" ht="14.5" spans="1:14">
      <c r="A68" s="203"/>
      <c r="B68" s="201" t="s">
        <v>118</v>
      </c>
      <c r="C68" s="192">
        <v>3</v>
      </c>
      <c r="D68" s="192">
        <v>0</v>
      </c>
      <c r="E68" s="193">
        <v>3</v>
      </c>
      <c r="F68" s="197" t="s">
        <v>295</v>
      </c>
      <c r="G68" s="197" t="s">
        <v>293</v>
      </c>
      <c r="H68" s="197" t="s">
        <v>263</v>
      </c>
      <c r="I68" s="197" t="s">
        <v>294</v>
      </c>
      <c r="J68" s="197"/>
      <c r="K68" s="197">
        <v>2</v>
      </c>
      <c r="L68" s="197">
        <v>1</v>
      </c>
      <c r="M68" s="197"/>
      <c r="N68" s="205"/>
    </row>
    <row r="69" ht="14.5" spans="1:14">
      <c r="A69" s="203"/>
      <c r="B69" s="201" t="s">
        <v>119</v>
      </c>
      <c r="C69" s="192">
        <v>1</v>
      </c>
      <c r="D69" s="192">
        <v>0</v>
      </c>
      <c r="E69" s="193">
        <v>1</v>
      </c>
      <c r="F69" s="197" t="s">
        <v>298</v>
      </c>
      <c r="G69" s="197" t="s">
        <v>293</v>
      </c>
      <c r="H69" s="197" t="s">
        <v>263</v>
      </c>
      <c r="I69" s="197" t="s">
        <v>294</v>
      </c>
      <c r="J69" s="197"/>
      <c r="K69" s="197"/>
      <c r="L69" s="197">
        <v>1</v>
      </c>
      <c r="M69" s="197"/>
      <c r="N69" s="205"/>
    </row>
    <row r="70" ht="28" spans="1:14">
      <c r="A70" s="203"/>
      <c r="B70" s="206" t="s">
        <v>120</v>
      </c>
      <c r="C70" s="192">
        <v>3</v>
      </c>
      <c r="D70" s="192">
        <v>3</v>
      </c>
      <c r="E70" s="193">
        <v>0</v>
      </c>
      <c r="F70" s="197" t="s">
        <v>295</v>
      </c>
      <c r="G70" s="197" t="s">
        <v>293</v>
      </c>
      <c r="H70" s="197" t="s">
        <v>263</v>
      </c>
      <c r="I70" s="197" t="s">
        <v>299</v>
      </c>
      <c r="J70" s="197" t="s">
        <v>246</v>
      </c>
      <c r="K70" s="197"/>
      <c r="L70" s="197"/>
      <c r="M70" s="197"/>
      <c r="N70" s="205"/>
    </row>
    <row r="71" ht="14.5" spans="1:14">
      <c r="A71" s="201" t="s">
        <v>122</v>
      </c>
      <c r="B71" s="201" t="s">
        <v>123</v>
      </c>
      <c r="C71" s="192">
        <v>1</v>
      </c>
      <c r="D71" s="192">
        <v>1</v>
      </c>
      <c r="E71" s="193">
        <v>0</v>
      </c>
      <c r="F71" s="197"/>
      <c r="G71" s="197"/>
      <c r="H71" s="197"/>
      <c r="I71" s="197"/>
      <c r="J71" s="197" t="s">
        <v>246</v>
      </c>
      <c r="K71" s="197"/>
      <c r="L71" s="197"/>
      <c r="M71" s="197"/>
      <c r="N71" s="205"/>
    </row>
    <row r="72" ht="14.5" spans="1:14">
      <c r="A72" s="201"/>
      <c r="B72" s="201" t="s">
        <v>112</v>
      </c>
      <c r="C72" s="192">
        <v>1</v>
      </c>
      <c r="D72" s="192">
        <v>1</v>
      </c>
      <c r="E72" s="193">
        <v>0</v>
      </c>
      <c r="F72" s="201"/>
      <c r="G72" s="201"/>
      <c r="H72" s="201"/>
      <c r="I72" s="201"/>
      <c r="J72" s="201" t="s">
        <v>246</v>
      </c>
      <c r="K72" s="201"/>
      <c r="L72" s="201"/>
      <c r="M72" s="201"/>
      <c r="N72" s="209"/>
    </row>
    <row r="73" ht="14.5" spans="1:14">
      <c r="A73" s="201"/>
      <c r="B73" s="201" t="s">
        <v>126</v>
      </c>
      <c r="C73" s="192">
        <v>1</v>
      </c>
      <c r="D73" s="192">
        <v>1</v>
      </c>
      <c r="E73" s="193">
        <v>0</v>
      </c>
      <c r="F73" s="201"/>
      <c r="G73" s="201"/>
      <c r="H73" s="201"/>
      <c r="I73" s="201"/>
      <c r="J73" s="201" t="s">
        <v>246</v>
      </c>
      <c r="K73" s="201"/>
      <c r="L73" s="201"/>
      <c r="M73" s="201"/>
      <c r="N73" s="209"/>
    </row>
    <row r="74" ht="14.5" spans="1:14">
      <c r="A74" s="201"/>
      <c r="B74" s="201" t="s">
        <v>128</v>
      </c>
      <c r="C74" s="192">
        <v>1</v>
      </c>
      <c r="D74" s="192">
        <v>1</v>
      </c>
      <c r="E74" s="193">
        <v>0</v>
      </c>
      <c r="F74" s="201"/>
      <c r="G74" s="201"/>
      <c r="H74" s="201"/>
      <c r="I74" s="201"/>
      <c r="J74" s="201" t="s">
        <v>246</v>
      </c>
      <c r="K74" s="201"/>
      <c r="L74" s="201"/>
      <c r="M74" s="201"/>
      <c r="N74" s="209"/>
    </row>
    <row r="75" ht="14.5" spans="1:14">
      <c r="A75" s="201"/>
      <c r="B75" s="201" t="s">
        <v>130</v>
      </c>
      <c r="C75" s="192">
        <v>1</v>
      </c>
      <c r="D75" s="192">
        <v>0</v>
      </c>
      <c r="E75" s="193">
        <v>1</v>
      </c>
      <c r="F75" s="201"/>
      <c r="G75" s="201"/>
      <c r="H75" s="201"/>
      <c r="I75" s="201"/>
      <c r="J75" s="201"/>
      <c r="K75" s="201"/>
      <c r="L75" s="201">
        <v>1</v>
      </c>
      <c r="M75" s="201"/>
      <c r="N75" s="209"/>
    </row>
    <row r="76" ht="14.5" spans="1:14">
      <c r="A76" s="201"/>
      <c r="B76" s="206" t="s">
        <v>131</v>
      </c>
      <c r="C76" s="192">
        <v>1</v>
      </c>
      <c r="D76" s="192">
        <v>0</v>
      </c>
      <c r="E76" s="193">
        <v>1</v>
      </c>
      <c r="F76" s="201"/>
      <c r="G76" s="201"/>
      <c r="H76" s="201"/>
      <c r="I76" s="201"/>
      <c r="J76" s="201"/>
      <c r="K76" s="201"/>
      <c r="L76" s="201">
        <v>1</v>
      </c>
      <c r="M76" s="201"/>
      <c r="N76" s="209"/>
    </row>
    <row r="77" ht="14.5" spans="1:14">
      <c r="A77" s="201"/>
      <c r="B77" s="201" t="s">
        <v>133</v>
      </c>
      <c r="C77" s="192">
        <v>1</v>
      </c>
      <c r="D77" s="192">
        <v>1</v>
      </c>
      <c r="E77" s="193">
        <v>0</v>
      </c>
      <c r="F77" s="201" t="s">
        <v>275</v>
      </c>
      <c r="G77" s="201" t="s">
        <v>300</v>
      </c>
      <c r="H77" s="201" t="s">
        <v>301</v>
      </c>
      <c r="I77" s="201" t="s">
        <v>270</v>
      </c>
      <c r="J77" s="201" t="s">
        <v>246</v>
      </c>
      <c r="K77" s="201"/>
      <c r="L77" s="201"/>
      <c r="M77" s="201"/>
      <c r="N77" s="209"/>
    </row>
    <row r="78" ht="14.5" spans="1:14">
      <c r="A78" s="201"/>
      <c r="B78" s="210" t="s">
        <v>135</v>
      </c>
      <c r="C78" s="192">
        <v>3</v>
      </c>
      <c r="D78" s="192">
        <v>1</v>
      </c>
      <c r="E78" s="193">
        <v>2</v>
      </c>
      <c r="F78" s="201"/>
      <c r="G78" s="201"/>
      <c r="H78" s="201"/>
      <c r="I78" s="201"/>
      <c r="J78" s="201"/>
      <c r="K78" s="201">
        <v>1</v>
      </c>
      <c r="L78" s="201">
        <v>1</v>
      </c>
      <c r="M78" s="201"/>
      <c r="N78" s="209"/>
    </row>
    <row r="79" ht="14.5" spans="1:14">
      <c r="A79" s="201"/>
      <c r="B79" s="210" t="s">
        <v>110</v>
      </c>
      <c r="C79" s="192">
        <v>1</v>
      </c>
      <c r="D79" s="192">
        <v>0</v>
      </c>
      <c r="E79" s="193">
        <v>1</v>
      </c>
      <c r="F79" s="201"/>
      <c r="G79" s="201"/>
      <c r="H79" s="201"/>
      <c r="I79" s="201"/>
      <c r="J79" s="201"/>
      <c r="K79" s="201"/>
      <c r="L79" s="201">
        <v>1</v>
      </c>
      <c r="M79" s="201"/>
      <c r="N79" s="209"/>
    </row>
    <row r="80" ht="14.5" spans="1:14">
      <c r="A80" s="201"/>
      <c r="B80" s="211" t="s">
        <v>138</v>
      </c>
      <c r="C80" s="192">
        <v>1</v>
      </c>
      <c r="D80" s="192">
        <v>0</v>
      </c>
      <c r="E80" s="193">
        <v>1</v>
      </c>
      <c r="F80" s="201" t="s">
        <v>275</v>
      </c>
      <c r="G80" s="201" t="s">
        <v>300</v>
      </c>
      <c r="H80" s="201" t="s">
        <v>263</v>
      </c>
      <c r="I80" s="201" t="s">
        <v>271</v>
      </c>
      <c r="J80" s="201"/>
      <c r="K80" s="201">
        <v>1</v>
      </c>
      <c r="L80" s="201"/>
      <c r="M80" s="201"/>
      <c r="N80" s="209"/>
    </row>
    <row r="81" ht="14.5" spans="1:14">
      <c r="A81" s="201"/>
      <c r="B81" s="210" t="s">
        <v>139</v>
      </c>
      <c r="C81" s="192">
        <v>1</v>
      </c>
      <c r="D81" s="192">
        <v>1</v>
      </c>
      <c r="E81" s="193">
        <v>0</v>
      </c>
      <c r="F81" s="201"/>
      <c r="G81" s="201"/>
      <c r="H81" s="201"/>
      <c r="I81" s="201"/>
      <c r="J81" s="201" t="s">
        <v>246</v>
      </c>
      <c r="K81" s="201"/>
      <c r="L81" s="201"/>
      <c r="M81" s="201"/>
      <c r="N81" s="209"/>
    </row>
    <row r="82" ht="14.5" spans="1:14">
      <c r="A82" s="201"/>
      <c r="B82" s="211" t="s">
        <v>141</v>
      </c>
      <c r="C82" s="192">
        <v>3</v>
      </c>
      <c r="D82" s="192">
        <v>0</v>
      </c>
      <c r="E82" s="193">
        <v>3</v>
      </c>
      <c r="F82" s="201"/>
      <c r="G82" s="201"/>
      <c r="H82" s="201"/>
      <c r="I82" s="201"/>
      <c r="J82" s="201"/>
      <c r="K82" s="201">
        <v>2</v>
      </c>
      <c r="L82" s="201">
        <v>1</v>
      </c>
      <c r="M82" s="201"/>
      <c r="N82" s="209"/>
    </row>
    <row r="83" ht="14.5" spans="1:14">
      <c r="A83" s="201"/>
      <c r="B83" s="211" t="s">
        <v>142</v>
      </c>
      <c r="C83" s="192">
        <v>1</v>
      </c>
      <c r="D83" s="192">
        <v>0</v>
      </c>
      <c r="E83" s="193">
        <v>1</v>
      </c>
      <c r="F83" s="201"/>
      <c r="G83" s="201"/>
      <c r="H83" s="201"/>
      <c r="I83" s="201"/>
      <c r="J83" s="201"/>
      <c r="K83" s="201">
        <v>1</v>
      </c>
      <c r="L83" s="201"/>
      <c r="M83" s="201"/>
      <c r="N83" s="209"/>
    </row>
    <row r="84" ht="14.5" spans="1:14">
      <c r="A84" s="201"/>
      <c r="B84" s="211" t="s">
        <v>143</v>
      </c>
      <c r="C84" s="192">
        <v>2</v>
      </c>
      <c r="D84" s="192">
        <v>1</v>
      </c>
      <c r="E84" s="193">
        <v>1</v>
      </c>
      <c r="F84" s="201"/>
      <c r="G84" s="201"/>
      <c r="H84" s="201"/>
      <c r="I84" s="201"/>
      <c r="J84" s="201"/>
      <c r="K84" s="201">
        <v>1</v>
      </c>
      <c r="L84" s="201"/>
      <c r="M84" s="201"/>
      <c r="N84" s="209"/>
    </row>
    <row r="85" ht="14.5" spans="1:14">
      <c r="A85" s="201"/>
      <c r="B85" s="211" t="s">
        <v>145</v>
      </c>
      <c r="C85" s="192">
        <v>3</v>
      </c>
      <c r="D85" s="192">
        <v>1</v>
      </c>
      <c r="E85" s="193">
        <v>2</v>
      </c>
      <c r="F85" s="201"/>
      <c r="G85" s="201"/>
      <c r="H85" s="201"/>
      <c r="I85" s="201"/>
      <c r="J85" s="201"/>
      <c r="K85" s="201">
        <v>2</v>
      </c>
      <c r="L85" s="201"/>
      <c r="M85" s="201"/>
      <c r="N85" s="209"/>
    </row>
    <row r="86" ht="14.5" spans="1:14">
      <c r="A86" s="201"/>
      <c r="B86" s="206" t="s">
        <v>147</v>
      </c>
      <c r="C86" s="192">
        <v>3</v>
      </c>
      <c r="D86" s="192">
        <v>0</v>
      </c>
      <c r="E86" s="193">
        <v>3</v>
      </c>
      <c r="F86" s="201"/>
      <c r="G86" s="201"/>
      <c r="H86" s="201"/>
      <c r="I86" s="201"/>
      <c r="J86" s="201"/>
      <c r="K86" s="201">
        <v>1</v>
      </c>
      <c r="L86" s="201">
        <v>2</v>
      </c>
      <c r="M86" s="201"/>
      <c r="N86" s="209"/>
    </row>
    <row r="87" ht="28" spans="1:14">
      <c r="A87" s="201"/>
      <c r="B87" s="201" t="s">
        <v>148</v>
      </c>
      <c r="C87" s="192">
        <v>3</v>
      </c>
      <c r="D87" s="192">
        <v>0</v>
      </c>
      <c r="E87" s="193">
        <v>3</v>
      </c>
      <c r="F87" s="201"/>
      <c r="G87" s="201"/>
      <c r="H87" s="201"/>
      <c r="I87" s="201"/>
      <c r="J87" s="201"/>
      <c r="K87" s="201">
        <v>1</v>
      </c>
      <c r="L87" s="201">
        <v>2</v>
      </c>
      <c r="M87" s="201"/>
      <c r="N87" s="209"/>
    </row>
    <row r="88" ht="14.5" spans="1:14">
      <c r="A88" s="201"/>
      <c r="B88" s="206" t="s">
        <v>149</v>
      </c>
      <c r="C88" s="192">
        <v>3</v>
      </c>
      <c r="D88" s="192">
        <v>0</v>
      </c>
      <c r="E88" s="193">
        <v>3</v>
      </c>
      <c r="F88" s="201" t="s">
        <v>275</v>
      </c>
      <c r="G88" s="201" t="s">
        <v>302</v>
      </c>
      <c r="H88" s="201" t="s">
        <v>301</v>
      </c>
      <c r="I88" s="201" t="s">
        <v>270</v>
      </c>
      <c r="J88" s="201"/>
      <c r="K88" s="201">
        <v>2</v>
      </c>
      <c r="L88" s="201">
        <v>1</v>
      </c>
      <c r="M88" s="201"/>
      <c r="N88" s="209" t="s">
        <v>303</v>
      </c>
    </row>
    <row r="89" ht="14.5" spans="1:14">
      <c r="A89" s="201"/>
      <c r="B89" s="201" t="s">
        <v>150</v>
      </c>
      <c r="C89" s="192">
        <v>3</v>
      </c>
      <c r="D89" s="192">
        <v>0</v>
      </c>
      <c r="E89" s="193">
        <v>3</v>
      </c>
      <c r="F89" s="201"/>
      <c r="G89" s="201"/>
      <c r="H89" s="201"/>
      <c r="I89" s="201"/>
      <c r="J89" s="201"/>
      <c r="K89" s="201">
        <v>1</v>
      </c>
      <c r="L89" s="201">
        <v>2</v>
      </c>
      <c r="M89" s="201"/>
      <c r="N89" s="209"/>
    </row>
    <row r="90" ht="14.5" spans="1:14">
      <c r="A90" s="201"/>
      <c r="B90" s="201" t="s">
        <v>151</v>
      </c>
      <c r="C90" s="192">
        <v>3</v>
      </c>
      <c r="D90" s="192">
        <v>0</v>
      </c>
      <c r="E90" s="193">
        <v>3</v>
      </c>
      <c r="F90" s="201"/>
      <c r="G90" s="201"/>
      <c r="H90" s="201"/>
      <c r="I90" s="201"/>
      <c r="J90" s="201"/>
      <c r="K90" s="201">
        <v>1</v>
      </c>
      <c r="L90" s="201">
        <v>2</v>
      </c>
      <c r="M90" s="201"/>
      <c r="N90" s="209"/>
    </row>
    <row r="91" ht="14.5" spans="1:14">
      <c r="A91" s="201"/>
      <c r="B91" s="206" t="s">
        <v>152</v>
      </c>
      <c r="C91" s="192">
        <v>3</v>
      </c>
      <c r="D91" s="192">
        <v>0</v>
      </c>
      <c r="E91" s="193">
        <v>3</v>
      </c>
      <c r="F91" s="201"/>
      <c r="G91" s="201"/>
      <c r="H91" s="201"/>
      <c r="I91" s="201"/>
      <c r="J91" s="201"/>
      <c r="K91" s="201">
        <v>2</v>
      </c>
      <c r="L91" s="201">
        <v>1</v>
      </c>
      <c r="M91" s="201"/>
      <c r="N91" s="209"/>
    </row>
    <row r="92" ht="14.5" spans="1:14">
      <c r="A92" s="201"/>
      <c r="B92" s="206" t="s">
        <v>153</v>
      </c>
      <c r="C92" s="192">
        <v>3</v>
      </c>
      <c r="D92" s="192">
        <v>0</v>
      </c>
      <c r="E92" s="193">
        <v>3</v>
      </c>
      <c r="F92" s="201"/>
      <c r="G92" s="201"/>
      <c r="H92" s="201"/>
      <c r="I92" s="201"/>
      <c r="J92" s="201"/>
      <c r="K92" s="201">
        <v>1</v>
      </c>
      <c r="L92" s="201">
        <v>2</v>
      </c>
      <c r="M92" s="201"/>
      <c r="N92" s="209"/>
    </row>
    <row r="93" ht="14.5" spans="1:14">
      <c r="A93" s="201"/>
      <c r="B93" s="201" t="s">
        <v>154</v>
      </c>
      <c r="C93" s="192">
        <v>3</v>
      </c>
      <c r="D93" s="192">
        <v>0</v>
      </c>
      <c r="E93" s="193">
        <v>3</v>
      </c>
      <c r="F93" s="201"/>
      <c r="G93" s="201"/>
      <c r="H93" s="201"/>
      <c r="I93" s="201"/>
      <c r="J93" s="201"/>
      <c r="K93" s="201">
        <v>1</v>
      </c>
      <c r="L93" s="201">
        <v>2</v>
      </c>
      <c r="M93" s="201"/>
      <c r="N93" s="209"/>
    </row>
    <row r="94" ht="14.5" spans="1:14">
      <c r="A94" s="201"/>
      <c r="B94" s="201" t="s">
        <v>156</v>
      </c>
      <c r="C94" s="192">
        <v>3</v>
      </c>
      <c r="D94" s="192">
        <v>0</v>
      </c>
      <c r="E94" s="193">
        <v>3</v>
      </c>
      <c r="F94" s="201"/>
      <c r="G94" s="201"/>
      <c r="H94" s="201"/>
      <c r="I94" s="201"/>
      <c r="J94" s="201"/>
      <c r="K94" s="201">
        <v>1</v>
      </c>
      <c r="L94" s="201">
        <v>2</v>
      </c>
      <c r="M94" s="201"/>
      <c r="N94" s="209"/>
    </row>
    <row r="95" ht="14.5" spans="1:14">
      <c r="A95" s="201"/>
      <c r="B95" s="201" t="s">
        <v>157</v>
      </c>
      <c r="C95" s="192">
        <v>6</v>
      </c>
      <c r="D95" s="192">
        <v>0</v>
      </c>
      <c r="E95" s="193">
        <v>6</v>
      </c>
      <c r="F95" s="201"/>
      <c r="G95" s="201"/>
      <c r="H95" s="201"/>
      <c r="I95" s="201"/>
      <c r="J95" s="201"/>
      <c r="K95" s="201">
        <v>2</v>
      </c>
      <c r="L95" s="201">
        <v>2</v>
      </c>
      <c r="M95" s="201">
        <v>2</v>
      </c>
      <c r="N95" s="209"/>
    </row>
    <row r="96" ht="28" spans="1:14">
      <c r="A96" s="201"/>
      <c r="B96" s="201" t="s">
        <v>158</v>
      </c>
      <c r="C96" s="192">
        <v>3</v>
      </c>
      <c r="D96" s="192">
        <v>0</v>
      </c>
      <c r="E96" s="193">
        <v>3</v>
      </c>
      <c r="F96" s="201"/>
      <c r="G96" s="201"/>
      <c r="H96" s="201"/>
      <c r="I96" s="201"/>
      <c r="J96" s="201"/>
      <c r="K96" s="201">
        <v>1</v>
      </c>
      <c r="L96" s="201">
        <v>2</v>
      </c>
      <c r="M96" s="201"/>
      <c r="N96" s="209"/>
    </row>
    <row r="97" ht="14.5" spans="1:14">
      <c r="A97" s="201"/>
      <c r="B97" s="201" t="s">
        <v>159</v>
      </c>
      <c r="C97" s="192">
        <v>3</v>
      </c>
      <c r="D97" s="192">
        <v>0</v>
      </c>
      <c r="E97" s="193">
        <v>3</v>
      </c>
      <c r="F97" s="201"/>
      <c r="G97" s="201"/>
      <c r="H97" s="201"/>
      <c r="I97" s="201"/>
      <c r="J97" s="201"/>
      <c r="K97" s="201">
        <v>1</v>
      </c>
      <c r="L97" s="201">
        <v>2</v>
      </c>
      <c r="M97" s="201"/>
      <c r="N97" s="209"/>
    </row>
    <row r="98" ht="14.5" spans="1:14">
      <c r="A98" s="196" t="s">
        <v>160</v>
      </c>
      <c r="B98" s="201" t="s">
        <v>19</v>
      </c>
      <c r="C98" s="192">
        <v>1</v>
      </c>
      <c r="D98" s="192">
        <v>1</v>
      </c>
      <c r="E98" s="193">
        <v>0</v>
      </c>
      <c r="F98" s="201"/>
      <c r="G98" s="201"/>
      <c r="H98" s="201"/>
      <c r="I98" s="201"/>
      <c r="J98" s="201" t="s">
        <v>246</v>
      </c>
      <c r="K98" s="201"/>
      <c r="L98" s="201"/>
      <c r="M98" s="201"/>
      <c r="N98" s="209"/>
    </row>
    <row r="99" ht="14.5" spans="1:14">
      <c r="A99" s="203"/>
      <c r="B99" s="201" t="s">
        <v>110</v>
      </c>
      <c r="C99" s="192">
        <v>2</v>
      </c>
      <c r="D99" s="192">
        <v>0</v>
      </c>
      <c r="E99" s="193">
        <v>2</v>
      </c>
      <c r="F99" s="201"/>
      <c r="G99" s="201"/>
      <c r="H99" s="201"/>
      <c r="I99" s="201"/>
      <c r="J99" s="201"/>
      <c r="K99" s="201">
        <v>1</v>
      </c>
      <c r="L99" s="201">
        <v>1</v>
      </c>
      <c r="M99" s="201"/>
      <c r="N99" s="209"/>
    </row>
    <row r="100" ht="14.5" spans="1:14">
      <c r="A100" s="196" t="s">
        <v>304</v>
      </c>
      <c r="B100" s="201" t="s">
        <v>163</v>
      </c>
      <c r="C100" s="192">
        <v>1</v>
      </c>
      <c r="D100" s="192">
        <v>0</v>
      </c>
      <c r="E100" s="193">
        <v>1</v>
      </c>
      <c r="F100" s="207"/>
      <c r="G100" s="207"/>
      <c r="H100" s="208"/>
      <c r="I100" s="208"/>
      <c r="J100" s="201"/>
      <c r="K100" s="208"/>
      <c r="L100" s="201">
        <v>1</v>
      </c>
      <c r="M100" s="208"/>
      <c r="N100" s="209"/>
    </row>
    <row r="101" ht="14.5" spans="1:14">
      <c r="A101" s="203"/>
      <c r="B101" s="201" t="s">
        <v>164</v>
      </c>
      <c r="C101" s="192">
        <v>1</v>
      </c>
      <c r="D101" s="192">
        <v>1</v>
      </c>
      <c r="E101" s="193">
        <v>0</v>
      </c>
      <c r="F101" s="207"/>
      <c r="G101" s="207"/>
      <c r="H101" s="208"/>
      <c r="I101" s="208"/>
      <c r="J101" s="201" t="s">
        <v>246</v>
      </c>
      <c r="K101" s="208"/>
      <c r="L101" s="208"/>
      <c r="M101" s="208"/>
      <c r="N101" s="209"/>
    </row>
    <row r="102" ht="14.5" spans="1:14">
      <c r="A102" s="203"/>
      <c r="B102" s="201" t="s">
        <v>142</v>
      </c>
      <c r="C102" s="192">
        <v>2</v>
      </c>
      <c r="D102" s="192">
        <v>0</v>
      </c>
      <c r="E102" s="193">
        <v>2</v>
      </c>
      <c r="F102" s="201" t="s">
        <v>292</v>
      </c>
      <c r="G102" s="201" t="s">
        <v>262</v>
      </c>
      <c r="H102" s="201" t="s">
        <v>305</v>
      </c>
      <c r="I102" s="201" t="s">
        <v>270</v>
      </c>
      <c r="J102" s="201"/>
      <c r="K102" s="201">
        <v>1</v>
      </c>
      <c r="L102" s="201">
        <v>1</v>
      </c>
      <c r="M102" s="201"/>
      <c r="N102" s="209"/>
    </row>
    <row r="103" ht="14.5" spans="1:14">
      <c r="A103" s="203"/>
      <c r="B103" s="201" t="s">
        <v>166</v>
      </c>
      <c r="C103" s="192">
        <v>5</v>
      </c>
      <c r="D103" s="192">
        <v>0</v>
      </c>
      <c r="E103" s="193">
        <v>5</v>
      </c>
      <c r="F103" s="201" t="s">
        <v>306</v>
      </c>
      <c r="G103" s="201" t="s">
        <v>262</v>
      </c>
      <c r="H103" s="201" t="s">
        <v>305</v>
      </c>
      <c r="I103" s="201" t="s">
        <v>270</v>
      </c>
      <c r="J103" s="201"/>
      <c r="K103" s="201">
        <v>2</v>
      </c>
      <c r="L103" s="201">
        <v>1</v>
      </c>
      <c r="M103" s="201">
        <v>2</v>
      </c>
      <c r="N103" s="209"/>
    </row>
    <row r="104" ht="14.5" spans="1:14">
      <c r="A104" s="203"/>
      <c r="B104" s="201" t="s">
        <v>167</v>
      </c>
      <c r="C104" s="192">
        <v>3</v>
      </c>
      <c r="D104" s="192">
        <v>2</v>
      </c>
      <c r="E104" s="193">
        <v>1</v>
      </c>
      <c r="F104" s="201" t="s">
        <v>306</v>
      </c>
      <c r="G104" s="201" t="s">
        <v>262</v>
      </c>
      <c r="H104" s="201" t="s">
        <v>305</v>
      </c>
      <c r="I104" s="201" t="s">
        <v>270</v>
      </c>
      <c r="J104" s="201"/>
      <c r="K104" s="201"/>
      <c r="L104" s="201">
        <v>1</v>
      </c>
      <c r="M104" s="201"/>
      <c r="N104" s="209"/>
    </row>
    <row r="105" ht="14.5" spans="1:14">
      <c r="A105" s="203"/>
      <c r="B105" s="201" t="s">
        <v>307</v>
      </c>
      <c r="C105" s="192">
        <v>2</v>
      </c>
      <c r="D105" s="192">
        <v>1</v>
      </c>
      <c r="E105" s="193">
        <v>1</v>
      </c>
      <c r="F105" s="201" t="s">
        <v>292</v>
      </c>
      <c r="G105" s="201" t="s">
        <v>262</v>
      </c>
      <c r="H105" s="201" t="s">
        <v>305</v>
      </c>
      <c r="I105" s="201" t="s">
        <v>270</v>
      </c>
      <c r="J105" s="201"/>
      <c r="K105" s="201">
        <v>1</v>
      </c>
      <c r="L105" s="201"/>
      <c r="M105" s="201"/>
      <c r="N105" s="209"/>
    </row>
    <row r="106" ht="14.5" spans="1:14">
      <c r="A106" s="200"/>
      <c r="B106" s="206" t="s">
        <v>171</v>
      </c>
      <c r="C106" s="192">
        <v>12</v>
      </c>
      <c r="D106" s="192">
        <v>2</v>
      </c>
      <c r="E106" s="193">
        <v>10</v>
      </c>
      <c r="F106" s="201" t="s">
        <v>308</v>
      </c>
      <c r="G106" s="201" t="s">
        <v>249</v>
      </c>
      <c r="H106" s="201" t="s">
        <v>305</v>
      </c>
      <c r="I106" s="201" t="s">
        <v>270</v>
      </c>
      <c r="J106" s="201"/>
      <c r="K106" s="201">
        <v>3</v>
      </c>
      <c r="L106" s="201">
        <v>3</v>
      </c>
      <c r="M106" s="201">
        <v>4</v>
      </c>
      <c r="N106" s="209"/>
    </row>
    <row r="107" ht="14.5" spans="1:14">
      <c r="A107" s="196" t="s">
        <v>309</v>
      </c>
      <c r="B107" s="201" t="s">
        <v>174</v>
      </c>
      <c r="C107" s="192">
        <v>1</v>
      </c>
      <c r="D107" s="192">
        <v>1</v>
      </c>
      <c r="E107" s="193">
        <v>0</v>
      </c>
      <c r="F107" s="207"/>
      <c r="G107" s="207"/>
      <c r="H107" s="208"/>
      <c r="I107" s="208"/>
      <c r="J107" s="201" t="s">
        <v>246</v>
      </c>
      <c r="K107" s="201"/>
      <c r="L107" s="201"/>
      <c r="M107" s="201"/>
      <c r="N107" s="209"/>
    </row>
    <row r="108" ht="14.5" spans="1:14">
      <c r="A108" s="203"/>
      <c r="B108" s="201" t="s">
        <v>176</v>
      </c>
      <c r="C108" s="192">
        <v>1</v>
      </c>
      <c r="D108" s="192">
        <v>1</v>
      </c>
      <c r="E108" s="193">
        <v>0</v>
      </c>
      <c r="F108" s="201"/>
      <c r="G108" s="201"/>
      <c r="H108" s="201"/>
      <c r="I108" s="201"/>
      <c r="J108" s="201" t="s">
        <v>246</v>
      </c>
      <c r="K108" s="201"/>
      <c r="L108" s="201"/>
      <c r="M108" s="201"/>
      <c r="N108" s="209"/>
    </row>
    <row r="109" ht="14.5" spans="1:14">
      <c r="A109" s="203"/>
      <c r="B109" s="201" t="s">
        <v>179</v>
      </c>
      <c r="C109" s="192">
        <v>1</v>
      </c>
      <c r="D109" s="192">
        <v>0</v>
      </c>
      <c r="E109" s="193">
        <v>1</v>
      </c>
      <c r="F109" s="201" t="s">
        <v>310</v>
      </c>
      <c r="G109" s="201" t="s">
        <v>262</v>
      </c>
      <c r="H109" s="201" t="s">
        <v>311</v>
      </c>
      <c r="I109" s="201" t="s">
        <v>312</v>
      </c>
      <c r="J109" s="201"/>
      <c r="K109" s="201"/>
      <c r="L109" s="201">
        <v>1</v>
      </c>
      <c r="M109" s="201"/>
      <c r="N109" s="209"/>
    </row>
    <row r="110" ht="14.5" spans="1:14">
      <c r="A110" s="203"/>
      <c r="B110" s="201" t="s">
        <v>180</v>
      </c>
      <c r="C110" s="192">
        <v>1</v>
      </c>
      <c r="D110" s="192">
        <v>1</v>
      </c>
      <c r="E110" s="193">
        <v>0</v>
      </c>
      <c r="F110" s="201"/>
      <c r="G110" s="201"/>
      <c r="H110" s="201"/>
      <c r="I110" s="201"/>
      <c r="J110" s="201" t="s">
        <v>246</v>
      </c>
      <c r="K110" s="201"/>
      <c r="L110" s="201"/>
      <c r="M110" s="201"/>
      <c r="N110" s="209"/>
    </row>
    <row r="111" ht="14.5" spans="1:14">
      <c r="A111" s="203"/>
      <c r="B111" s="201" t="s">
        <v>182</v>
      </c>
      <c r="C111" s="192">
        <v>1</v>
      </c>
      <c r="D111" s="192">
        <v>0</v>
      </c>
      <c r="E111" s="193">
        <v>1</v>
      </c>
      <c r="F111" s="201"/>
      <c r="G111" s="201"/>
      <c r="H111" s="201"/>
      <c r="I111" s="201"/>
      <c r="J111" s="201"/>
      <c r="K111" s="201">
        <v>1</v>
      </c>
      <c r="L111" s="201"/>
      <c r="M111" s="201"/>
      <c r="N111" s="209"/>
    </row>
    <row r="112" ht="14.5" spans="1:14">
      <c r="A112" s="203"/>
      <c r="B112" s="201" t="s">
        <v>184</v>
      </c>
      <c r="C112" s="192">
        <v>1</v>
      </c>
      <c r="D112" s="192">
        <v>1</v>
      </c>
      <c r="E112" s="193">
        <v>0</v>
      </c>
      <c r="F112" s="201" t="s">
        <v>310</v>
      </c>
      <c r="G112" s="201">
        <v>30</v>
      </c>
      <c r="H112" s="201" t="s">
        <v>311</v>
      </c>
      <c r="I112" s="201" t="s">
        <v>270</v>
      </c>
      <c r="J112" s="201" t="s">
        <v>246</v>
      </c>
      <c r="K112" s="201"/>
      <c r="L112" s="201"/>
      <c r="M112" s="201"/>
      <c r="N112" s="209"/>
    </row>
    <row r="113" ht="28" spans="1:14">
      <c r="A113" s="203"/>
      <c r="B113" s="201" t="s">
        <v>186</v>
      </c>
      <c r="C113" s="192">
        <v>3</v>
      </c>
      <c r="D113" s="192">
        <v>1</v>
      </c>
      <c r="E113" s="193">
        <v>2</v>
      </c>
      <c r="F113" s="201" t="s">
        <v>313</v>
      </c>
      <c r="G113" s="201" t="s">
        <v>249</v>
      </c>
      <c r="H113" s="201" t="s">
        <v>311</v>
      </c>
      <c r="I113" s="201" t="s">
        <v>271</v>
      </c>
      <c r="J113" s="201"/>
      <c r="K113" s="201">
        <v>1</v>
      </c>
      <c r="L113" s="201">
        <v>1</v>
      </c>
      <c r="M113" s="201"/>
      <c r="N113" s="209"/>
    </row>
    <row r="114" ht="28" spans="1:14">
      <c r="A114" s="203"/>
      <c r="B114" s="201" t="s">
        <v>189</v>
      </c>
      <c r="C114" s="192">
        <v>3</v>
      </c>
      <c r="D114" s="192">
        <v>0</v>
      </c>
      <c r="E114" s="193">
        <v>3</v>
      </c>
      <c r="F114" s="201" t="s">
        <v>313</v>
      </c>
      <c r="G114" s="201" t="s">
        <v>249</v>
      </c>
      <c r="H114" s="201" t="s">
        <v>311</v>
      </c>
      <c r="I114" s="201" t="s">
        <v>271</v>
      </c>
      <c r="J114" s="201"/>
      <c r="K114" s="201">
        <v>1</v>
      </c>
      <c r="L114" s="201">
        <v>2</v>
      </c>
      <c r="M114" s="201"/>
      <c r="N114" s="209"/>
    </row>
    <row r="115" ht="14.5" spans="1:14">
      <c r="A115" s="203"/>
      <c r="B115" s="201" t="s">
        <v>190</v>
      </c>
      <c r="C115" s="192">
        <v>3</v>
      </c>
      <c r="D115" s="192">
        <v>0</v>
      </c>
      <c r="E115" s="193">
        <v>3</v>
      </c>
      <c r="F115" s="201" t="s">
        <v>313</v>
      </c>
      <c r="G115" s="201" t="s">
        <v>249</v>
      </c>
      <c r="H115" s="201" t="s">
        <v>311</v>
      </c>
      <c r="I115" s="201" t="s">
        <v>271</v>
      </c>
      <c r="J115" s="201"/>
      <c r="K115" s="201">
        <v>1</v>
      </c>
      <c r="L115" s="201">
        <v>2</v>
      </c>
      <c r="M115" s="201"/>
      <c r="N115" s="209"/>
    </row>
    <row r="116" ht="14.5" spans="1:14">
      <c r="A116" s="203"/>
      <c r="B116" s="201" t="s">
        <v>191</v>
      </c>
      <c r="C116" s="192">
        <v>2</v>
      </c>
      <c r="D116" s="192">
        <v>0</v>
      </c>
      <c r="E116" s="193">
        <v>2</v>
      </c>
      <c r="F116" s="201" t="s">
        <v>274</v>
      </c>
      <c r="G116" s="201" t="s">
        <v>269</v>
      </c>
      <c r="H116" s="201" t="s">
        <v>311</v>
      </c>
      <c r="I116" s="201" t="s">
        <v>270</v>
      </c>
      <c r="J116" s="201"/>
      <c r="K116" s="201"/>
      <c r="L116" s="201">
        <v>2</v>
      </c>
      <c r="M116" s="201"/>
      <c r="N116" s="209"/>
    </row>
    <row r="117" ht="14.5" spans="1:14">
      <c r="A117" s="203"/>
      <c r="B117" s="201" t="s">
        <v>193</v>
      </c>
      <c r="C117" s="192">
        <v>1</v>
      </c>
      <c r="D117" s="192">
        <v>0</v>
      </c>
      <c r="E117" s="193">
        <v>1</v>
      </c>
      <c r="F117" s="201" t="s">
        <v>274</v>
      </c>
      <c r="G117" s="201" t="s">
        <v>269</v>
      </c>
      <c r="H117" s="201" t="s">
        <v>311</v>
      </c>
      <c r="I117" s="201" t="s">
        <v>270</v>
      </c>
      <c r="J117" s="201"/>
      <c r="K117" s="201">
        <v>1</v>
      </c>
      <c r="L117" s="201"/>
      <c r="M117" s="201"/>
      <c r="N117" s="209"/>
    </row>
    <row r="118" ht="14.5" spans="1:14">
      <c r="A118" s="203"/>
      <c r="B118" s="201" t="s">
        <v>195</v>
      </c>
      <c r="C118" s="192">
        <v>4</v>
      </c>
      <c r="D118" s="192">
        <v>1</v>
      </c>
      <c r="E118" s="193">
        <v>3</v>
      </c>
      <c r="F118" s="201" t="s">
        <v>274</v>
      </c>
      <c r="G118" s="201" t="s">
        <v>269</v>
      </c>
      <c r="H118" s="201" t="s">
        <v>311</v>
      </c>
      <c r="I118" s="201" t="s">
        <v>270</v>
      </c>
      <c r="J118" s="201"/>
      <c r="K118" s="201">
        <v>1</v>
      </c>
      <c r="L118" s="201">
        <v>2</v>
      </c>
      <c r="M118" s="201"/>
      <c r="N118" s="209"/>
    </row>
    <row r="119" ht="14.5" spans="1:14">
      <c r="A119" s="203"/>
      <c r="B119" s="201" t="s">
        <v>198</v>
      </c>
      <c r="C119" s="192">
        <v>9</v>
      </c>
      <c r="D119" s="192">
        <v>1</v>
      </c>
      <c r="E119" s="193">
        <v>8</v>
      </c>
      <c r="F119" s="201" t="s">
        <v>274</v>
      </c>
      <c r="G119" s="201" t="s">
        <v>269</v>
      </c>
      <c r="H119" s="201" t="s">
        <v>311</v>
      </c>
      <c r="I119" s="201" t="s">
        <v>270</v>
      </c>
      <c r="J119" s="201"/>
      <c r="K119" s="201">
        <v>2</v>
      </c>
      <c r="L119" s="201">
        <v>3</v>
      </c>
      <c r="M119" s="201">
        <v>3</v>
      </c>
      <c r="N119" s="209"/>
    </row>
    <row r="120" ht="14.5" spans="1:14">
      <c r="A120" s="200"/>
      <c r="B120" s="201" t="s">
        <v>167</v>
      </c>
      <c r="C120" s="192">
        <v>4</v>
      </c>
      <c r="D120" s="192">
        <v>0</v>
      </c>
      <c r="E120" s="193">
        <v>4</v>
      </c>
      <c r="F120" s="201" t="s">
        <v>274</v>
      </c>
      <c r="G120" s="201" t="s">
        <v>269</v>
      </c>
      <c r="H120" s="201" t="s">
        <v>311</v>
      </c>
      <c r="I120" s="201" t="s">
        <v>270</v>
      </c>
      <c r="J120" s="201"/>
      <c r="K120" s="201">
        <v>2</v>
      </c>
      <c r="L120" s="201">
        <v>2</v>
      </c>
      <c r="M120" s="201"/>
      <c r="N120" s="209"/>
    </row>
    <row r="121" ht="14.5" spans="1:14">
      <c r="A121" s="196" t="s">
        <v>314</v>
      </c>
      <c r="B121" s="201" t="s">
        <v>202</v>
      </c>
      <c r="C121" s="192">
        <v>1</v>
      </c>
      <c r="D121" s="192">
        <v>1</v>
      </c>
      <c r="E121" s="193">
        <v>0</v>
      </c>
      <c r="F121" s="201"/>
      <c r="G121" s="201"/>
      <c r="H121" s="201"/>
      <c r="I121" s="201"/>
      <c r="J121" s="201" t="s">
        <v>246</v>
      </c>
      <c r="K121" s="201"/>
      <c r="L121" s="201"/>
      <c r="M121" s="201"/>
      <c r="N121" s="209"/>
    </row>
    <row r="122" ht="14.5" spans="1:14">
      <c r="A122" s="203"/>
      <c r="B122" s="201" t="s">
        <v>204</v>
      </c>
      <c r="C122" s="192">
        <v>1</v>
      </c>
      <c r="D122" s="192">
        <v>1</v>
      </c>
      <c r="E122" s="193">
        <v>0</v>
      </c>
      <c r="F122" s="201" t="s">
        <v>261</v>
      </c>
      <c r="G122" s="201">
        <v>45</v>
      </c>
      <c r="H122" s="201" t="s">
        <v>315</v>
      </c>
      <c r="I122" s="201" t="s">
        <v>312</v>
      </c>
      <c r="J122" s="201" t="s">
        <v>246</v>
      </c>
      <c r="K122" s="201"/>
      <c r="L122" s="201"/>
      <c r="M122" s="201"/>
      <c r="N122" s="209"/>
    </row>
    <row r="123" ht="14.5" spans="1:14">
      <c r="A123" s="203"/>
      <c r="B123" s="201" t="s">
        <v>167</v>
      </c>
      <c r="C123" s="192">
        <v>3</v>
      </c>
      <c r="D123" s="192">
        <v>1</v>
      </c>
      <c r="E123" s="193">
        <v>2</v>
      </c>
      <c r="F123" s="201" t="s">
        <v>261</v>
      </c>
      <c r="G123" s="201">
        <v>45</v>
      </c>
      <c r="H123" s="201" t="s">
        <v>315</v>
      </c>
      <c r="I123" s="201" t="s">
        <v>270</v>
      </c>
      <c r="J123" s="201"/>
      <c r="K123" s="201">
        <v>1</v>
      </c>
      <c r="L123" s="201">
        <v>1</v>
      </c>
      <c r="M123" s="201"/>
      <c r="N123" s="209" t="s">
        <v>316</v>
      </c>
    </row>
    <row r="124" ht="14.5" spans="1:14">
      <c r="A124" s="203"/>
      <c r="B124" s="201" t="s">
        <v>118</v>
      </c>
      <c r="C124" s="192">
        <v>6</v>
      </c>
      <c r="D124" s="192">
        <v>0</v>
      </c>
      <c r="E124" s="193">
        <v>6</v>
      </c>
      <c r="F124" s="201" t="s">
        <v>261</v>
      </c>
      <c r="G124" s="201">
        <v>45</v>
      </c>
      <c r="H124" s="201" t="s">
        <v>315</v>
      </c>
      <c r="I124" s="201" t="s">
        <v>270</v>
      </c>
      <c r="J124" s="201"/>
      <c r="K124" s="201">
        <v>3</v>
      </c>
      <c r="L124" s="201">
        <v>3</v>
      </c>
      <c r="M124" s="201"/>
      <c r="N124" s="209"/>
    </row>
    <row r="125" ht="14.5" spans="1:14">
      <c r="A125" s="203"/>
      <c r="B125" s="201" t="s">
        <v>208</v>
      </c>
      <c r="C125" s="192">
        <v>9</v>
      </c>
      <c r="D125" s="192">
        <v>0</v>
      </c>
      <c r="E125" s="193">
        <v>9</v>
      </c>
      <c r="F125" s="201" t="s">
        <v>274</v>
      </c>
      <c r="G125" s="201">
        <v>45</v>
      </c>
      <c r="H125" s="201"/>
      <c r="I125" s="201" t="s">
        <v>317</v>
      </c>
      <c r="J125" s="201"/>
      <c r="K125" s="201">
        <v>3</v>
      </c>
      <c r="L125" s="201">
        <v>3</v>
      </c>
      <c r="M125" s="201">
        <v>3</v>
      </c>
      <c r="N125" s="209"/>
    </row>
    <row r="126" ht="14.5" spans="1:14">
      <c r="A126" s="203"/>
      <c r="B126" s="201" t="s">
        <v>209</v>
      </c>
      <c r="C126" s="192">
        <v>6</v>
      </c>
      <c r="D126" s="192">
        <v>0</v>
      </c>
      <c r="E126" s="193">
        <v>6</v>
      </c>
      <c r="F126" s="201" t="s">
        <v>274</v>
      </c>
      <c r="G126" s="201">
        <v>45</v>
      </c>
      <c r="H126" s="201"/>
      <c r="I126" s="201" t="s">
        <v>317</v>
      </c>
      <c r="J126" s="201"/>
      <c r="K126" s="201">
        <v>2</v>
      </c>
      <c r="L126" s="201">
        <v>2</v>
      </c>
      <c r="M126" s="201">
        <v>2</v>
      </c>
      <c r="N126" s="209"/>
    </row>
    <row r="127" ht="14.5" spans="1:14">
      <c r="A127" s="203"/>
      <c r="B127" s="201" t="s">
        <v>210</v>
      </c>
      <c r="C127" s="192">
        <v>9</v>
      </c>
      <c r="D127" s="192">
        <v>0</v>
      </c>
      <c r="E127" s="193">
        <v>9</v>
      </c>
      <c r="F127" s="201" t="s">
        <v>313</v>
      </c>
      <c r="G127" s="201">
        <v>45</v>
      </c>
      <c r="H127" s="201"/>
      <c r="I127" s="201" t="s">
        <v>263</v>
      </c>
      <c r="J127" s="201"/>
      <c r="K127" s="201">
        <v>2</v>
      </c>
      <c r="L127" s="201">
        <v>2</v>
      </c>
      <c r="M127" s="201">
        <v>5</v>
      </c>
      <c r="N127" s="209"/>
    </row>
    <row r="128" ht="14.5" spans="1:14">
      <c r="A128" s="200"/>
      <c r="B128" s="201" t="s">
        <v>211</v>
      </c>
      <c r="C128" s="192">
        <v>3</v>
      </c>
      <c r="D128" s="192">
        <v>0</v>
      </c>
      <c r="E128" s="193">
        <v>3</v>
      </c>
      <c r="F128" s="201" t="s">
        <v>313</v>
      </c>
      <c r="G128" s="201">
        <v>45</v>
      </c>
      <c r="H128" s="201"/>
      <c r="I128" s="201" t="s">
        <v>263</v>
      </c>
      <c r="J128" s="201"/>
      <c r="K128" s="201"/>
      <c r="L128" s="201">
        <v>3</v>
      </c>
      <c r="M128" s="201"/>
      <c r="N128" s="209"/>
    </row>
    <row r="129" ht="14.5" spans="1:14">
      <c r="A129" s="196" t="s">
        <v>318</v>
      </c>
      <c r="B129" s="206" t="s">
        <v>215</v>
      </c>
      <c r="C129" s="192">
        <v>2</v>
      </c>
      <c r="D129" s="192">
        <v>1</v>
      </c>
      <c r="E129" s="193">
        <v>1</v>
      </c>
      <c r="F129" s="201" t="s">
        <v>261</v>
      </c>
      <c r="G129" s="201">
        <v>45</v>
      </c>
      <c r="H129" s="201" t="s">
        <v>315</v>
      </c>
      <c r="I129" s="201" t="s">
        <v>319</v>
      </c>
      <c r="J129" s="201"/>
      <c r="K129" s="201">
        <v>1</v>
      </c>
      <c r="L129" s="201"/>
      <c r="M129" s="201"/>
      <c r="N129" s="209"/>
    </row>
    <row r="130" ht="14.5" spans="1:14">
      <c r="A130" s="203"/>
      <c r="B130" s="206" t="s">
        <v>217</v>
      </c>
      <c r="C130" s="192">
        <v>6</v>
      </c>
      <c r="D130" s="192">
        <v>2</v>
      </c>
      <c r="E130" s="193">
        <v>4</v>
      </c>
      <c r="F130" s="201" t="s">
        <v>261</v>
      </c>
      <c r="G130" s="201">
        <v>45</v>
      </c>
      <c r="H130" s="201" t="s">
        <v>315</v>
      </c>
      <c r="I130" s="201" t="s">
        <v>319</v>
      </c>
      <c r="J130" s="201"/>
      <c r="K130" s="201">
        <v>2</v>
      </c>
      <c r="L130" s="201">
        <v>2</v>
      </c>
      <c r="M130" s="201"/>
      <c r="N130" s="209" t="s">
        <v>320</v>
      </c>
    </row>
    <row r="131" ht="14.5" spans="1:14">
      <c r="A131" s="203"/>
      <c r="B131" s="206" t="s">
        <v>118</v>
      </c>
      <c r="C131" s="192">
        <v>6</v>
      </c>
      <c r="D131" s="192">
        <v>0</v>
      </c>
      <c r="E131" s="193">
        <v>6</v>
      </c>
      <c r="F131" s="201" t="s">
        <v>261</v>
      </c>
      <c r="G131" s="201">
        <v>45</v>
      </c>
      <c r="H131" s="201" t="s">
        <v>315</v>
      </c>
      <c r="I131" s="201" t="s">
        <v>319</v>
      </c>
      <c r="J131" s="201"/>
      <c r="K131" s="201">
        <v>3</v>
      </c>
      <c r="L131" s="201">
        <v>3</v>
      </c>
      <c r="M131" s="201"/>
      <c r="N131" s="209"/>
    </row>
    <row r="132" ht="14.5" spans="1:14">
      <c r="A132" s="203"/>
      <c r="B132" s="206" t="s">
        <v>219</v>
      </c>
      <c r="C132" s="192">
        <v>6</v>
      </c>
      <c r="D132" s="192">
        <v>0</v>
      </c>
      <c r="E132" s="193">
        <v>6</v>
      </c>
      <c r="F132" s="201" t="s">
        <v>274</v>
      </c>
      <c r="G132" s="201">
        <v>45</v>
      </c>
      <c r="H132" s="201"/>
      <c r="I132" s="201" t="s">
        <v>319</v>
      </c>
      <c r="J132" s="201"/>
      <c r="K132" s="201">
        <v>3</v>
      </c>
      <c r="L132" s="201">
        <v>3</v>
      </c>
      <c r="M132" s="201"/>
      <c r="N132" s="209"/>
    </row>
    <row r="133" ht="14.5" spans="1:14">
      <c r="A133" s="203"/>
      <c r="B133" s="206" t="s">
        <v>220</v>
      </c>
      <c r="C133" s="192">
        <v>6</v>
      </c>
      <c r="D133" s="192">
        <v>0</v>
      </c>
      <c r="E133" s="193">
        <v>6</v>
      </c>
      <c r="F133" s="201" t="s">
        <v>274</v>
      </c>
      <c r="G133" s="201">
        <v>45</v>
      </c>
      <c r="H133" s="201"/>
      <c r="I133" s="201" t="s">
        <v>319</v>
      </c>
      <c r="J133" s="201"/>
      <c r="K133" s="201">
        <v>3</v>
      </c>
      <c r="L133" s="201">
        <v>3</v>
      </c>
      <c r="M133" s="201"/>
      <c r="N133" s="209"/>
    </row>
    <row r="134" ht="14.5" spans="1:14">
      <c r="A134" s="203"/>
      <c r="B134" s="206" t="s">
        <v>221</v>
      </c>
      <c r="C134" s="192">
        <v>6</v>
      </c>
      <c r="D134" s="192">
        <v>1</v>
      </c>
      <c r="E134" s="193">
        <v>5</v>
      </c>
      <c r="F134" s="201" t="s">
        <v>274</v>
      </c>
      <c r="G134" s="201">
        <v>45</v>
      </c>
      <c r="H134" s="201"/>
      <c r="I134" s="201" t="s">
        <v>319</v>
      </c>
      <c r="J134" s="201"/>
      <c r="K134" s="201"/>
      <c r="L134" s="201">
        <v>5</v>
      </c>
      <c r="M134" s="201"/>
      <c r="N134" s="209"/>
    </row>
    <row r="135" ht="14.5" spans="1:14">
      <c r="A135" s="203"/>
      <c r="B135" s="201" t="s">
        <v>223</v>
      </c>
      <c r="C135" s="192">
        <v>6</v>
      </c>
      <c r="D135" s="192">
        <v>0</v>
      </c>
      <c r="E135" s="193">
        <v>6</v>
      </c>
      <c r="F135" s="201" t="s">
        <v>274</v>
      </c>
      <c r="G135" s="201">
        <v>45</v>
      </c>
      <c r="H135" s="201"/>
      <c r="I135" s="201" t="s">
        <v>321</v>
      </c>
      <c r="J135" s="201"/>
      <c r="K135" s="201">
        <v>2</v>
      </c>
      <c r="L135" s="201">
        <v>2</v>
      </c>
      <c r="M135" s="201">
        <v>2</v>
      </c>
      <c r="N135" s="209"/>
    </row>
    <row r="136" ht="14.5" spans="1:14">
      <c r="A136" s="203"/>
      <c r="B136" s="206" t="s">
        <v>224</v>
      </c>
      <c r="C136" s="192">
        <v>6</v>
      </c>
      <c r="D136" s="192">
        <v>0</v>
      </c>
      <c r="E136" s="193">
        <v>6</v>
      </c>
      <c r="F136" s="201" t="s">
        <v>274</v>
      </c>
      <c r="G136" s="201">
        <v>45</v>
      </c>
      <c r="H136" s="201"/>
      <c r="I136" s="201" t="s">
        <v>319</v>
      </c>
      <c r="J136" s="201"/>
      <c r="K136" s="201">
        <v>2</v>
      </c>
      <c r="L136" s="201">
        <v>4</v>
      </c>
      <c r="M136" s="201"/>
      <c r="N136" s="209"/>
    </row>
    <row r="137" ht="14.5" spans="1:14">
      <c r="A137" s="203"/>
      <c r="B137" s="206" t="s">
        <v>225</v>
      </c>
      <c r="C137" s="192">
        <v>6</v>
      </c>
      <c r="D137" s="192">
        <v>0</v>
      </c>
      <c r="E137" s="193">
        <v>6</v>
      </c>
      <c r="F137" s="201" t="s">
        <v>274</v>
      </c>
      <c r="G137" s="201">
        <v>45</v>
      </c>
      <c r="H137" s="201"/>
      <c r="I137" s="201" t="s">
        <v>319</v>
      </c>
      <c r="J137" s="201"/>
      <c r="K137" s="201">
        <v>1</v>
      </c>
      <c r="L137" s="201">
        <v>5</v>
      </c>
      <c r="M137" s="201"/>
      <c r="N137" s="209"/>
    </row>
    <row r="138" ht="14.5" spans="1:14">
      <c r="A138" s="203"/>
      <c r="B138" s="201" t="s">
        <v>226</v>
      </c>
      <c r="C138" s="192">
        <v>12</v>
      </c>
      <c r="D138" s="192">
        <v>0</v>
      </c>
      <c r="E138" s="193">
        <v>12</v>
      </c>
      <c r="F138" s="201" t="s">
        <v>274</v>
      </c>
      <c r="G138" s="201">
        <v>45</v>
      </c>
      <c r="H138" s="201"/>
      <c r="I138" s="201" t="s">
        <v>321</v>
      </c>
      <c r="J138" s="201"/>
      <c r="K138" s="201">
        <v>4</v>
      </c>
      <c r="L138" s="201">
        <v>4</v>
      </c>
      <c r="M138" s="201">
        <v>4</v>
      </c>
      <c r="N138" s="209"/>
    </row>
    <row r="139" ht="14.5" spans="1:14">
      <c r="A139" s="203"/>
      <c r="B139" s="201" t="s">
        <v>227</v>
      </c>
      <c r="C139" s="192">
        <v>6</v>
      </c>
      <c r="D139" s="192">
        <v>0</v>
      </c>
      <c r="E139" s="193">
        <v>6</v>
      </c>
      <c r="F139" s="201" t="s">
        <v>274</v>
      </c>
      <c r="G139" s="201">
        <v>50</v>
      </c>
      <c r="H139" s="201"/>
      <c r="I139" s="201" t="s">
        <v>321</v>
      </c>
      <c r="J139" s="201"/>
      <c r="K139" s="201">
        <v>1</v>
      </c>
      <c r="L139" s="201">
        <v>1</v>
      </c>
      <c r="M139" s="201">
        <v>4</v>
      </c>
      <c r="N139" s="209"/>
    </row>
    <row r="140" ht="14.5" spans="1:14">
      <c r="A140" s="200"/>
      <c r="B140" s="201" t="s">
        <v>228</v>
      </c>
      <c r="C140" s="192">
        <v>3</v>
      </c>
      <c r="D140" s="192">
        <v>0</v>
      </c>
      <c r="E140" s="193">
        <v>3</v>
      </c>
      <c r="F140" s="201" t="s">
        <v>313</v>
      </c>
      <c r="G140" s="201">
        <v>50</v>
      </c>
      <c r="H140" s="201"/>
      <c r="I140" s="208"/>
      <c r="J140" s="201"/>
      <c r="K140" s="208"/>
      <c r="L140" s="201"/>
      <c r="M140" s="201">
        <v>3</v>
      </c>
      <c r="N140" s="209"/>
    </row>
    <row r="141" spans="1:14">
      <c r="A141" s="212" t="s">
        <v>229</v>
      </c>
      <c r="B141" s="212"/>
      <c r="C141" s="213">
        <f>SUM(C5:C140)</f>
        <v>331</v>
      </c>
      <c r="D141" s="213">
        <f t="shared" ref="D141:E141" si="0">SUM(D5:D140)</f>
        <v>66</v>
      </c>
      <c r="E141" s="214">
        <f t="shared" si="0"/>
        <v>265</v>
      </c>
      <c r="F141" s="215"/>
      <c r="G141" s="215"/>
      <c r="H141" s="216"/>
      <c r="I141" s="216"/>
      <c r="J141" s="208"/>
      <c r="K141" s="217">
        <f>SUM(K5:K140)</f>
        <v>93</v>
      </c>
      <c r="L141" s="217">
        <f t="shared" ref="L141:M141" si="1">SUM(L5:L140)</f>
        <v>124</v>
      </c>
      <c r="M141" s="217">
        <f t="shared" si="1"/>
        <v>48</v>
      </c>
      <c r="N141" s="216"/>
    </row>
    <row r="142" spans="1:14">
      <c r="A142" s="218" t="s">
        <v>322</v>
      </c>
      <c r="H142"/>
      <c r="I142"/>
      <c r="J142"/>
      <c r="K142"/>
      <c r="L142"/>
      <c r="M142"/>
      <c r="N142"/>
    </row>
  </sheetData>
  <mergeCells count="29">
    <mergeCell ref="A1:N1"/>
    <mergeCell ref="A2:N2"/>
    <mergeCell ref="F3:I3"/>
    <mergeCell ref="K3:M3"/>
    <mergeCell ref="A141:B141"/>
    <mergeCell ref="A3:A4"/>
    <mergeCell ref="A6:A7"/>
    <mergeCell ref="A8:A12"/>
    <mergeCell ref="A13:A19"/>
    <mergeCell ref="A20:A23"/>
    <mergeCell ref="A24:A29"/>
    <mergeCell ref="A30:A34"/>
    <mergeCell ref="A35:A39"/>
    <mergeCell ref="A40:A48"/>
    <mergeCell ref="A49:A51"/>
    <mergeCell ref="A52:A63"/>
    <mergeCell ref="A64:A70"/>
    <mergeCell ref="A71:A97"/>
    <mergeCell ref="A98:A99"/>
    <mergeCell ref="A100:A106"/>
    <mergeCell ref="A107:A120"/>
    <mergeCell ref="A121:A128"/>
    <mergeCell ref="A129:A140"/>
    <mergeCell ref="B3:B4"/>
    <mergeCell ref="C3:C4"/>
    <mergeCell ref="D3:D4"/>
    <mergeCell ref="E3:E4"/>
    <mergeCell ref="J3:J4"/>
    <mergeCell ref="N3:N4"/>
  </mergeCells>
  <pageMargins left="0.7" right="0.7" top="0.75" bottom="0.75" header="0.3" footer="0.3"/>
  <pageSetup paperSize="125" orientation="portrait" horizontalDpi="180" verticalDpi="180"/>
  <headerFooter/>
  <ignoredErrors>
    <ignoredError sqref="K141:M14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-0.499984740745262"/>
  </sheetPr>
  <dimension ref="A1:I45"/>
  <sheetViews>
    <sheetView workbookViewId="0">
      <pane ySplit="2" topLeftCell="A39" activePane="bottomLeft" state="frozen"/>
      <selection/>
      <selection pane="bottomLeft" activeCell="D42" sqref="D42"/>
    </sheetView>
  </sheetViews>
  <sheetFormatPr defaultColWidth="9" defaultRowHeight="14"/>
  <cols>
    <col min="2" max="2" width="11.1272727272727" customWidth="1"/>
    <col min="3" max="3" width="10.8727272727273" customWidth="1"/>
    <col min="4" max="4" width="62.7545454545455" customWidth="1"/>
    <col min="8" max="8" width="16.2545454545455" customWidth="1"/>
    <col min="9" max="9" width="13.6272727272727" customWidth="1"/>
  </cols>
  <sheetData>
    <row r="1" ht="31" spans="1:9">
      <c r="A1" s="159" t="s">
        <v>323</v>
      </c>
      <c r="B1" s="159"/>
      <c r="C1" s="159"/>
      <c r="D1" s="160"/>
      <c r="E1" s="159"/>
      <c r="F1" s="159"/>
      <c r="G1" s="159"/>
      <c r="H1" s="159"/>
      <c r="I1" s="159"/>
    </row>
    <row r="2" ht="30" spans="1:9">
      <c r="A2" s="161" t="s">
        <v>1</v>
      </c>
      <c r="B2" s="162" t="s">
        <v>2</v>
      </c>
      <c r="C2" s="162" t="s">
        <v>3</v>
      </c>
      <c r="D2" s="162" t="s">
        <v>324</v>
      </c>
      <c r="E2" s="162" t="s">
        <v>325</v>
      </c>
      <c r="F2" s="162" t="s">
        <v>326</v>
      </c>
      <c r="G2" s="162" t="s">
        <v>327</v>
      </c>
      <c r="H2" s="162" t="s">
        <v>328</v>
      </c>
      <c r="I2" s="162" t="s">
        <v>329</v>
      </c>
    </row>
    <row r="3" ht="120.95" customHeight="1" spans="1:9">
      <c r="A3" s="163">
        <v>1</v>
      </c>
      <c r="B3" s="164" t="s">
        <v>16</v>
      </c>
      <c r="C3" s="164" t="s">
        <v>13</v>
      </c>
      <c r="D3" s="165" t="s">
        <v>330</v>
      </c>
      <c r="E3" s="164" t="s">
        <v>248</v>
      </c>
      <c r="F3" s="164" t="s">
        <v>331</v>
      </c>
      <c r="G3" s="164" t="s">
        <v>332</v>
      </c>
      <c r="H3" s="164" t="s">
        <v>333</v>
      </c>
      <c r="I3" s="164" t="s">
        <v>334</v>
      </c>
    </row>
    <row r="4" ht="213.95" customHeight="1" spans="1:9">
      <c r="A4" s="163">
        <v>2</v>
      </c>
      <c r="B4" s="164" t="s">
        <v>74</v>
      </c>
      <c r="C4" s="164" t="s">
        <v>335</v>
      </c>
      <c r="D4" s="166" t="s">
        <v>336</v>
      </c>
      <c r="E4" s="164" t="s">
        <v>248</v>
      </c>
      <c r="F4" s="164" t="s">
        <v>331</v>
      </c>
      <c r="G4" s="164" t="s">
        <v>332</v>
      </c>
      <c r="H4" s="164" t="s">
        <v>337</v>
      </c>
      <c r="I4" s="164" t="s">
        <v>338</v>
      </c>
    </row>
    <row r="5" ht="48.95" customHeight="1" spans="1:9">
      <c r="A5" s="163">
        <v>3</v>
      </c>
      <c r="B5" s="164" t="s">
        <v>335</v>
      </c>
      <c r="C5" s="164" t="s">
        <v>84</v>
      </c>
      <c r="D5" s="166" t="s">
        <v>339</v>
      </c>
      <c r="E5" s="164" t="s">
        <v>263</v>
      </c>
      <c r="F5" s="164" t="s">
        <v>340</v>
      </c>
      <c r="G5" s="164" t="s">
        <v>341</v>
      </c>
      <c r="H5" s="164" t="s">
        <v>342</v>
      </c>
      <c r="I5" s="164" t="s">
        <v>343</v>
      </c>
    </row>
    <row r="6" ht="42" customHeight="1" spans="1:9">
      <c r="A6" s="163">
        <v>4</v>
      </c>
      <c r="B6" s="164" t="s">
        <v>335</v>
      </c>
      <c r="C6" s="164" t="s">
        <v>344</v>
      </c>
      <c r="D6" s="166" t="s">
        <v>345</v>
      </c>
      <c r="E6" s="164" t="s">
        <v>263</v>
      </c>
      <c r="F6" s="164" t="s">
        <v>263</v>
      </c>
      <c r="G6" s="164" t="s">
        <v>346</v>
      </c>
      <c r="H6" s="164">
        <v>2000</v>
      </c>
      <c r="I6" s="164" t="s">
        <v>343</v>
      </c>
    </row>
    <row r="7" ht="36" customHeight="1" spans="1:9">
      <c r="A7" s="163">
        <v>5</v>
      </c>
      <c r="B7" s="164" t="s">
        <v>335</v>
      </c>
      <c r="C7" s="164" t="s">
        <v>83</v>
      </c>
      <c r="D7" s="166" t="s">
        <v>345</v>
      </c>
      <c r="E7" s="164" t="s">
        <v>263</v>
      </c>
      <c r="F7" s="164" t="s">
        <v>263</v>
      </c>
      <c r="G7" s="164" t="s">
        <v>346</v>
      </c>
      <c r="H7" s="164">
        <v>2000</v>
      </c>
      <c r="I7" s="164"/>
    </row>
    <row r="8" ht="36" customHeight="1" spans="1:9">
      <c r="A8" s="163">
        <v>6</v>
      </c>
      <c r="B8" s="164" t="s">
        <v>335</v>
      </c>
      <c r="C8" s="164" t="s">
        <v>347</v>
      </c>
      <c r="D8" s="166" t="s">
        <v>345</v>
      </c>
      <c r="E8" s="164" t="s">
        <v>263</v>
      </c>
      <c r="F8" s="164" t="s">
        <v>263</v>
      </c>
      <c r="G8" s="164" t="s">
        <v>346</v>
      </c>
      <c r="H8" s="164">
        <v>2300</v>
      </c>
      <c r="I8" s="164"/>
    </row>
    <row r="9" ht="168.95" customHeight="1" spans="1:9">
      <c r="A9" s="167">
        <v>7</v>
      </c>
      <c r="B9" s="164" t="s">
        <v>90</v>
      </c>
      <c r="C9" s="164" t="s">
        <v>348</v>
      </c>
      <c r="D9" s="168" t="s">
        <v>349</v>
      </c>
      <c r="E9" s="164" t="s">
        <v>275</v>
      </c>
      <c r="F9" s="164" t="s">
        <v>270</v>
      </c>
      <c r="G9" s="164" t="s">
        <v>262</v>
      </c>
      <c r="H9" s="164" t="s">
        <v>350</v>
      </c>
      <c r="I9" s="164" t="s">
        <v>351</v>
      </c>
    </row>
    <row r="10" ht="141.95" customHeight="1" spans="1:9">
      <c r="A10" s="167">
        <v>8</v>
      </c>
      <c r="B10" s="164" t="s">
        <v>90</v>
      </c>
      <c r="C10" s="164" t="s">
        <v>94</v>
      </c>
      <c r="D10" s="168" t="s">
        <v>352</v>
      </c>
      <c r="E10" s="164" t="s">
        <v>275</v>
      </c>
      <c r="F10" s="164" t="s">
        <v>353</v>
      </c>
      <c r="G10" s="164" t="s">
        <v>354</v>
      </c>
      <c r="H10" s="164" t="s">
        <v>355</v>
      </c>
      <c r="I10" s="164" t="s">
        <v>356</v>
      </c>
    </row>
    <row r="11" ht="116.1" customHeight="1" spans="1:9">
      <c r="A11" s="167">
        <v>9</v>
      </c>
      <c r="B11" s="164" t="s">
        <v>25</v>
      </c>
      <c r="C11" s="164" t="s">
        <v>30</v>
      </c>
      <c r="D11" s="169" t="s">
        <v>357</v>
      </c>
      <c r="E11" s="164" t="s">
        <v>275</v>
      </c>
      <c r="F11" s="164" t="s">
        <v>358</v>
      </c>
      <c r="G11" s="164" t="s">
        <v>354</v>
      </c>
      <c r="H11" s="164" t="s">
        <v>359</v>
      </c>
      <c r="I11" s="164" t="s">
        <v>356</v>
      </c>
    </row>
    <row r="12" ht="132.95" customHeight="1" spans="1:9">
      <c r="A12" s="167">
        <v>10</v>
      </c>
      <c r="B12" s="164" t="s">
        <v>25</v>
      </c>
      <c r="C12" s="164" t="s">
        <v>33</v>
      </c>
      <c r="D12" s="170" t="s">
        <v>360</v>
      </c>
      <c r="E12" s="164" t="s">
        <v>275</v>
      </c>
      <c r="F12" s="164" t="s">
        <v>353</v>
      </c>
      <c r="G12" s="164" t="s">
        <v>354</v>
      </c>
      <c r="H12" s="164" t="s">
        <v>355</v>
      </c>
      <c r="I12" s="171" t="s">
        <v>356</v>
      </c>
    </row>
    <row r="13" ht="108.95" customHeight="1" spans="1:9">
      <c r="A13" s="167">
        <v>11</v>
      </c>
      <c r="B13" s="164" t="s">
        <v>25</v>
      </c>
      <c r="C13" s="164" t="s">
        <v>361</v>
      </c>
      <c r="D13" s="170" t="s">
        <v>362</v>
      </c>
      <c r="E13" s="164" t="s">
        <v>275</v>
      </c>
      <c r="F13" s="164" t="s">
        <v>353</v>
      </c>
      <c r="G13" s="164" t="s">
        <v>354</v>
      </c>
      <c r="H13" s="164" t="s">
        <v>355</v>
      </c>
      <c r="I13" s="171" t="s">
        <v>356</v>
      </c>
    </row>
    <row r="14" ht="247" spans="1:9">
      <c r="A14" s="167">
        <v>12</v>
      </c>
      <c r="B14" s="164" t="s">
        <v>363</v>
      </c>
      <c r="C14" s="164" t="s">
        <v>40</v>
      </c>
      <c r="D14" s="170" t="s">
        <v>364</v>
      </c>
      <c r="E14" s="164" t="s">
        <v>263</v>
      </c>
      <c r="F14" s="164" t="s">
        <v>356</v>
      </c>
      <c r="G14" s="164" t="s">
        <v>365</v>
      </c>
      <c r="H14" s="164" t="s">
        <v>366</v>
      </c>
      <c r="I14" s="171" t="s">
        <v>367</v>
      </c>
    </row>
    <row r="15" ht="42.95" customHeight="1" spans="1:9">
      <c r="A15" s="167">
        <v>13</v>
      </c>
      <c r="B15" s="164" t="s">
        <v>363</v>
      </c>
      <c r="C15" s="164" t="s">
        <v>42</v>
      </c>
      <c r="D15" s="170" t="s">
        <v>368</v>
      </c>
      <c r="E15" s="164" t="s">
        <v>263</v>
      </c>
      <c r="F15" s="164" t="s">
        <v>356</v>
      </c>
      <c r="G15" s="164" t="s">
        <v>369</v>
      </c>
      <c r="H15" s="164" t="s">
        <v>370</v>
      </c>
      <c r="I15" s="171" t="s">
        <v>371</v>
      </c>
    </row>
    <row r="16" ht="42.95" customHeight="1" spans="1:9">
      <c r="A16" s="167">
        <v>14</v>
      </c>
      <c r="B16" s="164" t="s">
        <v>363</v>
      </c>
      <c r="C16" s="164" t="s">
        <v>43</v>
      </c>
      <c r="D16" s="170" t="s">
        <v>345</v>
      </c>
      <c r="E16" s="164" t="s">
        <v>263</v>
      </c>
      <c r="F16" s="164" t="s">
        <v>356</v>
      </c>
      <c r="G16" s="164" t="s">
        <v>369</v>
      </c>
      <c r="H16" s="164" t="s">
        <v>370</v>
      </c>
      <c r="I16" s="171" t="s">
        <v>356</v>
      </c>
    </row>
    <row r="17" ht="45" customHeight="1" spans="1:9">
      <c r="A17" s="167">
        <v>15</v>
      </c>
      <c r="B17" s="164" t="s">
        <v>64</v>
      </c>
      <c r="C17" s="164" t="s">
        <v>372</v>
      </c>
      <c r="D17" s="170" t="s">
        <v>373</v>
      </c>
      <c r="E17" s="164" t="s">
        <v>248</v>
      </c>
      <c r="F17" s="164" t="s">
        <v>374</v>
      </c>
      <c r="G17" s="164" t="s">
        <v>269</v>
      </c>
      <c r="H17" s="164" t="s">
        <v>375</v>
      </c>
      <c r="I17" s="171" t="s">
        <v>376</v>
      </c>
    </row>
    <row r="18" ht="39.95" customHeight="1" spans="1:9">
      <c r="A18" s="167">
        <v>16</v>
      </c>
      <c r="B18" s="164" t="s">
        <v>64</v>
      </c>
      <c r="C18" s="164" t="s">
        <v>71</v>
      </c>
      <c r="D18" s="170" t="s">
        <v>377</v>
      </c>
      <c r="E18" s="164" t="s">
        <v>263</v>
      </c>
      <c r="F18" s="164" t="s">
        <v>353</v>
      </c>
      <c r="G18" s="164" t="s">
        <v>378</v>
      </c>
      <c r="H18" s="164" t="s">
        <v>370</v>
      </c>
      <c r="I18" s="171" t="s">
        <v>379</v>
      </c>
    </row>
    <row r="19" ht="39.95" customHeight="1" spans="1:9">
      <c r="A19" s="167">
        <v>17</v>
      </c>
      <c r="B19" s="164" t="s">
        <v>44</v>
      </c>
      <c r="C19" s="164" t="s">
        <v>49</v>
      </c>
      <c r="D19" s="170" t="s">
        <v>380</v>
      </c>
      <c r="E19" s="164" t="s">
        <v>263</v>
      </c>
      <c r="F19" s="164" t="s">
        <v>356</v>
      </c>
      <c r="G19" s="164" t="s">
        <v>354</v>
      </c>
      <c r="H19" s="164" t="s">
        <v>366</v>
      </c>
      <c r="I19" s="171"/>
    </row>
    <row r="20" ht="39.95" customHeight="1" spans="1:9">
      <c r="A20" s="167">
        <v>18</v>
      </c>
      <c r="B20" s="164" t="s">
        <v>44</v>
      </c>
      <c r="C20" s="164" t="s">
        <v>381</v>
      </c>
      <c r="D20" s="170" t="s">
        <v>380</v>
      </c>
      <c r="E20" s="164" t="s">
        <v>263</v>
      </c>
      <c r="F20" s="164" t="s">
        <v>356</v>
      </c>
      <c r="G20" s="164" t="s">
        <v>354</v>
      </c>
      <c r="H20" s="164" t="s">
        <v>366</v>
      </c>
      <c r="I20" s="171"/>
    </row>
    <row r="21" ht="39.95" customHeight="1" spans="1:9">
      <c r="A21" s="167">
        <v>19</v>
      </c>
      <c r="B21" s="164" t="s">
        <v>44</v>
      </c>
      <c r="C21" s="164" t="s">
        <v>382</v>
      </c>
      <c r="D21" s="170" t="s">
        <v>380</v>
      </c>
      <c r="E21" s="164" t="s">
        <v>263</v>
      </c>
      <c r="F21" s="164" t="s">
        <v>319</v>
      </c>
      <c r="G21" s="164" t="s">
        <v>383</v>
      </c>
      <c r="H21" s="164" t="s">
        <v>384</v>
      </c>
      <c r="I21" s="171" t="s">
        <v>371</v>
      </c>
    </row>
    <row r="22" ht="39.95" customHeight="1" spans="1:9">
      <c r="A22" s="167">
        <v>20</v>
      </c>
      <c r="B22" s="164" t="s">
        <v>44</v>
      </c>
      <c r="C22" s="164" t="s">
        <v>60</v>
      </c>
      <c r="D22" s="170" t="s">
        <v>380</v>
      </c>
      <c r="E22" s="164" t="s">
        <v>263</v>
      </c>
      <c r="F22" s="164" t="s">
        <v>356</v>
      </c>
      <c r="G22" s="164" t="s">
        <v>354</v>
      </c>
      <c r="H22" s="164" t="s">
        <v>366</v>
      </c>
      <c r="I22" s="171"/>
    </row>
    <row r="23" ht="39.95" customHeight="1" spans="1:9">
      <c r="A23" s="167">
        <v>21</v>
      </c>
      <c r="B23" s="164" t="s">
        <v>44</v>
      </c>
      <c r="C23" s="164" t="s">
        <v>61</v>
      </c>
      <c r="D23" s="170" t="s">
        <v>380</v>
      </c>
      <c r="E23" s="164" t="s">
        <v>263</v>
      </c>
      <c r="F23" s="164" t="s">
        <v>356</v>
      </c>
      <c r="G23" s="164" t="s">
        <v>354</v>
      </c>
      <c r="H23" s="164" t="s">
        <v>366</v>
      </c>
      <c r="I23" s="171"/>
    </row>
    <row r="24" ht="39.95" customHeight="1" spans="1:9">
      <c r="A24" s="167">
        <v>22</v>
      </c>
      <c r="B24" s="164" t="s">
        <v>44</v>
      </c>
      <c r="C24" s="164" t="s">
        <v>63</v>
      </c>
      <c r="D24" s="170" t="s">
        <v>345</v>
      </c>
      <c r="E24" s="164" t="s">
        <v>263</v>
      </c>
      <c r="F24" s="164" t="s">
        <v>356</v>
      </c>
      <c r="G24" s="164" t="s">
        <v>385</v>
      </c>
      <c r="H24" s="164" t="s">
        <v>370</v>
      </c>
      <c r="I24" s="171" t="s">
        <v>371</v>
      </c>
    </row>
    <row r="25" ht="42" customHeight="1" spans="1:9">
      <c r="A25" s="167">
        <v>23</v>
      </c>
      <c r="B25" s="164" t="s">
        <v>44</v>
      </c>
      <c r="C25" s="164" t="s">
        <v>62</v>
      </c>
      <c r="D25" s="170" t="s">
        <v>380</v>
      </c>
      <c r="E25" s="164" t="s">
        <v>263</v>
      </c>
      <c r="F25" s="164" t="s">
        <v>356</v>
      </c>
      <c r="G25" s="164" t="s">
        <v>354</v>
      </c>
      <c r="H25" s="164" t="s">
        <v>366</v>
      </c>
      <c r="I25" s="171"/>
    </row>
    <row r="26" ht="42" customHeight="1" spans="1:9">
      <c r="A26" s="167"/>
      <c r="B26" s="164"/>
      <c r="C26" s="164"/>
      <c r="D26" s="170"/>
      <c r="E26" s="164"/>
      <c r="F26" s="164"/>
      <c r="G26" s="164"/>
      <c r="H26" s="164"/>
      <c r="I26" s="171"/>
    </row>
    <row r="27" ht="42" customHeight="1" spans="1:9">
      <c r="A27" s="167"/>
      <c r="B27" s="164"/>
      <c r="C27" s="164"/>
      <c r="D27" s="170"/>
      <c r="E27" s="164"/>
      <c r="F27" s="164"/>
      <c r="G27" s="164"/>
      <c r="H27" s="164"/>
      <c r="I27" s="171"/>
    </row>
    <row r="28" ht="260" spans="1:9">
      <c r="A28" s="167">
        <v>24</v>
      </c>
      <c r="B28" s="172" t="s">
        <v>386</v>
      </c>
      <c r="C28" s="172" t="s">
        <v>160</v>
      </c>
      <c r="D28" s="166" t="s">
        <v>387</v>
      </c>
      <c r="E28" s="172" t="s">
        <v>275</v>
      </c>
      <c r="F28" s="172" t="s">
        <v>388</v>
      </c>
      <c r="G28" s="172" t="s">
        <v>369</v>
      </c>
      <c r="H28" s="172" t="s">
        <v>389</v>
      </c>
      <c r="I28" s="172" t="s">
        <v>390</v>
      </c>
    </row>
    <row r="29" ht="234" spans="1:9">
      <c r="A29" s="167">
        <v>25</v>
      </c>
      <c r="B29" s="172" t="s">
        <v>219</v>
      </c>
      <c r="C29" s="172" t="s">
        <v>160</v>
      </c>
      <c r="D29" s="166" t="s">
        <v>391</v>
      </c>
      <c r="E29" s="172" t="s">
        <v>392</v>
      </c>
      <c r="F29" s="172" t="s">
        <v>388</v>
      </c>
      <c r="G29" s="172" t="s">
        <v>369</v>
      </c>
      <c r="H29" s="172" t="s">
        <v>389</v>
      </c>
      <c r="I29" s="172" t="s">
        <v>390</v>
      </c>
    </row>
    <row r="30" ht="202.5" customHeight="1" spans="1:9">
      <c r="A30" s="167">
        <v>26</v>
      </c>
      <c r="B30" s="172" t="s">
        <v>224</v>
      </c>
      <c r="C30" s="172" t="s">
        <v>160</v>
      </c>
      <c r="D30" s="166" t="s">
        <v>393</v>
      </c>
      <c r="E30" s="172" t="s">
        <v>392</v>
      </c>
      <c r="F30" s="172" t="s">
        <v>388</v>
      </c>
      <c r="G30" s="172" t="s">
        <v>369</v>
      </c>
      <c r="H30" s="172" t="s">
        <v>389</v>
      </c>
      <c r="I30" s="172" t="s">
        <v>390</v>
      </c>
    </row>
    <row r="31" ht="169.5" customHeight="1" spans="1:9">
      <c r="A31" s="167">
        <v>27</v>
      </c>
      <c r="B31" s="172" t="s">
        <v>221</v>
      </c>
      <c r="C31" s="172" t="s">
        <v>160</v>
      </c>
      <c r="D31" s="166" t="s">
        <v>394</v>
      </c>
      <c r="E31" s="172" t="s">
        <v>392</v>
      </c>
      <c r="F31" s="172" t="s">
        <v>388</v>
      </c>
      <c r="G31" s="172" t="s">
        <v>369</v>
      </c>
      <c r="H31" s="172" t="s">
        <v>389</v>
      </c>
      <c r="I31" s="172" t="s">
        <v>390</v>
      </c>
    </row>
    <row r="32" ht="198.75" customHeight="1" spans="1:9">
      <c r="A32" s="167">
        <v>28</v>
      </c>
      <c r="B32" s="172" t="s">
        <v>395</v>
      </c>
      <c r="C32" s="172" t="s">
        <v>160</v>
      </c>
      <c r="D32" s="166" t="s">
        <v>396</v>
      </c>
      <c r="E32" s="172" t="s">
        <v>392</v>
      </c>
      <c r="F32" s="172" t="s">
        <v>397</v>
      </c>
      <c r="G32" s="172" t="s">
        <v>369</v>
      </c>
      <c r="H32" s="172" t="s">
        <v>389</v>
      </c>
      <c r="I32" s="172" t="s">
        <v>390</v>
      </c>
    </row>
    <row r="33" ht="169.5" customHeight="1" spans="1:9">
      <c r="A33" s="167">
        <v>29</v>
      </c>
      <c r="B33" s="172" t="s">
        <v>398</v>
      </c>
      <c r="C33" s="172" t="s">
        <v>160</v>
      </c>
      <c r="D33" s="166" t="s">
        <v>399</v>
      </c>
      <c r="E33" s="172" t="s">
        <v>275</v>
      </c>
      <c r="F33" s="172" t="s">
        <v>312</v>
      </c>
      <c r="G33" s="172" t="s">
        <v>369</v>
      </c>
      <c r="H33" s="172" t="s">
        <v>389</v>
      </c>
      <c r="I33" s="172" t="s">
        <v>390</v>
      </c>
    </row>
    <row r="34" ht="169.5" customHeight="1" spans="1:9">
      <c r="A34" s="167">
        <v>30</v>
      </c>
      <c r="B34" s="172" t="s">
        <v>42</v>
      </c>
      <c r="C34" s="172" t="s">
        <v>160</v>
      </c>
      <c r="D34" s="166" t="s">
        <v>400</v>
      </c>
      <c r="E34" s="172" t="s">
        <v>401</v>
      </c>
      <c r="F34" s="172" t="s">
        <v>397</v>
      </c>
      <c r="G34" s="172" t="s">
        <v>369</v>
      </c>
      <c r="H34" s="172" t="s">
        <v>389</v>
      </c>
      <c r="I34" s="172" t="s">
        <v>390</v>
      </c>
    </row>
    <row r="35" ht="221" spans="1:9">
      <c r="A35" s="167">
        <v>31</v>
      </c>
      <c r="B35" s="172" t="s">
        <v>133</v>
      </c>
      <c r="C35" s="172" t="s">
        <v>122</v>
      </c>
      <c r="D35" s="166" t="s">
        <v>402</v>
      </c>
      <c r="E35" s="172" t="s">
        <v>275</v>
      </c>
      <c r="F35" s="172" t="s">
        <v>312</v>
      </c>
      <c r="G35" s="172" t="s">
        <v>369</v>
      </c>
      <c r="H35" s="172" t="s">
        <v>389</v>
      </c>
      <c r="I35" s="172"/>
    </row>
    <row r="36" ht="177.75" customHeight="1" spans="1:9">
      <c r="A36" s="167">
        <v>32</v>
      </c>
      <c r="B36" s="172" t="s">
        <v>403</v>
      </c>
      <c r="C36" s="172" t="s">
        <v>122</v>
      </c>
      <c r="D36" s="166" t="s">
        <v>404</v>
      </c>
      <c r="E36" s="172" t="s">
        <v>275</v>
      </c>
      <c r="F36" s="172" t="s">
        <v>388</v>
      </c>
      <c r="G36" s="172" t="s">
        <v>369</v>
      </c>
      <c r="H36" s="172" t="s">
        <v>389</v>
      </c>
      <c r="I36" s="172"/>
    </row>
    <row r="37" ht="169.5" customHeight="1" spans="1:9">
      <c r="A37" s="167">
        <v>33</v>
      </c>
      <c r="B37" s="172" t="s">
        <v>138</v>
      </c>
      <c r="C37" s="172" t="s">
        <v>122</v>
      </c>
      <c r="D37" s="166" t="s">
        <v>405</v>
      </c>
      <c r="E37" s="172" t="s">
        <v>406</v>
      </c>
      <c r="F37" s="172" t="s">
        <v>388</v>
      </c>
      <c r="G37" s="172" t="s">
        <v>369</v>
      </c>
      <c r="H37" s="172" t="s">
        <v>389</v>
      </c>
      <c r="I37" s="172"/>
    </row>
    <row r="38" ht="169.5" customHeight="1" spans="1:9">
      <c r="A38" s="167">
        <v>34</v>
      </c>
      <c r="B38" s="172" t="s">
        <v>407</v>
      </c>
      <c r="C38" s="172" t="s">
        <v>122</v>
      </c>
      <c r="D38" s="166" t="s">
        <v>408</v>
      </c>
      <c r="E38" s="172" t="s">
        <v>406</v>
      </c>
      <c r="F38" s="172" t="s">
        <v>388</v>
      </c>
      <c r="G38" s="172" t="s">
        <v>369</v>
      </c>
      <c r="H38" s="172" t="s">
        <v>389</v>
      </c>
      <c r="I38" s="172"/>
    </row>
    <row r="39" ht="169.5" customHeight="1" spans="1:9">
      <c r="A39" s="167">
        <v>35</v>
      </c>
      <c r="B39" s="172" t="s">
        <v>409</v>
      </c>
      <c r="C39" s="172" t="s">
        <v>25</v>
      </c>
      <c r="D39" s="166" t="s">
        <v>410</v>
      </c>
      <c r="E39" s="172" t="s">
        <v>248</v>
      </c>
      <c r="F39" s="172" t="s">
        <v>411</v>
      </c>
      <c r="G39" s="172" t="s">
        <v>412</v>
      </c>
      <c r="H39" s="172" t="s">
        <v>389</v>
      </c>
      <c r="I39" s="172"/>
    </row>
    <row r="40" ht="221" spans="1:9">
      <c r="A40" s="167">
        <v>36</v>
      </c>
      <c r="B40" s="172" t="s">
        <v>413</v>
      </c>
      <c r="C40" s="172" t="s">
        <v>25</v>
      </c>
      <c r="D40" s="166" t="s">
        <v>414</v>
      </c>
      <c r="E40" s="172" t="s">
        <v>275</v>
      </c>
      <c r="F40" s="172" t="s">
        <v>388</v>
      </c>
      <c r="G40" s="172" t="s">
        <v>415</v>
      </c>
      <c r="H40" s="172" t="s">
        <v>389</v>
      </c>
      <c r="I40" s="172"/>
    </row>
    <row r="41" ht="169.5" customHeight="1" spans="1:9">
      <c r="A41" s="167">
        <v>37</v>
      </c>
      <c r="B41" s="172" t="s">
        <v>416</v>
      </c>
      <c r="C41" s="172" t="s">
        <v>64</v>
      </c>
      <c r="D41" s="166" t="s">
        <v>417</v>
      </c>
      <c r="E41" s="172" t="s">
        <v>275</v>
      </c>
      <c r="F41" s="172" t="s">
        <v>397</v>
      </c>
      <c r="G41" s="172" t="s">
        <v>369</v>
      </c>
      <c r="H41" s="172" t="s">
        <v>389</v>
      </c>
      <c r="I41" s="172"/>
    </row>
    <row r="42" ht="169.5" customHeight="1" spans="1:9">
      <c r="A42" s="167">
        <v>42</v>
      </c>
      <c r="B42" s="172" t="s">
        <v>184</v>
      </c>
      <c r="C42" s="172" t="s">
        <v>418</v>
      </c>
      <c r="D42" s="166" t="s">
        <v>419</v>
      </c>
      <c r="E42" s="172" t="s">
        <v>406</v>
      </c>
      <c r="F42" s="172" t="s">
        <v>374</v>
      </c>
      <c r="G42" s="172" t="s">
        <v>420</v>
      </c>
      <c r="H42" s="172" t="s">
        <v>389</v>
      </c>
      <c r="I42" s="172"/>
    </row>
    <row r="43" ht="169.5" customHeight="1" spans="1:9">
      <c r="A43" s="167">
        <v>43</v>
      </c>
      <c r="B43" s="172" t="s">
        <v>141</v>
      </c>
      <c r="C43" s="172" t="s">
        <v>418</v>
      </c>
      <c r="D43" s="166" t="s">
        <v>421</v>
      </c>
      <c r="E43" s="172" t="s">
        <v>401</v>
      </c>
      <c r="F43" s="172" t="s">
        <v>397</v>
      </c>
      <c r="G43" s="172" t="s">
        <v>422</v>
      </c>
      <c r="H43" s="172" t="s">
        <v>389</v>
      </c>
      <c r="I43" s="172"/>
    </row>
    <row r="44" ht="208" spans="1:9">
      <c r="A44" s="167">
        <v>44</v>
      </c>
      <c r="B44" s="172" t="s">
        <v>423</v>
      </c>
      <c r="C44" s="172" t="s">
        <v>424</v>
      </c>
      <c r="D44" s="166" t="s">
        <v>425</v>
      </c>
      <c r="E44" s="172" t="s">
        <v>275</v>
      </c>
      <c r="F44" s="172" t="s">
        <v>312</v>
      </c>
      <c r="G44" s="172" t="s">
        <v>415</v>
      </c>
      <c r="H44" s="172" t="s">
        <v>389</v>
      </c>
      <c r="I44" s="172"/>
    </row>
    <row r="45" ht="169.5" customHeight="1" spans="1:9">
      <c r="A45" s="167">
        <v>45</v>
      </c>
      <c r="B45" s="172" t="s">
        <v>426</v>
      </c>
      <c r="C45" s="172" t="s">
        <v>424</v>
      </c>
      <c r="D45" s="166" t="s">
        <v>427</v>
      </c>
      <c r="E45" s="172" t="s">
        <v>428</v>
      </c>
      <c r="F45" s="172" t="s">
        <v>312</v>
      </c>
      <c r="G45" s="172" t="s">
        <v>422</v>
      </c>
      <c r="H45" s="172" t="s">
        <v>389</v>
      </c>
      <c r="I45" s="172"/>
    </row>
  </sheetData>
  <autoFilter xmlns:etc="http://www.wps.cn/officeDocument/2017/etCustomData" ref="A2:I45" etc:filterBottomFollowUsedRange="0">
    <extLst/>
  </autoFilter>
  <mergeCells count="1">
    <mergeCell ref="A1:I1"/>
  </mergeCells>
  <pageMargins left="0.7" right="0.7" top="0.75" bottom="0.75" header="0.3" footer="0.3"/>
  <pageSetup paperSize="9" orientation="portrait" horizontalDpi="2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S60"/>
  <sheetViews>
    <sheetView zoomScale="120" zoomScaleNormal="120" workbookViewId="0">
      <pane ySplit="3" topLeftCell="A36" activePane="bottomLeft" state="frozen"/>
      <selection/>
      <selection pane="bottomLeft" activeCell="AU10" sqref="AU10"/>
    </sheetView>
  </sheetViews>
  <sheetFormatPr defaultColWidth="8.87272727272727" defaultRowHeight="14"/>
  <cols>
    <col min="1" max="1" width="4.87272727272727" customWidth="1"/>
    <col min="2" max="2" width="11.8727272727273" customWidth="1"/>
    <col min="3" max="3" width="26" customWidth="1"/>
    <col min="4" max="4" width="8.87272727272727" customWidth="1"/>
    <col min="5" max="6" width="8.87272727272727" hidden="1" customWidth="1"/>
    <col min="7" max="8" width="12.1272727272727" customWidth="1"/>
    <col min="9" max="9" width="10.6272727272727" hidden="1" customWidth="1"/>
    <col min="10" max="10" width="7.5" hidden="1" customWidth="1"/>
    <col min="11" max="11" width="7.5" style="135" hidden="1" customWidth="1"/>
    <col min="12" max="13" width="9" hidden="1" customWidth="1"/>
    <col min="14" max="14" width="9.87272727272727" customWidth="1"/>
    <col min="15" max="15" width="6.62727272727273" style="70" customWidth="1"/>
    <col min="16" max="17" width="7.12727272727273" style="70" customWidth="1"/>
    <col min="18" max="18" width="7.5" hidden="1" customWidth="1"/>
    <col min="19" max="19" width="8.12727272727273" style="70" hidden="1" customWidth="1"/>
    <col min="20" max="21" width="12.1272727272727" style="71" hidden="1" customWidth="1"/>
    <col min="22" max="22" width="17.7545454545455" style="71" customWidth="1"/>
    <col min="23" max="23" width="8.62727272727273" style="71" hidden="1" customWidth="1"/>
    <col min="24" max="24" width="10.6272727272727" style="70" hidden="1" customWidth="1"/>
    <col min="25" max="28" width="8.87272727272727" hidden="1" customWidth="1"/>
    <col min="29" max="29" width="16.2545454545455" hidden="1" customWidth="1"/>
    <col min="30" max="30" width="8.87272727272727" hidden="1" customWidth="1"/>
    <col min="31" max="31" width="11.5" hidden="1" customWidth="1"/>
    <col min="32" max="32" width="8.87272727272727" hidden="1" customWidth="1"/>
    <col min="33" max="33" width="8.87272727272727" style="72" hidden="1" customWidth="1"/>
    <col min="34" max="45" width="8.87272727272727" hidden="1" customWidth="1"/>
  </cols>
  <sheetData>
    <row r="1" ht="23" spans="1:45">
      <c r="A1" s="73" t="s">
        <v>429</v>
      </c>
      <c r="B1" s="74"/>
      <c r="C1" s="74"/>
      <c r="D1" s="74"/>
      <c r="E1" s="74"/>
      <c r="F1" s="74"/>
      <c r="G1" s="74"/>
      <c r="H1" s="74"/>
      <c r="I1" s="75"/>
      <c r="J1" s="75"/>
      <c r="K1" s="136"/>
      <c r="L1" s="75"/>
      <c r="M1" s="75"/>
      <c r="N1" s="75"/>
      <c r="O1" s="75"/>
      <c r="P1" s="75"/>
      <c r="Q1" s="75"/>
      <c r="R1" s="75"/>
      <c r="S1" s="75"/>
      <c r="T1" s="76"/>
      <c r="U1" s="76"/>
      <c r="V1" s="76"/>
      <c r="W1" s="76"/>
      <c r="X1" s="75"/>
      <c r="Y1" s="74"/>
      <c r="Z1" s="74"/>
      <c r="AA1" s="74"/>
      <c r="AB1" s="74"/>
      <c r="AC1" s="74"/>
      <c r="AD1" s="74"/>
      <c r="AE1" s="74"/>
      <c r="AF1" s="77"/>
      <c r="AG1" s="78" t="s">
        <v>430</v>
      </c>
      <c r="AH1" s="79"/>
      <c r="AI1" s="79"/>
      <c r="AJ1" s="79"/>
      <c r="AK1" s="79"/>
      <c r="AL1" s="79"/>
      <c r="AM1" s="79"/>
      <c r="AN1" s="79"/>
      <c r="AO1" s="79"/>
      <c r="AP1" s="79"/>
      <c r="AQ1" s="80"/>
      <c r="AR1" s="80"/>
      <c r="AS1" s="81"/>
    </row>
    <row r="2" ht="33.95" customHeight="1" spans="1:45">
      <c r="A2" s="82"/>
      <c r="B2" s="83" t="s">
        <v>2</v>
      </c>
      <c r="C2" s="83" t="s">
        <v>3</v>
      </c>
      <c r="D2" s="84" t="s">
        <v>431</v>
      </c>
      <c r="E2" s="84" t="s">
        <v>432</v>
      </c>
      <c r="F2" s="84" t="s">
        <v>433</v>
      </c>
      <c r="G2" s="83" t="s">
        <v>434</v>
      </c>
      <c r="H2" s="84" t="s">
        <v>435</v>
      </c>
      <c r="I2" s="85" t="s">
        <v>436</v>
      </c>
      <c r="J2" s="84" t="s">
        <v>437</v>
      </c>
      <c r="K2" s="137" t="s">
        <v>438</v>
      </c>
      <c r="L2" s="86" t="s">
        <v>439</v>
      </c>
      <c r="M2" s="138" t="s">
        <v>440</v>
      </c>
      <c r="N2" s="85" t="s">
        <v>441</v>
      </c>
      <c r="O2" s="84" t="s">
        <v>442</v>
      </c>
      <c r="P2" s="139" t="s">
        <v>443</v>
      </c>
      <c r="Q2" s="140" t="s">
        <v>440</v>
      </c>
      <c r="R2" s="85" t="s">
        <v>444</v>
      </c>
      <c r="S2" s="84" t="s">
        <v>445</v>
      </c>
      <c r="T2" s="86" t="s">
        <v>446</v>
      </c>
      <c r="U2" s="138" t="s">
        <v>440</v>
      </c>
      <c r="V2" s="87" t="s">
        <v>447</v>
      </c>
      <c r="W2" s="87"/>
      <c r="X2" s="88"/>
      <c r="Y2" s="83" t="s">
        <v>448</v>
      </c>
      <c r="Z2" s="89" t="s">
        <v>449</v>
      </c>
      <c r="AA2" s="90"/>
      <c r="AB2" s="90"/>
      <c r="AC2" s="90"/>
      <c r="AD2" s="90"/>
      <c r="AE2" s="91"/>
      <c r="AF2" s="92"/>
      <c r="AG2" s="93" t="s">
        <v>450</v>
      </c>
      <c r="AH2" s="82"/>
      <c r="AI2" s="82" t="s">
        <v>451</v>
      </c>
      <c r="AJ2" s="82"/>
      <c r="AK2" s="83" t="s">
        <v>452</v>
      </c>
      <c r="AL2" s="82" t="s">
        <v>453</v>
      </c>
      <c r="AM2" s="82"/>
      <c r="AN2" s="82" t="s">
        <v>454</v>
      </c>
      <c r="AO2" s="82"/>
      <c r="AP2" s="83" t="s">
        <v>455</v>
      </c>
      <c r="AQ2" s="94" t="s">
        <v>456</v>
      </c>
      <c r="AR2" s="95" t="s">
        <v>457</v>
      </c>
      <c r="AS2" s="94" t="s">
        <v>458</v>
      </c>
    </row>
    <row r="3" ht="42" spans="1:45">
      <c r="A3" s="83" t="s">
        <v>1</v>
      </c>
      <c r="B3" s="83"/>
      <c r="C3" s="83"/>
      <c r="D3" s="96"/>
      <c r="E3" s="96"/>
      <c r="F3" s="96"/>
      <c r="G3" s="83"/>
      <c r="H3" s="96"/>
      <c r="I3" s="97"/>
      <c r="J3" s="96"/>
      <c r="K3" s="141"/>
      <c r="L3" s="98"/>
      <c r="M3" s="142"/>
      <c r="N3" s="97"/>
      <c r="O3" s="96"/>
      <c r="P3" s="143"/>
      <c r="Q3" s="144"/>
      <c r="R3" s="97"/>
      <c r="S3" s="96"/>
      <c r="T3" s="98"/>
      <c r="U3" s="142"/>
      <c r="V3" s="87" t="s">
        <v>459</v>
      </c>
      <c r="W3" s="99" t="s">
        <v>460</v>
      </c>
      <c r="X3" s="100" t="s">
        <v>461</v>
      </c>
      <c r="Y3" s="83"/>
      <c r="Z3" s="83" t="s">
        <v>462</v>
      </c>
      <c r="AA3" s="83" t="s">
        <v>451</v>
      </c>
      <c r="AB3" s="83" t="s">
        <v>463</v>
      </c>
      <c r="AC3" s="101" t="s">
        <v>464</v>
      </c>
      <c r="AD3" s="83" t="s">
        <v>465</v>
      </c>
      <c r="AE3" s="83" t="s">
        <v>466</v>
      </c>
      <c r="AF3" s="102"/>
      <c r="AG3" s="93" t="s">
        <v>459</v>
      </c>
      <c r="AH3" s="82" t="s">
        <v>467</v>
      </c>
      <c r="AI3" s="83" t="s">
        <v>468</v>
      </c>
      <c r="AJ3" s="83" t="s">
        <v>469</v>
      </c>
      <c r="AK3" s="83"/>
      <c r="AL3" s="83" t="s">
        <v>470</v>
      </c>
      <c r="AM3" s="83" t="s">
        <v>471</v>
      </c>
      <c r="AN3" s="83" t="s">
        <v>472</v>
      </c>
      <c r="AO3" s="83" t="s">
        <v>473</v>
      </c>
      <c r="AP3" s="82"/>
      <c r="AQ3" s="94"/>
      <c r="AR3" s="94"/>
      <c r="AS3" s="94"/>
    </row>
    <row r="4" spans="1:45">
      <c r="A4" s="103">
        <v>1</v>
      </c>
      <c r="B4" s="104" t="s">
        <v>474</v>
      </c>
      <c r="C4" s="103" t="s">
        <v>475</v>
      </c>
      <c r="D4" s="103">
        <v>3</v>
      </c>
      <c r="E4" s="103">
        <v>3</v>
      </c>
      <c r="F4" s="103">
        <v>3</v>
      </c>
      <c r="G4" s="103" t="s">
        <v>476</v>
      </c>
      <c r="H4" s="103">
        <v>2000</v>
      </c>
      <c r="I4" s="105">
        <v>9000</v>
      </c>
      <c r="J4" s="105">
        <f t="shared" ref="J4:J14" si="0">V4*1.1</f>
        <v>11000</v>
      </c>
      <c r="K4" s="145">
        <v>400</v>
      </c>
      <c r="L4" s="106">
        <v>10000</v>
      </c>
      <c r="M4" s="106">
        <v>10400</v>
      </c>
      <c r="N4" s="107">
        <v>9500</v>
      </c>
      <c r="O4" s="103">
        <f t="shared" ref="O4:O14" si="1">V4*1.15</f>
        <v>11500</v>
      </c>
      <c r="P4" s="146">
        <v>10000</v>
      </c>
      <c r="Q4" s="108">
        <f>K4+P4</f>
        <v>10400</v>
      </c>
      <c r="R4" s="107">
        <v>10000</v>
      </c>
      <c r="S4" s="103">
        <f t="shared" ref="S4:S14" si="2">V4*1.2</f>
        <v>12000</v>
      </c>
      <c r="T4" s="109">
        <v>11000</v>
      </c>
      <c r="U4" s="109">
        <f t="shared" ref="U4:U13" si="3">K4+T4</f>
        <v>11400</v>
      </c>
      <c r="V4" s="110">
        <v>10000</v>
      </c>
      <c r="W4" s="110">
        <v>700</v>
      </c>
      <c r="X4" s="103">
        <f t="shared" ref="X4:X59" si="4">SUM(V4:W4)</f>
        <v>10700</v>
      </c>
      <c r="Y4" s="103">
        <v>9</v>
      </c>
      <c r="Z4" s="103">
        <v>10000</v>
      </c>
      <c r="AA4" s="111">
        <v>640</v>
      </c>
      <c r="AB4" s="112">
        <f t="shared" ref="AB4:AB14" si="5">Z4+AA4</f>
        <v>10640</v>
      </c>
      <c r="AC4" s="113">
        <f t="shared" ref="AC4:AC14" si="6">AB4*Y4</f>
        <v>95760</v>
      </c>
      <c r="AD4" s="103">
        <v>948</v>
      </c>
      <c r="AE4" s="113">
        <f t="shared" ref="AE4:AE14" si="7">AD4*Y4</f>
        <v>8532</v>
      </c>
      <c r="AF4" s="114"/>
      <c r="AG4" s="107">
        <v>1740</v>
      </c>
      <c r="AH4" s="103">
        <v>2500</v>
      </c>
      <c r="AI4" s="103">
        <v>0</v>
      </c>
      <c r="AJ4" s="103">
        <v>640</v>
      </c>
      <c r="AK4" s="103">
        <v>200</v>
      </c>
      <c r="AL4" s="103">
        <v>3000</v>
      </c>
      <c r="AM4" s="103">
        <v>1500</v>
      </c>
      <c r="AN4" s="103">
        <v>100</v>
      </c>
      <c r="AO4" s="103">
        <v>1000</v>
      </c>
      <c r="AP4" s="103">
        <f>SUM(AG4:AO4)</f>
        <v>10680</v>
      </c>
      <c r="AQ4" s="103">
        <f t="shared" ref="AQ4:AQ14" si="8">AP4*Y4</f>
        <v>96120</v>
      </c>
      <c r="AR4" s="103">
        <v>948</v>
      </c>
      <c r="AS4" s="103">
        <f t="shared" ref="AS4:AS14" si="9">AQ4+AR4*Y4</f>
        <v>104652</v>
      </c>
    </row>
    <row r="5" s="70" customFormat="1" spans="1:45">
      <c r="A5" s="103">
        <v>2</v>
      </c>
      <c r="B5" s="115"/>
      <c r="C5" s="103" t="s">
        <v>118</v>
      </c>
      <c r="D5" s="103">
        <v>3</v>
      </c>
      <c r="E5" s="103">
        <v>3</v>
      </c>
      <c r="F5" s="103">
        <v>3</v>
      </c>
      <c r="G5" s="103" t="s">
        <v>477</v>
      </c>
      <c r="H5" s="103">
        <v>2000</v>
      </c>
      <c r="I5" s="103">
        <v>6500</v>
      </c>
      <c r="J5" s="103">
        <f t="shared" si="0"/>
        <v>6930</v>
      </c>
      <c r="K5" s="147">
        <v>400</v>
      </c>
      <c r="L5" s="103">
        <v>6700</v>
      </c>
      <c r="M5" s="103">
        <f>K5+L5</f>
        <v>7100</v>
      </c>
      <c r="N5" s="107">
        <v>7000</v>
      </c>
      <c r="O5" s="103">
        <f t="shared" si="1"/>
        <v>7245</v>
      </c>
      <c r="P5" s="146">
        <v>6800</v>
      </c>
      <c r="Q5" s="108">
        <f t="shared" ref="Q5:Q14" si="10">K5+P5</f>
        <v>7200</v>
      </c>
      <c r="R5" s="103">
        <v>7500</v>
      </c>
      <c r="S5" s="103">
        <f t="shared" si="2"/>
        <v>7560</v>
      </c>
      <c r="T5" s="103">
        <v>7500</v>
      </c>
      <c r="U5" s="103">
        <f t="shared" si="3"/>
        <v>7900</v>
      </c>
      <c r="V5" s="103">
        <v>6300</v>
      </c>
      <c r="W5" s="103">
        <v>900</v>
      </c>
      <c r="X5" s="103">
        <f t="shared" si="4"/>
        <v>7200</v>
      </c>
      <c r="Y5" s="103">
        <v>9</v>
      </c>
      <c r="Z5" s="103">
        <v>7000</v>
      </c>
      <c r="AA5" s="111">
        <v>640</v>
      </c>
      <c r="AB5" s="112">
        <f t="shared" si="5"/>
        <v>7640</v>
      </c>
      <c r="AC5" s="113">
        <f t="shared" si="6"/>
        <v>68760</v>
      </c>
      <c r="AD5" s="103">
        <v>948</v>
      </c>
      <c r="AE5" s="113">
        <f t="shared" si="7"/>
        <v>8532</v>
      </c>
      <c r="AF5" s="114"/>
      <c r="AG5" s="103">
        <v>1740</v>
      </c>
      <c r="AH5" s="103">
        <v>2000</v>
      </c>
      <c r="AI5" s="103">
        <v>0</v>
      </c>
      <c r="AJ5" s="103">
        <v>640</v>
      </c>
      <c r="AK5" s="103">
        <v>200</v>
      </c>
      <c r="AL5" s="103">
        <v>1500</v>
      </c>
      <c r="AM5" s="103">
        <v>0</v>
      </c>
      <c r="AN5" s="103">
        <v>100</v>
      </c>
      <c r="AO5" s="103">
        <v>1500</v>
      </c>
      <c r="AP5" s="103">
        <f>SUM(AG5:AO5)</f>
        <v>7680</v>
      </c>
      <c r="AQ5" s="103">
        <f t="shared" si="8"/>
        <v>69120</v>
      </c>
      <c r="AR5" s="103">
        <v>948</v>
      </c>
      <c r="AS5" s="103">
        <f t="shared" si="9"/>
        <v>77652</v>
      </c>
    </row>
    <row r="6" spans="1:45">
      <c r="A6" s="103">
        <v>3</v>
      </c>
      <c r="B6" s="115"/>
      <c r="C6" s="116" t="s">
        <v>219</v>
      </c>
      <c r="D6" s="103">
        <v>3</v>
      </c>
      <c r="E6" s="103">
        <v>3</v>
      </c>
      <c r="F6" s="103">
        <v>3</v>
      </c>
      <c r="G6" s="103" t="s">
        <v>477</v>
      </c>
      <c r="H6" s="103">
        <v>2000</v>
      </c>
      <c r="I6" s="105">
        <v>5500</v>
      </c>
      <c r="J6" s="105">
        <f t="shared" si="0"/>
        <v>6050</v>
      </c>
      <c r="K6" s="145">
        <v>400</v>
      </c>
      <c r="L6" s="106">
        <v>6000</v>
      </c>
      <c r="M6" s="106">
        <f t="shared" ref="M6:M37" si="11">K6+L6</f>
        <v>6400</v>
      </c>
      <c r="N6" s="107">
        <v>6000</v>
      </c>
      <c r="O6" s="103">
        <f t="shared" si="1"/>
        <v>6325</v>
      </c>
      <c r="P6" s="146">
        <v>6000</v>
      </c>
      <c r="Q6" s="108">
        <f t="shared" si="10"/>
        <v>6400</v>
      </c>
      <c r="R6" s="107">
        <v>6500</v>
      </c>
      <c r="S6" s="103">
        <f t="shared" si="2"/>
        <v>6600</v>
      </c>
      <c r="T6" s="117">
        <v>6500</v>
      </c>
      <c r="U6" s="117">
        <f t="shared" si="3"/>
        <v>6900</v>
      </c>
      <c r="V6" s="110">
        <v>5500</v>
      </c>
      <c r="W6" s="110">
        <v>400</v>
      </c>
      <c r="X6" s="103">
        <f t="shared" si="4"/>
        <v>5900</v>
      </c>
      <c r="Y6" s="103">
        <v>9</v>
      </c>
      <c r="Z6" s="103">
        <v>5800</v>
      </c>
      <c r="AA6" s="111">
        <v>640</v>
      </c>
      <c r="AB6" s="112">
        <f t="shared" si="5"/>
        <v>6440</v>
      </c>
      <c r="AC6" s="113">
        <f t="shared" si="6"/>
        <v>57960</v>
      </c>
      <c r="AD6" s="103">
        <v>948</v>
      </c>
      <c r="AE6" s="113">
        <f t="shared" si="7"/>
        <v>8532</v>
      </c>
      <c r="AF6" s="114"/>
      <c r="AG6" s="107">
        <v>1740</v>
      </c>
      <c r="AH6" s="103">
        <v>1500</v>
      </c>
      <c r="AI6" s="103">
        <v>0</v>
      </c>
      <c r="AJ6" s="103">
        <v>640</v>
      </c>
      <c r="AK6" s="103">
        <v>200</v>
      </c>
      <c r="AL6" s="103">
        <v>1200</v>
      </c>
      <c r="AM6" s="103">
        <v>0</v>
      </c>
      <c r="AN6" s="103">
        <v>100</v>
      </c>
      <c r="AO6" s="103">
        <f t="shared" ref="AO6:AO14" si="12">AP6-AG6-AH6-AI6-AJ6-AK6-AL6-AM6-100</f>
        <v>1120</v>
      </c>
      <c r="AP6" s="103">
        <v>6500</v>
      </c>
      <c r="AQ6" s="103">
        <f t="shared" si="8"/>
        <v>58500</v>
      </c>
      <c r="AR6" s="103">
        <v>948</v>
      </c>
      <c r="AS6" s="103">
        <f t="shared" si="9"/>
        <v>67032</v>
      </c>
    </row>
    <row r="7" spans="1:45">
      <c r="A7" s="103">
        <v>4</v>
      </c>
      <c r="B7" s="115"/>
      <c r="C7" s="116" t="s">
        <v>220</v>
      </c>
      <c r="D7" s="103">
        <v>3</v>
      </c>
      <c r="E7" s="103">
        <v>3</v>
      </c>
      <c r="F7" s="103">
        <v>3</v>
      </c>
      <c r="G7" s="103" t="s">
        <v>477</v>
      </c>
      <c r="H7" s="103">
        <v>2000</v>
      </c>
      <c r="I7" s="105">
        <v>4500</v>
      </c>
      <c r="J7" s="105">
        <f t="shared" si="0"/>
        <v>4950</v>
      </c>
      <c r="K7" s="145">
        <v>400</v>
      </c>
      <c r="L7" s="106">
        <v>4900</v>
      </c>
      <c r="M7" s="106">
        <f t="shared" si="11"/>
        <v>5300</v>
      </c>
      <c r="N7" s="107">
        <v>5500</v>
      </c>
      <c r="O7" s="103">
        <f t="shared" si="1"/>
        <v>5175</v>
      </c>
      <c r="P7" s="146">
        <v>5000</v>
      </c>
      <c r="Q7" s="108">
        <f t="shared" si="10"/>
        <v>5400</v>
      </c>
      <c r="R7" s="107">
        <v>6000</v>
      </c>
      <c r="S7" s="103">
        <f t="shared" si="2"/>
        <v>5400</v>
      </c>
      <c r="T7" s="109">
        <v>5500</v>
      </c>
      <c r="U7" s="109">
        <f t="shared" si="3"/>
        <v>5900</v>
      </c>
      <c r="V7" s="110">
        <v>4500</v>
      </c>
      <c r="W7" s="110"/>
      <c r="X7" s="103">
        <f t="shared" si="4"/>
        <v>4500</v>
      </c>
      <c r="Y7" s="103">
        <v>9</v>
      </c>
      <c r="Z7" s="103">
        <v>4500</v>
      </c>
      <c r="AA7" s="111">
        <v>640</v>
      </c>
      <c r="AB7" s="112">
        <f t="shared" si="5"/>
        <v>5140</v>
      </c>
      <c r="AC7" s="113">
        <f t="shared" si="6"/>
        <v>46260</v>
      </c>
      <c r="AD7" s="103">
        <v>948</v>
      </c>
      <c r="AE7" s="113">
        <f t="shared" si="7"/>
        <v>8532</v>
      </c>
      <c r="AF7" s="114"/>
      <c r="AG7" s="107">
        <v>1740</v>
      </c>
      <c r="AH7" s="103">
        <v>1000</v>
      </c>
      <c r="AI7" s="103">
        <v>0</v>
      </c>
      <c r="AJ7" s="103">
        <v>640</v>
      </c>
      <c r="AK7" s="103">
        <v>200</v>
      </c>
      <c r="AL7" s="103">
        <v>1000</v>
      </c>
      <c r="AM7" s="103">
        <v>0</v>
      </c>
      <c r="AN7" s="103">
        <v>100</v>
      </c>
      <c r="AO7" s="103">
        <f t="shared" si="12"/>
        <v>520</v>
      </c>
      <c r="AP7" s="103">
        <v>5200</v>
      </c>
      <c r="AQ7" s="103">
        <f t="shared" si="8"/>
        <v>46800</v>
      </c>
      <c r="AR7" s="103">
        <v>948</v>
      </c>
      <c r="AS7" s="103">
        <f t="shared" si="9"/>
        <v>55332</v>
      </c>
    </row>
    <row r="8" s="134" customFormat="1" spans="1:45">
      <c r="A8" s="116">
        <v>5</v>
      </c>
      <c r="B8" s="115"/>
      <c r="C8" s="116" t="s">
        <v>221</v>
      </c>
      <c r="D8" s="116">
        <v>3</v>
      </c>
      <c r="E8" s="116">
        <v>3</v>
      </c>
      <c r="F8" s="116">
        <v>3</v>
      </c>
      <c r="G8" s="116" t="s">
        <v>477</v>
      </c>
      <c r="H8" s="116">
        <v>2000</v>
      </c>
      <c r="I8" s="148">
        <v>4500</v>
      </c>
      <c r="J8" s="148">
        <f t="shared" si="0"/>
        <v>5500</v>
      </c>
      <c r="K8" s="149">
        <v>400</v>
      </c>
      <c r="L8" s="150">
        <v>5500</v>
      </c>
      <c r="M8" s="150">
        <f t="shared" si="11"/>
        <v>5900</v>
      </c>
      <c r="N8" s="151">
        <v>6000</v>
      </c>
      <c r="O8" s="116">
        <f t="shared" si="1"/>
        <v>5750</v>
      </c>
      <c r="P8" s="152">
        <v>5500</v>
      </c>
      <c r="Q8" s="153">
        <f t="shared" si="10"/>
        <v>5900</v>
      </c>
      <c r="R8" s="151">
        <v>6500</v>
      </c>
      <c r="S8" s="116">
        <f t="shared" si="2"/>
        <v>6000</v>
      </c>
      <c r="T8" s="154">
        <v>6100</v>
      </c>
      <c r="U8" s="154">
        <f t="shared" si="3"/>
        <v>6500</v>
      </c>
      <c r="V8" s="155">
        <v>5000</v>
      </c>
      <c r="W8" s="155">
        <v>300</v>
      </c>
      <c r="X8" s="116">
        <f t="shared" si="4"/>
        <v>5300</v>
      </c>
      <c r="Y8" s="116">
        <v>9</v>
      </c>
      <c r="Z8" s="116">
        <v>4800</v>
      </c>
      <c r="AA8" s="156">
        <v>640</v>
      </c>
      <c r="AB8" s="156">
        <f t="shared" si="5"/>
        <v>5440</v>
      </c>
      <c r="AC8" s="157">
        <f t="shared" si="6"/>
        <v>48960</v>
      </c>
      <c r="AD8" s="116">
        <v>948</v>
      </c>
      <c r="AE8" s="157">
        <f t="shared" si="7"/>
        <v>8532</v>
      </c>
      <c r="AF8" s="158"/>
      <c r="AG8" s="151">
        <v>1740</v>
      </c>
      <c r="AH8" s="116">
        <v>1000</v>
      </c>
      <c r="AI8" s="116">
        <v>0</v>
      </c>
      <c r="AJ8" s="116">
        <v>640</v>
      </c>
      <c r="AK8" s="116">
        <v>200</v>
      </c>
      <c r="AL8" s="116">
        <v>1000</v>
      </c>
      <c r="AM8" s="116">
        <v>0</v>
      </c>
      <c r="AN8" s="116">
        <v>100</v>
      </c>
      <c r="AO8" s="116">
        <f t="shared" si="12"/>
        <v>770</v>
      </c>
      <c r="AP8" s="116">
        <v>5450</v>
      </c>
      <c r="AQ8" s="116">
        <f t="shared" si="8"/>
        <v>49050</v>
      </c>
      <c r="AR8" s="116">
        <v>948</v>
      </c>
      <c r="AS8" s="116">
        <f t="shared" si="9"/>
        <v>57582</v>
      </c>
    </row>
    <row r="9" spans="1:45">
      <c r="A9" s="103">
        <v>6</v>
      </c>
      <c r="B9" s="115"/>
      <c r="C9" s="103" t="s">
        <v>478</v>
      </c>
      <c r="D9" s="103">
        <v>3</v>
      </c>
      <c r="E9" s="103">
        <v>3</v>
      </c>
      <c r="F9" s="103">
        <v>3</v>
      </c>
      <c r="G9" s="103" t="s">
        <v>477</v>
      </c>
      <c r="H9" s="103">
        <v>2000</v>
      </c>
      <c r="I9" s="105">
        <v>4500</v>
      </c>
      <c r="J9" s="105">
        <f t="shared" si="0"/>
        <v>5500</v>
      </c>
      <c r="K9" s="145">
        <v>400</v>
      </c>
      <c r="L9" s="106">
        <v>5000</v>
      </c>
      <c r="M9" s="106">
        <f t="shared" si="11"/>
        <v>5400</v>
      </c>
      <c r="N9" s="107">
        <v>5000</v>
      </c>
      <c r="O9" s="103">
        <f t="shared" si="1"/>
        <v>5750</v>
      </c>
      <c r="P9" s="146">
        <v>5000</v>
      </c>
      <c r="Q9" s="108">
        <f t="shared" si="10"/>
        <v>5400</v>
      </c>
      <c r="R9" s="107">
        <v>5500</v>
      </c>
      <c r="S9" s="103">
        <f t="shared" si="2"/>
        <v>6000</v>
      </c>
      <c r="T9" s="109">
        <v>6000</v>
      </c>
      <c r="U9" s="109">
        <f t="shared" si="3"/>
        <v>6400</v>
      </c>
      <c r="V9" s="110">
        <v>5000</v>
      </c>
      <c r="W9" s="110">
        <v>300</v>
      </c>
      <c r="X9" s="103">
        <f t="shared" si="4"/>
        <v>5300</v>
      </c>
      <c r="Y9" s="103">
        <v>9</v>
      </c>
      <c r="Z9" s="103">
        <v>5000</v>
      </c>
      <c r="AA9" s="111">
        <v>640</v>
      </c>
      <c r="AB9" s="112">
        <f t="shared" si="5"/>
        <v>5640</v>
      </c>
      <c r="AC9" s="113">
        <f t="shared" si="6"/>
        <v>50760</v>
      </c>
      <c r="AD9" s="103">
        <v>948</v>
      </c>
      <c r="AE9" s="113">
        <f t="shared" si="7"/>
        <v>8532</v>
      </c>
      <c r="AF9" s="114"/>
      <c r="AG9" s="107">
        <v>1740</v>
      </c>
      <c r="AH9" s="103">
        <v>1000</v>
      </c>
      <c r="AI9" s="103">
        <v>0</v>
      </c>
      <c r="AJ9" s="103">
        <v>640</v>
      </c>
      <c r="AK9" s="103">
        <v>200</v>
      </c>
      <c r="AL9" s="103">
        <v>1200</v>
      </c>
      <c r="AM9" s="103">
        <v>0</v>
      </c>
      <c r="AN9" s="103">
        <v>100</v>
      </c>
      <c r="AO9" s="103">
        <f t="shared" si="12"/>
        <v>770</v>
      </c>
      <c r="AP9" s="103">
        <v>5650</v>
      </c>
      <c r="AQ9" s="103">
        <f t="shared" si="8"/>
        <v>50850</v>
      </c>
      <c r="AR9" s="103">
        <v>948</v>
      </c>
      <c r="AS9" s="103">
        <f t="shared" si="9"/>
        <v>59382</v>
      </c>
    </row>
    <row r="10" spans="1:45">
      <c r="A10" s="103">
        <v>7</v>
      </c>
      <c r="B10" s="115"/>
      <c r="C10" s="103" t="s">
        <v>224</v>
      </c>
      <c r="D10" s="103">
        <v>3</v>
      </c>
      <c r="E10" s="103">
        <v>3</v>
      </c>
      <c r="F10" s="103">
        <v>0</v>
      </c>
      <c r="G10" s="103" t="s">
        <v>477</v>
      </c>
      <c r="H10" s="103">
        <v>2000</v>
      </c>
      <c r="I10" s="105">
        <v>4500</v>
      </c>
      <c r="J10" s="105">
        <f t="shared" si="0"/>
        <v>5500</v>
      </c>
      <c r="K10" s="145">
        <v>400</v>
      </c>
      <c r="L10" s="106">
        <v>5500</v>
      </c>
      <c r="M10" s="106">
        <f t="shared" si="11"/>
        <v>5900</v>
      </c>
      <c r="N10" s="107">
        <v>6000</v>
      </c>
      <c r="O10" s="103">
        <f t="shared" si="1"/>
        <v>5750</v>
      </c>
      <c r="P10" s="146">
        <v>5500</v>
      </c>
      <c r="Q10" s="108">
        <f t="shared" si="10"/>
        <v>5900</v>
      </c>
      <c r="R10" s="107">
        <v>6500</v>
      </c>
      <c r="S10" s="103">
        <f t="shared" si="2"/>
        <v>6000</v>
      </c>
      <c r="T10" s="109">
        <v>6100</v>
      </c>
      <c r="U10" s="109">
        <f t="shared" si="3"/>
        <v>6500</v>
      </c>
      <c r="V10" s="110">
        <v>5000</v>
      </c>
      <c r="W10" s="110">
        <v>300</v>
      </c>
      <c r="X10" s="103">
        <f t="shared" si="4"/>
        <v>5300</v>
      </c>
      <c r="Y10" s="103">
        <v>6</v>
      </c>
      <c r="Z10" s="103">
        <v>4000</v>
      </c>
      <c r="AA10" s="111">
        <v>640</v>
      </c>
      <c r="AB10" s="112">
        <f t="shared" si="5"/>
        <v>4640</v>
      </c>
      <c r="AC10" s="113">
        <f t="shared" si="6"/>
        <v>27840</v>
      </c>
      <c r="AD10" s="103">
        <v>948</v>
      </c>
      <c r="AE10" s="113">
        <f t="shared" si="7"/>
        <v>5688</v>
      </c>
      <c r="AF10" s="114"/>
      <c r="AG10" s="107">
        <v>1740</v>
      </c>
      <c r="AH10" s="103">
        <v>800</v>
      </c>
      <c r="AI10" s="103">
        <v>0</v>
      </c>
      <c r="AJ10" s="103">
        <v>640</v>
      </c>
      <c r="AK10" s="103">
        <v>200</v>
      </c>
      <c r="AL10" s="103">
        <v>460</v>
      </c>
      <c r="AM10" s="103">
        <v>0</v>
      </c>
      <c r="AN10" s="103">
        <v>100</v>
      </c>
      <c r="AO10" s="103">
        <f t="shared" si="12"/>
        <v>710</v>
      </c>
      <c r="AP10" s="103">
        <v>4650</v>
      </c>
      <c r="AQ10" s="103">
        <f t="shared" si="8"/>
        <v>27900</v>
      </c>
      <c r="AR10" s="103">
        <v>948</v>
      </c>
      <c r="AS10" s="103">
        <f t="shared" si="9"/>
        <v>33588</v>
      </c>
    </row>
    <row r="11" spans="1:45">
      <c r="A11" s="103">
        <v>8</v>
      </c>
      <c r="B11" s="115"/>
      <c r="C11" s="103" t="s">
        <v>225</v>
      </c>
      <c r="D11" s="103">
        <v>3</v>
      </c>
      <c r="E11" s="103">
        <v>3</v>
      </c>
      <c r="F11" s="103">
        <v>3</v>
      </c>
      <c r="G11" s="103" t="s">
        <v>477</v>
      </c>
      <c r="H11" s="103" t="s">
        <v>479</v>
      </c>
      <c r="I11" s="105">
        <v>4500</v>
      </c>
      <c r="J11" s="105">
        <f t="shared" si="0"/>
        <v>6380</v>
      </c>
      <c r="K11" s="145">
        <v>400</v>
      </c>
      <c r="L11" s="108">
        <v>6300</v>
      </c>
      <c r="M11" s="106">
        <f t="shared" si="11"/>
        <v>6700</v>
      </c>
      <c r="N11" s="107">
        <v>6000</v>
      </c>
      <c r="O11" s="103">
        <f t="shared" si="1"/>
        <v>6670</v>
      </c>
      <c r="P11" s="146">
        <v>6000</v>
      </c>
      <c r="Q11" s="108">
        <f t="shared" si="10"/>
        <v>6400</v>
      </c>
      <c r="R11" s="107">
        <v>6500</v>
      </c>
      <c r="S11" s="103">
        <f t="shared" si="2"/>
        <v>6960</v>
      </c>
      <c r="T11" s="109">
        <v>6800</v>
      </c>
      <c r="U11" s="109">
        <f t="shared" si="3"/>
        <v>7200</v>
      </c>
      <c r="V11" s="110">
        <v>5800</v>
      </c>
      <c r="W11" s="110">
        <v>1400</v>
      </c>
      <c r="X11" s="103">
        <f t="shared" si="4"/>
        <v>7200</v>
      </c>
      <c r="Y11" s="103">
        <v>9</v>
      </c>
      <c r="Z11" s="103">
        <v>5000</v>
      </c>
      <c r="AA11" s="111">
        <v>640</v>
      </c>
      <c r="AB11" s="112">
        <f t="shared" si="5"/>
        <v>5640</v>
      </c>
      <c r="AC11" s="113">
        <f t="shared" si="6"/>
        <v>50760</v>
      </c>
      <c r="AD11" s="103">
        <v>948</v>
      </c>
      <c r="AE11" s="113">
        <f t="shared" si="7"/>
        <v>8532</v>
      </c>
      <c r="AF11" s="114"/>
      <c r="AG11" s="107">
        <v>1740</v>
      </c>
      <c r="AH11" s="103">
        <v>1000</v>
      </c>
      <c r="AI11" s="103">
        <v>0</v>
      </c>
      <c r="AJ11" s="103">
        <v>640</v>
      </c>
      <c r="AK11" s="103">
        <v>200</v>
      </c>
      <c r="AL11" s="103">
        <v>1200</v>
      </c>
      <c r="AM11" s="103">
        <v>0</v>
      </c>
      <c r="AN11" s="103">
        <v>100</v>
      </c>
      <c r="AO11" s="103">
        <f t="shared" si="12"/>
        <v>770</v>
      </c>
      <c r="AP11" s="103">
        <v>5650</v>
      </c>
      <c r="AQ11" s="103">
        <f t="shared" si="8"/>
        <v>50850</v>
      </c>
      <c r="AR11" s="103">
        <v>948</v>
      </c>
      <c r="AS11" s="103">
        <f t="shared" si="9"/>
        <v>59382</v>
      </c>
    </row>
    <row r="12" spans="1:45">
      <c r="A12" s="103">
        <v>9</v>
      </c>
      <c r="B12" s="115"/>
      <c r="C12" s="103" t="s">
        <v>226</v>
      </c>
      <c r="D12" s="103">
        <v>6</v>
      </c>
      <c r="E12" s="103">
        <v>6</v>
      </c>
      <c r="F12" s="103">
        <v>6</v>
      </c>
      <c r="G12" s="103" t="s">
        <v>477</v>
      </c>
      <c r="H12" s="103">
        <v>2000</v>
      </c>
      <c r="I12" s="105">
        <v>4000</v>
      </c>
      <c r="J12" s="105">
        <f t="shared" si="0"/>
        <v>3850</v>
      </c>
      <c r="K12" s="145">
        <v>400</v>
      </c>
      <c r="L12" s="108">
        <v>3900</v>
      </c>
      <c r="M12" s="106">
        <f t="shared" si="11"/>
        <v>4300</v>
      </c>
      <c r="N12" s="107">
        <v>4500</v>
      </c>
      <c r="O12" s="103">
        <f t="shared" si="1"/>
        <v>4025</v>
      </c>
      <c r="P12" s="146">
        <v>4000</v>
      </c>
      <c r="Q12" s="108">
        <f t="shared" si="10"/>
        <v>4400</v>
      </c>
      <c r="R12" s="107">
        <v>5000</v>
      </c>
      <c r="S12" s="103">
        <f t="shared" si="2"/>
        <v>4200</v>
      </c>
      <c r="T12" s="109">
        <v>4400</v>
      </c>
      <c r="U12" s="109">
        <f t="shared" si="3"/>
        <v>4800</v>
      </c>
      <c r="V12" s="110">
        <v>3500</v>
      </c>
      <c r="W12" s="110"/>
      <c r="X12" s="103">
        <f t="shared" si="4"/>
        <v>3500</v>
      </c>
      <c r="Y12" s="103">
        <v>18</v>
      </c>
      <c r="Z12" s="103">
        <v>4500</v>
      </c>
      <c r="AA12" s="111">
        <v>640</v>
      </c>
      <c r="AB12" s="112">
        <f t="shared" si="5"/>
        <v>5140</v>
      </c>
      <c r="AC12" s="113">
        <f t="shared" si="6"/>
        <v>92520</v>
      </c>
      <c r="AD12" s="103">
        <v>948</v>
      </c>
      <c r="AE12" s="113">
        <f t="shared" si="7"/>
        <v>17064</v>
      </c>
      <c r="AF12" s="114"/>
      <c r="AG12" s="107">
        <v>1740</v>
      </c>
      <c r="AH12" s="103">
        <v>1000</v>
      </c>
      <c r="AI12" s="103">
        <v>0</v>
      </c>
      <c r="AJ12" s="103">
        <v>640</v>
      </c>
      <c r="AK12" s="103">
        <v>200</v>
      </c>
      <c r="AL12" s="103">
        <v>1200</v>
      </c>
      <c r="AM12" s="103">
        <v>0</v>
      </c>
      <c r="AN12" s="103">
        <v>100</v>
      </c>
      <c r="AO12" s="103">
        <f t="shared" si="12"/>
        <v>270</v>
      </c>
      <c r="AP12" s="103">
        <v>5150</v>
      </c>
      <c r="AQ12" s="103">
        <f t="shared" si="8"/>
        <v>92700</v>
      </c>
      <c r="AR12" s="103">
        <v>948</v>
      </c>
      <c r="AS12" s="103">
        <f t="shared" si="9"/>
        <v>109764</v>
      </c>
    </row>
    <row r="13" spans="1:45">
      <c r="A13" s="103">
        <v>10</v>
      </c>
      <c r="B13" s="115"/>
      <c r="C13" s="103" t="s">
        <v>227</v>
      </c>
      <c r="D13" s="103">
        <v>3</v>
      </c>
      <c r="E13" s="103">
        <v>3</v>
      </c>
      <c r="F13" s="103">
        <v>0</v>
      </c>
      <c r="G13" s="103" t="s">
        <v>477</v>
      </c>
      <c r="H13" s="103">
        <v>2000</v>
      </c>
      <c r="I13" s="105"/>
      <c r="J13" s="105">
        <f t="shared" si="0"/>
        <v>4400</v>
      </c>
      <c r="K13" s="145">
        <v>400</v>
      </c>
      <c r="L13" s="106">
        <v>4000</v>
      </c>
      <c r="M13" s="106">
        <f t="shared" si="11"/>
        <v>4400</v>
      </c>
      <c r="N13" s="107">
        <v>4500</v>
      </c>
      <c r="O13" s="103">
        <f t="shared" si="1"/>
        <v>4600</v>
      </c>
      <c r="P13" s="146">
        <v>4500</v>
      </c>
      <c r="Q13" s="108">
        <f t="shared" si="10"/>
        <v>4900</v>
      </c>
      <c r="R13" s="107">
        <v>5000</v>
      </c>
      <c r="S13" s="103">
        <f t="shared" si="2"/>
        <v>4800</v>
      </c>
      <c r="T13" s="109">
        <v>4900</v>
      </c>
      <c r="U13" s="109">
        <f t="shared" si="3"/>
        <v>5300</v>
      </c>
      <c r="V13" s="110">
        <v>4000</v>
      </c>
      <c r="W13" s="110" t="s">
        <v>480</v>
      </c>
      <c r="X13" s="103">
        <f t="shared" si="4"/>
        <v>4000</v>
      </c>
      <c r="Y13" s="103">
        <v>6</v>
      </c>
      <c r="Z13" s="103">
        <v>3700</v>
      </c>
      <c r="AA13" s="111">
        <v>640</v>
      </c>
      <c r="AB13" s="112">
        <f t="shared" si="5"/>
        <v>4340</v>
      </c>
      <c r="AC13" s="113">
        <f t="shared" si="6"/>
        <v>26040</v>
      </c>
      <c r="AD13" s="103">
        <v>948</v>
      </c>
      <c r="AE13" s="113">
        <f t="shared" si="7"/>
        <v>5688</v>
      </c>
      <c r="AF13" s="114"/>
      <c r="AG13" s="107">
        <v>1740</v>
      </c>
      <c r="AH13" s="103">
        <v>1000</v>
      </c>
      <c r="AI13" s="103">
        <v>0</v>
      </c>
      <c r="AJ13" s="103">
        <v>640</v>
      </c>
      <c r="AK13" s="103">
        <v>200</v>
      </c>
      <c r="AL13" s="103">
        <v>430</v>
      </c>
      <c r="AM13" s="103">
        <v>0</v>
      </c>
      <c r="AN13" s="103">
        <v>100</v>
      </c>
      <c r="AO13" s="103">
        <f t="shared" si="12"/>
        <v>240</v>
      </c>
      <c r="AP13" s="103">
        <v>4350</v>
      </c>
      <c r="AQ13" s="103">
        <f t="shared" si="8"/>
        <v>26100</v>
      </c>
      <c r="AR13" s="103">
        <v>948</v>
      </c>
      <c r="AS13" s="103">
        <f t="shared" si="9"/>
        <v>31788</v>
      </c>
    </row>
    <row r="14" spans="1:45">
      <c r="A14" s="103">
        <v>11</v>
      </c>
      <c r="B14" s="115"/>
      <c r="C14" s="103" t="s">
        <v>228</v>
      </c>
      <c r="D14" s="103">
        <v>0</v>
      </c>
      <c r="E14" s="103">
        <v>3</v>
      </c>
      <c r="F14" s="103">
        <v>0</v>
      </c>
      <c r="G14" s="103" t="s">
        <v>211</v>
      </c>
      <c r="H14" s="103">
        <v>2000</v>
      </c>
      <c r="I14" s="105"/>
      <c r="J14" s="105">
        <f t="shared" si="0"/>
        <v>3300</v>
      </c>
      <c r="K14" s="145">
        <v>400</v>
      </c>
      <c r="L14" s="106">
        <v>2800</v>
      </c>
      <c r="M14" s="106">
        <f t="shared" si="11"/>
        <v>3200</v>
      </c>
      <c r="N14" s="105"/>
      <c r="O14" s="103">
        <f t="shared" si="1"/>
        <v>3450</v>
      </c>
      <c r="P14" s="146">
        <v>3000</v>
      </c>
      <c r="Q14" s="108">
        <f t="shared" si="10"/>
        <v>3400</v>
      </c>
      <c r="R14" s="105"/>
      <c r="S14" s="103">
        <f t="shared" si="2"/>
        <v>3600</v>
      </c>
      <c r="T14" s="117">
        <v>3600</v>
      </c>
      <c r="U14" s="117"/>
      <c r="V14" s="110">
        <v>3000</v>
      </c>
      <c r="W14" s="110"/>
      <c r="X14" s="103">
        <f t="shared" si="4"/>
        <v>3000</v>
      </c>
      <c r="Y14" s="103">
        <v>3</v>
      </c>
      <c r="Z14" s="103">
        <v>3000</v>
      </c>
      <c r="AA14" s="111">
        <v>640</v>
      </c>
      <c r="AB14" s="112">
        <f t="shared" si="5"/>
        <v>3640</v>
      </c>
      <c r="AC14" s="113">
        <f t="shared" si="6"/>
        <v>10920</v>
      </c>
      <c r="AD14" s="103">
        <v>948</v>
      </c>
      <c r="AE14" s="113">
        <f t="shared" si="7"/>
        <v>2844</v>
      </c>
      <c r="AF14" s="114"/>
      <c r="AG14" s="107">
        <v>1740</v>
      </c>
      <c r="AH14" s="103">
        <v>200</v>
      </c>
      <c r="AI14" s="103">
        <v>0</v>
      </c>
      <c r="AJ14" s="103">
        <v>640</v>
      </c>
      <c r="AK14" s="103">
        <v>200</v>
      </c>
      <c r="AL14" s="103">
        <v>360</v>
      </c>
      <c r="AM14" s="103">
        <v>0</v>
      </c>
      <c r="AN14" s="103">
        <v>100</v>
      </c>
      <c r="AO14" s="103">
        <f t="shared" si="12"/>
        <v>410</v>
      </c>
      <c r="AP14" s="103">
        <v>3650</v>
      </c>
      <c r="AQ14" s="103">
        <f t="shared" si="8"/>
        <v>10950</v>
      </c>
      <c r="AR14" s="103">
        <v>948</v>
      </c>
      <c r="AS14" s="103">
        <f t="shared" si="9"/>
        <v>13794</v>
      </c>
    </row>
    <row r="15" spans="1:45">
      <c r="A15" s="118" t="s">
        <v>461</v>
      </c>
      <c r="B15" s="119"/>
      <c r="C15" s="120"/>
      <c r="D15" s="103">
        <f t="shared" ref="D15:F15" si="13">D14+D13+D12+D11+D10+D9+D8+D7+D6+D5+D4</f>
        <v>33</v>
      </c>
      <c r="E15" s="103">
        <f t="shared" si="13"/>
        <v>36</v>
      </c>
      <c r="F15" s="103">
        <f t="shared" si="13"/>
        <v>27</v>
      </c>
      <c r="G15" s="103"/>
      <c r="H15" s="103">
        <v>2000</v>
      </c>
      <c r="I15" s="105"/>
      <c r="J15" s="105"/>
      <c r="K15" s="145">
        <v>400</v>
      </c>
      <c r="L15" s="106"/>
      <c r="M15" s="106">
        <f t="shared" si="11"/>
        <v>400</v>
      </c>
      <c r="N15" s="105"/>
      <c r="O15" s="103"/>
      <c r="P15" s="146"/>
      <c r="Q15" s="108"/>
      <c r="R15" s="105"/>
      <c r="S15" s="103"/>
      <c r="T15" s="117"/>
      <c r="U15" s="117"/>
      <c r="V15" s="110"/>
      <c r="W15" s="110"/>
      <c r="X15" s="103">
        <f t="shared" si="4"/>
        <v>0</v>
      </c>
      <c r="Y15" s="103">
        <f>SUM(Y4:Y14)</f>
        <v>96</v>
      </c>
      <c r="Z15" s="103"/>
      <c r="AA15" s="103"/>
      <c r="AB15" s="103"/>
      <c r="AC15" s="113">
        <f>SUM(AC4:AC14)</f>
        <v>576540</v>
      </c>
      <c r="AD15" s="103"/>
      <c r="AE15" s="113">
        <f>SUM(AE4:AE14)</f>
        <v>91008</v>
      </c>
      <c r="AF15" s="114"/>
      <c r="AG15" s="107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</row>
    <row r="16" spans="1:45">
      <c r="A16" s="103">
        <v>1</v>
      </c>
      <c r="B16" s="104" t="s">
        <v>481</v>
      </c>
      <c r="C16" s="103" t="s">
        <v>475</v>
      </c>
      <c r="D16" s="103">
        <v>3</v>
      </c>
      <c r="E16" s="103"/>
      <c r="F16" s="103"/>
      <c r="G16" s="103" t="s">
        <v>476</v>
      </c>
      <c r="H16" s="103">
        <v>2000</v>
      </c>
      <c r="I16" s="107">
        <v>7500</v>
      </c>
      <c r="J16" s="105">
        <f t="shared" ref="J16:J21" si="14">V16*1.1</f>
        <v>8250</v>
      </c>
      <c r="K16" s="145">
        <v>400</v>
      </c>
      <c r="L16" s="106">
        <v>8000</v>
      </c>
      <c r="M16" s="106">
        <f t="shared" si="11"/>
        <v>8400</v>
      </c>
      <c r="N16" s="107">
        <v>8000</v>
      </c>
      <c r="O16" s="103">
        <f t="shared" ref="O16:O21" si="15">V16*1.15</f>
        <v>8625</v>
      </c>
      <c r="P16" s="146">
        <v>8000</v>
      </c>
      <c r="Q16" s="108">
        <f t="shared" ref="Q16:Q58" si="16">K16+P16</f>
        <v>8400</v>
      </c>
      <c r="R16" s="105">
        <v>8500</v>
      </c>
      <c r="S16" s="103">
        <f t="shared" ref="S16:S21" si="17">V16*1.2</f>
        <v>9000</v>
      </c>
      <c r="T16" s="109">
        <v>8800</v>
      </c>
      <c r="U16" s="109">
        <f t="shared" ref="U16:U58" si="18">K16+T16</f>
        <v>9200</v>
      </c>
      <c r="V16" s="110">
        <v>7500</v>
      </c>
      <c r="W16" s="110">
        <v>500</v>
      </c>
      <c r="X16" s="103">
        <f t="shared" si="4"/>
        <v>8000</v>
      </c>
      <c r="Y16" s="103">
        <v>3</v>
      </c>
      <c r="Z16" s="103">
        <v>7100</v>
      </c>
      <c r="AA16" s="111">
        <v>640</v>
      </c>
      <c r="AB16" s="112">
        <f t="shared" ref="AB16:AB21" si="19">Z16+AA16</f>
        <v>7740</v>
      </c>
      <c r="AC16" s="113">
        <f t="shared" ref="AC16:AC21" si="20">AB16*Y16</f>
        <v>23220</v>
      </c>
      <c r="AD16" s="103">
        <v>948</v>
      </c>
      <c r="AE16" s="113">
        <f t="shared" ref="AE16:AE21" si="21">AD16*Y16</f>
        <v>2844</v>
      </c>
      <c r="AF16" s="114"/>
      <c r="AG16" s="107">
        <v>1740</v>
      </c>
      <c r="AH16" s="103">
        <v>2000</v>
      </c>
      <c r="AI16" s="103">
        <v>0</v>
      </c>
      <c r="AJ16" s="103">
        <v>640</v>
      </c>
      <c r="AK16" s="103">
        <v>200</v>
      </c>
      <c r="AL16" s="103">
        <v>1500</v>
      </c>
      <c r="AM16" s="103">
        <v>0</v>
      </c>
      <c r="AN16" s="103">
        <v>100</v>
      </c>
      <c r="AO16" s="103">
        <f t="shared" ref="AO16:AO21" si="22">AP16-AG16-AH16-AI16-AJ16-AK16-AL16-AM16-100</f>
        <v>1620</v>
      </c>
      <c r="AP16" s="103">
        <v>7800</v>
      </c>
      <c r="AQ16" s="103">
        <f t="shared" ref="AQ16:AQ21" si="23">AP16*Y16</f>
        <v>23400</v>
      </c>
      <c r="AR16" s="103">
        <v>948</v>
      </c>
      <c r="AS16" s="103">
        <f t="shared" ref="AS16:AS21" si="24">AQ16+AR16*Y16</f>
        <v>26244</v>
      </c>
    </row>
    <row r="17" spans="1:45">
      <c r="A17" s="103">
        <v>2</v>
      </c>
      <c r="B17" s="115"/>
      <c r="C17" s="103" t="s">
        <v>482</v>
      </c>
      <c r="D17" s="103">
        <v>6</v>
      </c>
      <c r="E17" s="103"/>
      <c r="F17" s="103"/>
      <c r="G17" s="103" t="s">
        <v>477</v>
      </c>
      <c r="H17" s="103">
        <v>2000</v>
      </c>
      <c r="I17" s="105">
        <v>5500</v>
      </c>
      <c r="J17" s="105">
        <f t="shared" si="14"/>
        <v>6050</v>
      </c>
      <c r="K17" s="145">
        <v>400</v>
      </c>
      <c r="L17" s="106">
        <v>6000</v>
      </c>
      <c r="M17" s="106">
        <f t="shared" si="11"/>
        <v>6400</v>
      </c>
      <c r="N17" s="107">
        <v>6000</v>
      </c>
      <c r="O17" s="103">
        <f t="shared" si="15"/>
        <v>6325</v>
      </c>
      <c r="P17" s="146">
        <v>6000</v>
      </c>
      <c r="Q17" s="108">
        <f t="shared" si="16"/>
        <v>6400</v>
      </c>
      <c r="R17" s="107">
        <v>6500</v>
      </c>
      <c r="S17" s="103">
        <f t="shared" si="17"/>
        <v>6600</v>
      </c>
      <c r="T17" s="117">
        <v>6500</v>
      </c>
      <c r="U17" s="117"/>
      <c r="V17" s="110">
        <v>5500</v>
      </c>
      <c r="W17" s="110">
        <v>300</v>
      </c>
      <c r="X17" s="103">
        <f t="shared" si="4"/>
        <v>5800</v>
      </c>
      <c r="Y17" s="103">
        <v>6</v>
      </c>
      <c r="Z17" s="103">
        <v>5300</v>
      </c>
      <c r="AA17" s="111">
        <v>640</v>
      </c>
      <c r="AB17" s="112">
        <f t="shared" si="19"/>
        <v>5940</v>
      </c>
      <c r="AC17" s="113">
        <f t="shared" si="20"/>
        <v>35640</v>
      </c>
      <c r="AD17" s="103">
        <v>948</v>
      </c>
      <c r="AE17" s="113">
        <f t="shared" si="21"/>
        <v>5688</v>
      </c>
      <c r="AF17" s="114"/>
      <c r="AG17" s="107">
        <v>1740</v>
      </c>
      <c r="AH17" s="103">
        <v>1000</v>
      </c>
      <c r="AI17" s="103">
        <v>0</v>
      </c>
      <c r="AJ17" s="103">
        <v>640</v>
      </c>
      <c r="AK17" s="103">
        <v>200</v>
      </c>
      <c r="AL17" s="103">
        <v>1200</v>
      </c>
      <c r="AM17" s="103">
        <v>0</v>
      </c>
      <c r="AN17" s="103">
        <v>100</v>
      </c>
      <c r="AO17" s="103">
        <f t="shared" si="22"/>
        <v>1120</v>
      </c>
      <c r="AP17" s="103">
        <v>6000</v>
      </c>
      <c r="AQ17" s="103">
        <f t="shared" si="23"/>
        <v>36000</v>
      </c>
      <c r="AR17" s="103">
        <v>948</v>
      </c>
      <c r="AS17" s="103">
        <f t="shared" si="24"/>
        <v>41688</v>
      </c>
    </row>
    <row r="18" ht="14.1" customHeight="1" spans="1:45">
      <c r="A18" s="103">
        <v>3</v>
      </c>
      <c r="B18" s="115"/>
      <c r="C18" s="103" t="s">
        <v>208</v>
      </c>
      <c r="D18" s="103">
        <v>6</v>
      </c>
      <c r="E18" s="103"/>
      <c r="F18" s="103"/>
      <c r="G18" s="103" t="s">
        <v>477</v>
      </c>
      <c r="H18" s="103">
        <v>2000</v>
      </c>
      <c r="I18" s="107">
        <v>5500</v>
      </c>
      <c r="J18" s="105">
        <f t="shared" si="14"/>
        <v>4400</v>
      </c>
      <c r="K18" s="145">
        <v>400</v>
      </c>
      <c r="L18" s="108">
        <v>4400</v>
      </c>
      <c r="M18" s="106">
        <f t="shared" si="11"/>
        <v>4800</v>
      </c>
      <c r="N18" s="107">
        <v>6000</v>
      </c>
      <c r="O18" s="103">
        <f t="shared" si="15"/>
        <v>4600</v>
      </c>
      <c r="P18" s="146">
        <v>4500</v>
      </c>
      <c r="Q18" s="108">
        <f t="shared" si="16"/>
        <v>4900</v>
      </c>
      <c r="R18" s="105">
        <v>6500</v>
      </c>
      <c r="S18" s="103">
        <f t="shared" si="17"/>
        <v>4800</v>
      </c>
      <c r="T18" s="109">
        <v>5000</v>
      </c>
      <c r="U18" s="109">
        <f t="shared" si="18"/>
        <v>5400</v>
      </c>
      <c r="V18" s="110">
        <v>4000</v>
      </c>
      <c r="W18" s="110">
        <v>150</v>
      </c>
      <c r="X18" s="103">
        <f t="shared" si="4"/>
        <v>4150</v>
      </c>
      <c r="Y18" s="103">
        <v>6</v>
      </c>
      <c r="Z18" s="103">
        <v>3900</v>
      </c>
      <c r="AA18" s="111">
        <v>640</v>
      </c>
      <c r="AB18" s="112">
        <f t="shared" si="19"/>
        <v>4540</v>
      </c>
      <c r="AC18" s="113">
        <f t="shared" si="20"/>
        <v>27240</v>
      </c>
      <c r="AD18" s="103">
        <v>948</v>
      </c>
      <c r="AE18" s="113">
        <f t="shared" si="21"/>
        <v>5688</v>
      </c>
      <c r="AF18" s="114"/>
      <c r="AG18" s="107">
        <v>1740</v>
      </c>
      <c r="AH18" s="103">
        <v>800</v>
      </c>
      <c r="AI18" s="103">
        <v>0</v>
      </c>
      <c r="AJ18" s="103">
        <v>640</v>
      </c>
      <c r="AK18" s="103">
        <v>200</v>
      </c>
      <c r="AL18" s="103">
        <v>450</v>
      </c>
      <c r="AM18" s="103">
        <v>0</v>
      </c>
      <c r="AN18" s="103">
        <v>100</v>
      </c>
      <c r="AO18" s="103">
        <f t="shared" si="22"/>
        <v>670</v>
      </c>
      <c r="AP18" s="103">
        <v>4600</v>
      </c>
      <c r="AQ18" s="103">
        <f t="shared" si="23"/>
        <v>27600</v>
      </c>
      <c r="AR18" s="103">
        <v>948</v>
      </c>
      <c r="AS18" s="103">
        <f t="shared" si="24"/>
        <v>33288</v>
      </c>
    </row>
    <row r="19" spans="1:45">
      <c r="A19" s="103">
        <v>4</v>
      </c>
      <c r="B19" s="115"/>
      <c r="C19" s="103" t="s">
        <v>209</v>
      </c>
      <c r="D19" s="103">
        <v>6</v>
      </c>
      <c r="E19" s="103"/>
      <c r="F19" s="103"/>
      <c r="G19" s="103" t="s">
        <v>477</v>
      </c>
      <c r="H19" s="103">
        <v>2000</v>
      </c>
      <c r="I19" s="105">
        <v>5000</v>
      </c>
      <c r="J19" s="105">
        <f t="shared" si="14"/>
        <v>4950</v>
      </c>
      <c r="K19" s="145">
        <v>400</v>
      </c>
      <c r="L19" s="106">
        <v>5000</v>
      </c>
      <c r="M19" s="106">
        <f t="shared" si="11"/>
        <v>5400</v>
      </c>
      <c r="N19" s="107">
        <v>5500</v>
      </c>
      <c r="O19" s="103">
        <f t="shared" si="15"/>
        <v>5175</v>
      </c>
      <c r="P19" s="146">
        <v>5000</v>
      </c>
      <c r="Q19" s="108">
        <f t="shared" si="16"/>
        <v>5400</v>
      </c>
      <c r="R19" s="107">
        <v>6000</v>
      </c>
      <c r="S19" s="103">
        <f t="shared" si="17"/>
        <v>5400</v>
      </c>
      <c r="T19" s="109">
        <v>5500</v>
      </c>
      <c r="U19" s="109">
        <f t="shared" si="18"/>
        <v>5900</v>
      </c>
      <c r="V19" s="110">
        <v>4500</v>
      </c>
      <c r="W19" s="110">
        <v>300</v>
      </c>
      <c r="X19" s="103">
        <f t="shared" si="4"/>
        <v>4800</v>
      </c>
      <c r="Y19" s="103">
        <v>6</v>
      </c>
      <c r="Z19" s="103">
        <v>3900</v>
      </c>
      <c r="AA19" s="111">
        <v>640</v>
      </c>
      <c r="AB19" s="112">
        <f t="shared" si="19"/>
        <v>4540</v>
      </c>
      <c r="AC19" s="113">
        <f t="shared" si="20"/>
        <v>27240</v>
      </c>
      <c r="AD19" s="103">
        <v>948</v>
      </c>
      <c r="AE19" s="113">
        <f t="shared" si="21"/>
        <v>5688</v>
      </c>
      <c r="AF19" s="114"/>
      <c r="AG19" s="107">
        <v>1740</v>
      </c>
      <c r="AH19" s="103">
        <v>800</v>
      </c>
      <c r="AI19" s="103">
        <v>0</v>
      </c>
      <c r="AJ19" s="103">
        <v>640</v>
      </c>
      <c r="AK19" s="103">
        <v>200</v>
      </c>
      <c r="AL19" s="103">
        <v>450</v>
      </c>
      <c r="AM19" s="103">
        <v>0</v>
      </c>
      <c r="AN19" s="103">
        <v>100</v>
      </c>
      <c r="AO19" s="103">
        <f t="shared" si="22"/>
        <v>670</v>
      </c>
      <c r="AP19" s="103">
        <v>4600</v>
      </c>
      <c r="AQ19" s="103">
        <f t="shared" si="23"/>
        <v>27600</v>
      </c>
      <c r="AR19" s="103">
        <v>948</v>
      </c>
      <c r="AS19" s="103">
        <f t="shared" si="24"/>
        <v>33288</v>
      </c>
    </row>
    <row r="20" spans="1:45">
      <c r="A20" s="103">
        <v>5</v>
      </c>
      <c r="B20" s="115"/>
      <c r="C20" s="103" t="s">
        <v>210</v>
      </c>
      <c r="D20" s="103">
        <v>6</v>
      </c>
      <c r="E20" s="103"/>
      <c r="F20" s="103"/>
      <c r="G20" s="103" t="s">
        <v>211</v>
      </c>
      <c r="H20" s="103">
        <v>2000</v>
      </c>
      <c r="I20" s="105"/>
      <c r="J20" s="105">
        <f t="shared" si="14"/>
        <v>3630</v>
      </c>
      <c r="K20" s="145">
        <v>400</v>
      </c>
      <c r="L20" s="106">
        <v>3300</v>
      </c>
      <c r="M20" s="106">
        <f t="shared" si="11"/>
        <v>3700</v>
      </c>
      <c r="N20" s="105"/>
      <c r="O20" s="103">
        <f t="shared" si="15"/>
        <v>3795</v>
      </c>
      <c r="P20" s="146">
        <v>3300</v>
      </c>
      <c r="Q20" s="108">
        <f t="shared" si="16"/>
        <v>3700</v>
      </c>
      <c r="R20" s="105"/>
      <c r="S20" s="103">
        <f t="shared" si="17"/>
        <v>3960</v>
      </c>
      <c r="T20" s="117">
        <v>4000</v>
      </c>
      <c r="U20" s="117">
        <f t="shared" si="18"/>
        <v>4400</v>
      </c>
      <c r="V20" s="110">
        <v>3300</v>
      </c>
      <c r="W20" s="110"/>
      <c r="X20" s="103">
        <f t="shared" si="4"/>
        <v>3300</v>
      </c>
      <c r="Y20" s="103">
        <v>6</v>
      </c>
      <c r="Z20" s="103">
        <v>3200</v>
      </c>
      <c r="AA20" s="111">
        <v>640</v>
      </c>
      <c r="AB20" s="112">
        <f t="shared" si="19"/>
        <v>3840</v>
      </c>
      <c r="AC20" s="113">
        <f t="shared" si="20"/>
        <v>23040</v>
      </c>
      <c r="AD20" s="103">
        <v>948</v>
      </c>
      <c r="AE20" s="113">
        <f t="shared" si="21"/>
        <v>5688</v>
      </c>
      <c r="AF20" s="114"/>
      <c r="AG20" s="107">
        <v>1740</v>
      </c>
      <c r="AH20" s="103">
        <v>200</v>
      </c>
      <c r="AI20" s="103">
        <v>0</v>
      </c>
      <c r="AJ20" s="103">
        <v>640</v>
      </c>
      <c r="AK20" s="103">
        <v>200</v>
      </c>
      <c r="AL20" s="103">
        <v>380</v>
      </c>
      <c r="AM20" s="103">
        <v>0</v>
      </c>
      <c r="AN20" s="103">
        <v>100</v>
      </c>
      <c r="AO20" s="103">
        <f t="shared" si="22"/>
        <v>640</v>
      </c>
      <c r="AP20" s="103">
        <v>3900</v>
      </c>
      <c r="AQ20" s="103">
        <f t="shared" si="23"/>
        <v>23400</v>
      </c>
      <c r="AR20" s="103">
        <v>948</v>
      </c>
      <c r="AS20" s="103">
        <f t="shared" si="24"/>
        <v>29088</v>
      </c>
    </row>
    <row r="21" spans="1:45">
      <c r="A21" s="103">
        <v>6</v>
      </c>
      <c r="B21" s="115"/>
      <c r="C21" s="103" t="s">
        <v>211</v>
      </c>
      <c r="D21" s="103">
        <v>3</v>
      </c>
      <c r="E21" s="103"/>
      <c r="F21" s="103"/>
      <c r="G21" s="103" t="s">
        <v>211</v>
      </c>
      <c r="H21" s="103">
        <v>2000</v>
      </c>
      <c r="I21" s="105"/>
      <c r="J21" s="105">
        <f t="shared" si="14"/>
        <v>3630</v>
      </c>
      <c r="K21" s="145">
        <v>400</v>
      </c>
      <c r="L21" s="106">
        <v>3300</v>
      </c>
      <c r="M21" s="106">
        <f t="shared" si="11"/>
        <v>3700</v>
      </c>
      <c r="N21" s="105"/>
      <c r="O21" s="103">
        <f t="shared" si="15"/>
        <v>3795</v>
      </c>
      <c r="P21" s="146">
        <v>3300</v>
      </c>
      <c r="Q21" s="108">
        <f t="shared" si="16"/>
        <v>3700</v>
      </c>
      <c r="R21" s="105"/>
      <c r="S21" s="103">
        <f t="shared" si="17"/>
        <v>3960</v>
      </c>
      <c r="T21" s="117">
        <v>4000</v>
      </c>
      <c r="U21" s="117">
        <f t="shared" si="18"/>
        <v>4400</v>
      </c>
      <c r="V21" s="110">
        <v>3300</v>
      </c>
      <c r="W21" s="110"/>
      <c r="X21" s="103">
        <f t="shared" si="4"/>
        <v>3300</v>
      </c>
      <c r="Y21" s="103">
        <v>3</v>
      </c>
      <c r="Z21" s="103">
        <v>3000</v>
      </c>
      <c r="AA21" s="111">
        <v>640</v>
      </c>
      <c r="AB21" s="112">
        <f t="shared" si="19"/>
        <v>3640</v>
      </c>
      <c r="AC21" s="113">
        <f t="shared" si="20"/>
        <v>10920</v>
      </c>
      <c r="AD21" s="103">
        <v>948</v>
      </c>
      <c r="AE21" s="113">
        <f t="shared" si="21"/>
        <v>2844</v>
      </c>
      <c r="AF21" s="114"/>
      <c r="AG21" s="107">
        <v>1740</v>
      </c>
      <c r="AH21" s="103">
        <v>200</v>
      </c>
      <c r="AI21" s="103">
        <v>0</v>
      </c>
      <c r="AJ21" s="103">
        <v>640</v>
      </c>
      <c r="AK21" s="103">
        <v>200</v>
      </c>
      <c r="AL21" s="103">
        <v>360</v>
      </c>
      <c r="AM21" s="103">
        <v>0</v>
      </c>
      <c r="AN21" s="103">
        <v>100</v>
      </c>
      <c r="AO21" s="103">
        <f t="shared" si="22"/>
        <v>460</v>
      </c>
      <c r="AP21" s="103">
        <v>3700</v>
      </c>
      <c r="AQ21" s="103">
        <f t="shared" si="23"/>
        <v>11100</v>
      </c>
      <c r="AR21" s="103">
        <v>948</v>
      </c>
      <c r="AS21" s="103">
        <f t="shared" si="24"/>
        <v>13944</v>
      </c>
    </row>
    <row r="22" spans="1:45">
      <c r="A22" s="118" t="s">
        <v>461</v>
      </c>
      <c r="B22" s="119"/>
      <c r="C22" s="120"/>
      <c r="D22" s="103">
        <f>D21+D20+D19+D18+D17+D16</f>
        <v>30</v>
      </c>
      <c r="E22" s="103"/>
      <c r="F22" s="103"/>
      <c r="G22" s="103"/>
      <c r="H22" s="103">
        <v>2000</v>
      </c>
      <c r="I22" s="105"/>
      <c r="J22" s="105"/>
      <c r="K22" s="145">
        <v>400</v>
      </c>
      <c r="L22" s="106"/>
      <c r="M22" s="106">
        <f t="shared" si="11"/>
        <v>400</v>
      </c>
      <c r="N22" s="105"/>
      <c r="O22" s="103"/>
      <c r="P22" s="146"/>
      <c r="Q22" s="108">
        <f t="shared" si="16"/>
        <v>400</v>
      </c>
      <c r="R22" s="105"/>
      <c r="S22" s="103"/>
      <c r="T22" s="117"/>
      <c r="U22" s="117">
        <f t="shared" si="18"/>
        <v>400</v>
      </c>
      <c r="V22" s="110"/>
      <c r="W22" s="110"/>
      <c r="X22" s="103">
        <f t="shared" si="4"/>
        <v>0</v>
      </c>
      <c r="Y22" s="103">
        <f>SUM(Y16:Y21)</f>
        <v>30</v>
      </c>
      <c r="Z22" s="103"/>
      <c r="AA22" s="103"/>
      <c r="AB22" s="103"/>
      <c r="AC22" s="113">
        <f>SUM(AC16:AC21)</f>
        <v>147300</v>
      </c>
      <c r="AD22" s="103"/>
      <c r="AE22" s="113">
        <f>SUM(AE16:AE21)</f>
        <v>28440</v>
      </c>
      <c r="AF22" s="114"/>
      <c r="AG22" s="107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</row>
    <row r="23" spans="1:45">
      <c r="A23" s="103">
        <v>1</v>
      </c>
      <c r="B23" s="121" t="s">
        <v>424</v>
      </c>
      <c r="C23" s="103" t="s">
        <v>167</v>
      </c>
      <c r="D23" s="103">
        <v>3</v>
      </c>
      <c r="E23" s="103"/>
      <c r="F23" s="103"/>
      <c r="G23" s="103" t="s">
        <v>477</v>
      </c>
      <c r="H23" s="103">
        <v>2000</v>
      </c>
      <c r="I23" s="105"/>
      <c r="J23" s="105">
        <f t="shared" ref="J23:J30" si="25">V23*1.1</f>
        <v>7700</v>
      </c>
      <c r="K23" s="145">
        <v>400</v>
      </c>
      <c r="L23" s="108">
        <v>7500</v>
      </c>
      <c r="M23" s="106">
        <f t="shared" si="11"/>
        <v>7900</v>
      </c>
      <c r="N23" s="107">
        <v>7500</v>
      </c>
      <c r="O23" s="103">
        <f t="shared" ref="O23:O30" si="26">V23*1.15</f>
        <v>8050</v>
      </c>
      <c r="P23" s="146">
        <v>7500</v>
      </c>
      <c r="Q23" s="108">
        <f t="shared" si="16"/>
        <v>7900</v>
      </c>
      <c r="R23" s="107"/>
      <c r="S23" s="103">
        <f t="shared" ref="S23:S30" si="27">V23*1.2</f>
        <v>8400</v>
      </c>
      <c r="T23" s="117">
        <v>8400</v>
      </c>
      <c r="U23" s="117">
        <f t="shared" si="18"/>
        <v>8800</v>
      </c>
      <c r="V23" s="110">
        <v>7000</v>
      </c>
      <c r="W23" s="110">
        <v>1000</v>
      </c>
      <c r="X23" s="103">
        <f t="shared" si="4"/>
        <v>8000</v>
      </c>
      <c r="Y23" s="103">
        <v>3</v>
      </c>
      <c r="Z23" s="103">
        <v>4400</v>
      </c>
      <c r="AA23" s="111">
        <v>640</v>
      </c>
      <c r="AB23" s="112">
        <f t="shared" ref="AB23:AB28" si="28">Z23+AA23</f>
        <v>5040</v>
      </c>
      <c r="AC23" s="113">
        <f t="shared" ref="AC23:AC28" si="29">AB23*Y23</f>
        <v>15120</v>
      </c>
      <c r="AD23" s="103">
        <v>948</v>
      </c>
      <c r="AE23" s="113">
        <f t="shared" ref="AE23:AE28" si="30">AD23*Y23</f>
        <v>2844</v>
      </c>
      <c r="AF23" s="114"/>
      <c r="AG23" s="107">
        <v>1740</v>
      </c>
      <c r="AH23" s="103">
        <v>1000</v>
      </c>
      <c r="AI23" s="103">
        <v>0</v>
      </c>
      <c r="AJ23" s="103">
        <v>640</v>
      </c>
      <c r="AK23" s="103">
        <v>200</v>
      </c>
      <c r="AL23" s="103">
        <v>1000</v>
      </c>
      <c r="AM23" s="103">
        <v>0</v>
      </c>
      <c r="AN23" s="103">
        <v>100</v>
      </c>
      <c r="AO23" s="103">
        <f t="shared" ref="AO23:AO28" si="31">AP23-AG23-AH23-AI23-AJ23-AK23-AL23-AM23-100</f>
        <v>420</v>
      </c>
      <c r="AP23" s="103">
        <v>5100</v>
      </c>
      <c r="AQ23" s="103">
        <f t="shared" ref="AQ23:AQ28" si="32">AP23*Y23</f>
        <v>15300</v>
      </c>
      <c r="AR23" s="103">
        <v>948</v>
      </c>
      <c r="AS23" s="103">
        <f t="shared" ref="AS23:AS28" si="33">AQ23+AR23*Y23</f>
        <v>18144</v>
      </c>
    </row>
    <row r="24" spans="1:45">
      <c r="A24" s="103">
        <v>2</v>
      </c>
      <c r="B24" s="122"/>
      <c r="C24" s="121" t="s">
        <v>171</v>
      </c>
      <c r="D24" s="103"/>
      <c r="E24" s="103"/>
      <c r="F24" s="103"/>
      <c r="G24" s="103" t="s">
        <v>477</v>
      </c>
      <c r="H24" s="103">
        <v>2000</v>
      </c>
      <c r="I24" s="105"/>
      <c r="J24" s="105">
        <f t="shared" si="25"/>
        <v>4400</v>
      </c>
      <c r="K24" s="145">
        <v>400</v>
      </c>
      <c r="L24" s="106">
        <v>4400</v>
      </c>
      <c r="M24" s="106">
        <f t="shared" si="11"/>
        <v>4800</v>
      </c>
      <c r="N24" s="107">
        <v>5500</v>
      </c>
      <c r="O24" s="103">
        <f t="shared" si="26"/>
        <v>4600</v>
      </c>
      <c r="P24" s="146">
        <v>4500</v>
      </c>
      <c r="Q24" s="108">
        <f t="shared" si="16"/>
        <v>4900</v>
      </c>
      <c r="R24" s="107"/>
      <c r="S24" s="103">
        <f t="shared" si="27"/>
        <v>4800</v>
      </c>
      <c r="T24" s="117">
        <v>4800</v>
      </c>
      <c r="U24" s="117">
        <f t="shared" si="18"/>
        <v>5200</v>
      </c>
      <c r="V24" s="110">
        <v>4000</v>
      </c>
      <c r="W24" s="110">
        <v>0</v>
      </c>
      <c r="X24" s="103">
        <f t="shared" si="4"/>
        <v>4000</v>
      </c>
      <c r="Y24" s="103"/>
      <c r="Z24" s="103"/>
      <c r="AA24" s="111"/>
      <c r="AB24" s="112"/>
      <c r="AC24" s="113"/>
      <c r="AD24" s="103"/>
      <c r="AE24" s="113"/>
      <c r="AF24" s="114"/>
      <c r="AG24" s="107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</row>
    <row r="25" spans="1:45">
      <c r="A25" s="118" t="s">
        <v>461</v>
      </c>
      <c r="B25" s="119"/>
      <c r="C25" s="120"/>
      <c r="D25" s="103">
        <v>9</v>
      </c>
      <c r="E25" s="103"/>
      <c r="F25" s="103"/>
      <c r="G25" s="103"/>
      <c r="H25" s="103">
        <v>2000</v>
      </c>
      <c r="I25" s="105"/>
      <c r="J25" s="105"/>
      <c r="K25" s="145">
        <v>400</v>
      </c>
      <c r="L25" s="106"/>
      <c r="M25" s="106">
        <f t="shared" si="11"/>
        <v>400</v>
      </c>
      <c r="N25" s="105"/>
      <c r="O25" s="103"/>
      <c r="P25" s="146"/>
      <c r="Q25" s="108">
        <f t="shared" si="16"/>
        <v>400</v>
      </c>
      <c r="R25" s="105"/>
      <c r="S25" s="103"/>
      <c r="T25" s="117"/>
      <c r="U25" s="117">
        <f t="shared" si="18"/>
        <v>400</v>
      </c>
      <c r="V25" s="110"/>
      <c r="W25" s="110"/>
      <c r="X25" s="103">
        <f t="shared" si="4"/>
        <v>0</v>
      </c>
      <c r="Y25" s="103">
        <f>SUM(Y23:Y24)</f>
        <v>3</v>
      </c>
      <c r="Z25" s="103"/>
      <c r="AA25" s="103"/>
      <c r="AB25" s="103"/>
      <c r="AC25" s="113">
        <f>SUM(AC23:AC24)</f>
        <v>15120</v>
      </c>
      <c r="AD25" s="103"/>
      <c r="AE25" s="113">
        <f>SUM(AE23:AE24)</f>
        <v>2844</v>
      </c>
      <c r="AF25" s="114"/>
      <c r="AG25" s="107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</row>
    <row r="26" spans="1:45">
      <c r="A26" s="118">
        <v>1</v>
      </c>
      <c r="B26" s="103" t="s">
        <v>418</v>
      </c>
      <c r="C26" s="120" t="s">
        <v>186</v>
      </c>
      <c r="D26" s="103"/>
      <c r="E26" s="103"/>
      <c r="F26" s="103"/>
      <c r="G26" s="103" t="s">
        <v>477</v>
      </c>
      <c r="H26" s="103">
        <v>2000</v>
      </c>
      <c r="I26" s="105"/>
      <c r="J26" s="105">
        <f t="shared" si="25"/>
        <v>4620</v>
      </c>
      <c r="K26" s="145">
        <v>400</v>
      </c>
      <c r="L26" s="106">
        <v>4600</v>
      </c>
      <c r="M26" s="106">
        <f t="shared" si="11"/>
        <v>5000</v>
      </c>
      <c r="N26" s="107">
        <v>5500</v>
      </c>
      <c r="O26" s="103">
        <f t="shared" si="26"/>
        <v>4830</v>
      </c>
      <c r="P26" s="146">
        <v>4700</v>
      </c>
      <c r="Q26" s="108">
        <f t="shared" si="16"/>
        <v>5100</v>
      </c>
      <c r="R26" s="107"/>
      <c r="S26" s="103">
        <f t="shared" si="27"/>
        <v>5040</v>
      </c>
      <c r="T26" s="117">
        <v>5000</v>
      </c>
      <c r="U26" s="117">
        <f t="shared" si="18"/>
        <v>5400</v>
      </c>
      <c r="V26" s="110">
        <v>4200</v>
      </c>
      <c r="W26" s="110">
        <v>900</v>
      </c>
      <c r="X26" s="103">
        <f t="shared" si="4"/>
        <v>5100</v>
      </c>
      <c r="Y26" s="103">
        <v>3</v>
      </c>
      <c r="Z26" s="103">
        <v>4600</v>
      </c>
      <c r="AA26" s="111">
        <v>640</v>
      </c>
      <c r="AB26" s="112">
        <f t="shared" si="28"/>
        <v>5240</v>
      </c>
      <c r="AC26" s="113">
        <f t="shared" si="29"/>
        <v>15720</v>
      </c>
      <c r="AD26" s="103">
        <v>948</v>
      </c>
      <c r="AE26" s="113">
        <f t="shared" si="30"/>
        <v>2844</v>
      </c>
      <c r="AF26" s="114"/>
      <c r="AG26" s="107">
        <v>1740</v>
      </c>
      <c r="AH26" s="103">
        <v>1000</v>
      </c>
      <c r="AI26" s="103">
        <v>0</v>
      </c>
      <c r="AJ26" s="103">
        <v>640</v>
      </c>
      <c r="AK26" s="103">
        <v>200</v>
      </c>
      <c r="AL26" s="103">
        <v>1000</v>
      </c>
      <c r="AM26" s="103">
        <v>0</v>
      </c>
      <c r="AN26" s="103">
        <v>100</v>
      </c>
      <c r="AO26" s="103">
        <f t="shared" si="31"/>
        <v>620</v>
      </c>
      <c r="AP26" s="103">
        <v>5300</v>
      </c>
      <c r="AQ26" s="103">
        <f t="shared" si="32"/>
        <v>15900</v>
      </c>
      <c r="AR26" s="103">
        <v>948</v>
      </c>
      <c r="AS26" s="103">
        <f t="shared" si="33"/>
        <v>18744</v>
      </c>
    </row>
    <row r="27" spans="1:45">
      <c r="A27" s="118">
        <v>2</v>
      </c>
      <c r="B27" s="103"/>
      <c r="C27" s="123" t="s">
        <v>189</v>
      </c>
      <c r="D27" s="103"/>
      <c r="E27" s="103"/>
      <c r="F27" s="103"/>
      <c r="G27" s="103" t="s">
        <v>477</v>
      </c>
      <c r="H27" s="103">
        <v>2000</v>
      </c>
      <c r="I27" s="105"/>
      <c r="J27" s="105">
        <f t="shared" si="25"/>
        <v>4950</v>
      </c>
      <c r="K27" s="145">
        <v>400</v>
      </c>
      <c r="L27" s="106">
        <v>5000</v>
      </c>
      <c r="M27" s="106">
        <f t="shared" si="11"/>
        <v>5400</v>
      </c>
      <c r="N27" s="107">
        <v>5500</v>
      </c>
      <c r="O27" s="103">
        <f t="shared" si="26"/>
        <v>5175</v>
      </c>
      <c r="P27" s="146">
        <v>5000</v>
      </c>
      <c r="Q27" s="108">
        <f t="shared" si="16"/>
        <v>5400</v>
      </c>
      <c r="R27" s="107"/>
      <c r="S27" s="103">
        <f t="shared" si="27"/>
        <v>5400</v>
      </c>
      <c r="T27" s="117">
        <v>5400</v>
      </c>
      <c r="U27" s="117">
        <f t="shared" si="18"/>
        <v>5800</v>
      </c>
      <c r="V27" s="110">
        <v>4500</v>
      </c>
      <c r="W27" s="110">
        <v>900</v>
      </c>
      <c r="X27" s="103">
        <f t="shared" si="4"/>
        <v>5400</v>
      </c>
      <c r="Y27" s="103">
        <v>3</v>
      </c>
      <c r="Z27" s="103">
        <v>4600</v>
      </c>
      <c r="AA27" s="111">
        <v>640</v>
      </c>
      <c r="AB27" s="112">
        <f t="shared" si="28"/>
        <v>5240</v>
      </c>
      <c r="AC27" s="113">
        <f t="shared" si="29"/>
        <v>15720</v>
      </c>
      <c r="AD27" s="103">
        <v>948</v>
      </c>
      <c r="AE27" s="113">
        <f t="shared" si="30"/>
        <v>2844</v>
      </c>
      <c r="AF27" s="114"/>
      <c r="AG27" s="107">
        <v>1740</v>
      </c>
      <c r="AH27" s="103">
        <v>1000</v>
      </c>
      <c r="AI27" s="103">
        <v>0</v>
      </c>
      <c r="AJ27" s="103">
        <v>640</v>
      </c>
      <c r="AK27" s="103">
        <v>200</v>
      </c>
      <c r="AL27" s="103">
        <v>1000</v>
      </c>
      <c r="AM27" s="103">
        <v>0</v>
      </c>
      <c r="AN27" s="103">
        <v>100</v>
      </c>
      <c r="AO27" s="103">
        <f t="shared" si="31"/>
        <v>620</v>
      </c>
      <c r="AP27" s="103">
        <v>5300</v>
      </c>
      <c r="AQ27" s="103">
        <f t="shared" si="32"/>
        <v>15900</v>
      </c>
      <c r="AR27" s="103">
        <v>948</v>
      </c>
      <c r="AS27" s="103">
        <f t="shared" si="33"/>
        <v>18744</v>
      </c>
    </row>
    <row r="28" spans="1:45">
      <c r="A28" s="118">
        <v>3</v>
      </c>
      <c r="B28" s="103"/>
      <c r="C28" s="123" t="s">
        <v>483</v>
      </c>
      <c r="D28" s="103"/>
      <c r="E28" s="103"/>
      <c r="F28" s="103"/>
      <c r="G28" s="103" t="s">
        <v>477</v>
      </c>
      <c r="H28" s="103">
        <v>2000</v>
      </c>
      <c r="I28" s="105"/>
      <c r="J28" s="105">
        <f t="shared" si="25"/>
        <v>4510</v>
      </c>
      <c r="K28" s="145">
        <v>400</v>
      </c>
      <c r="L28" s="106">
        <v>4500</v>
      </c>
      <c r="M28" s="106">
        <f t="shared" si="11"/>
        <v>4900</v>
      </c>
      <c r="N28" s="107">
        <v>5000</v>
      </c>
      <c r="O28" s="103">
        <f t="shared" si="26"/>
        <v>4715</v>
      </c>
      <c r="P28" s="146">
        <v>4600</v>
      </c>
      <c r="Q28" s="108">
        <f t="shared" si="16"/>
        <v>5000</v>
      </c>
      <c r="R28" s="107"/>
      <c r="S28" s="103">
        <f t="shared" si="27"/>
        <v>4920</v>
      </c>
      <c r="T28" s="117">
        <v>4900</v>
      </c>
      <c r="U28" s="117">
        <f t="shared" si="18"/>
        <v>5300</v>
      </c>
      <c r="V28" s="110">
        <v>4100</v>
      </c>
      <c r="W28" s="110"/>
      <c r="X28" s="103">
        <f t="shared" si="4"/>
        <v>4100</v>
      </c>
      <c r="Y28" s="103">
        <v>3</v>
      </c>
      <c r="Z28" s="103">
        <v>4600</v>
      </c>
      <c r="AA28" s="111">
        <v>640</v>
      </c>
      <c r="AB28" s="112">
        <f t="shared" si="28"/>
        <v>5240</v>
      </c>
      <c r="AC28" s="113">
        <f t="shared" si="29"/>
        <v>15720</v>
      </c>
      <c r="AD28" s="103">
        <v>948</v>
      </c>
      <c r="AE28" s="113">
        <f t="shared" si="30"/>
        <v>2844</v>
      </c>
      <c r="AF28" s="114"/>
      <c r="AG28" s="107">
        <v>1740</v>
      </c>
      <c r="AH28" s="103">
        <v>1000</v>
      </c>
      <c r="AI28" s="103">
        <v>0</v>
      </c>
      <c r="AJ28" s="103">
        <v>640</v>
      </c>
      <c r="AK28" s="103">
        <v>200</v>
      </c>
      <c r="AL28" s="103">
        <v>1000</v>
      </c>
      <c r="AM28" s="103">
        <v>0</v>
      </c>
      <c r="AN28" s="103">
        <v>100</v>
      </c>
      <c r="AO28" s="103">
        <f t="shared" si="31"/>
        <v>620</v>
      </c>
      <c r="AP28" s="103">
        <v>5300</v>
      </c>
      <c r="AQ28" s="103">
        <f t="shared" si="32"/>
        <v>15900</v>
      </c>
      <c r="AR28" s="103">
        <v>948</v>
      </c>
      <c r="AS28" s="103">
        <f t="shared" si="33"/>
        <v>18744</v>
      </c>
    </row>
    <row r="29" spans="1:45">
      <c r="A29" s="118">
        <v>4</v>
      </c>
      <c r="B29" s="103"/>
      <c r="C29" s="123" t="s">
        <v>484</v>
      </c>
      <c r="D29" s="103"/>
      <c r="E29" s="103"/>
      <c r="F29" s="103"/>
      <c r="G29" s="103" t="s">
        <v>477</v>
      </c>
      <c r="H29" s="103">
        <v>2000</v>
      </c>
      <c r="I29" s="105"/>
      <c r="J29" s="105">
        <f t="shared" si="25"/>
        <v>4510</v>
      </c>
      <c r="K29" s="145">
        <v>400</v>
      </c>
      <c r="L29" s="106">
        <v>4500</v>
      </c>
      <c r="M29" s="106">
        <f t="shared" si="11"/>
        <v>4900</v>
      </c>
      <c r="N29" s="107">
        <v>5000</v>
      </c>
      <c r="O29" s="103">
        <f t="shared" si="26"/>
        <v>4715</v>
      </c>
      <c r="P29" s="146">
        <v>4600</v>
      </c>
      <c r="Q29" s="108">
        <f t="shared" si="16"/>
        <v>5000</v>
      </c>
      <c r="R29" s="105"/>
      <c r="S29" s="103">
        <f t="shared" si="27"/>
        <v>4920</v>
      </c>
      <c r="T29" s="117">
        <v>4900</v>
      </c>
      <c r="U29" s="117">
        <f t="shared" si="18"/>
        <v>5300</v>
      </c>
      <c r="V29" s="110">
        <v>4100</v>
      </c>
      <c r="W29" s="110"/>
      <c r="X29" s="103">
        <f t="shared" si="4"/>
        <v>4100</v>
      </c>
      <c r="Y29" s="103"/>
      <c r="Z29" s="103"/>
      <c r="AA29" s="103"/>
      <c r="AB29" s="103"/>
      <c r="AC29" s="113"/>
      <c r="AD29" s="103"/>
      <c r="AE29" s="113"/>
      <c r="AF29" s="114"/>
      <c r="AG29" s="107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</row>
    <row r="30" spans="1:45">
      <c r="A30" s="118">
        <v>5</v>
      </c>
      <c r="B30" s="103"/>
      <c r="C30" s="123" t="s">
        <v>193</v>
      </c>
      <c r="D30" s="103"/>
      <c r="E30" s="103"/>
      <c r="F30" s="103"/>
      <c r="G30" s="103" t="s">
        <v>477</v>
      </c>
      <c r="H30" s="103">
        <v>2000</v>
      </c>
      <c r="I30" s="105"/>
      <c r="J30" s="105">
        <f t="shared" si="25"/>
        <v>5390</v>
      </c>
      <c r="K30" s="145">
        <v>400</v>
      </c>
      <c r="L30" s="106">
        <v>5400</v>
      </c>
      <c r="M30" s="106">
        <f t="shared" si="11"/>
        <v>5800</v>
      </c>
      <c r="N30" s="107">
        <v>5000</v>
      </c>
      <c r="O30" s="103">
        <f t="shared" si="26"/>
        <v>5635</v>
      </c>
      <c r="P30" s="146">
        <v>5400</v>
      </c>
      <c r="Q30" s="108">
        <f t="shared" si="16"/>
        <v>5800</v>
      </c>
      <c r="R30" s="105"/>
      <c r="S30" s="103">
        <f t="shared" si="27"/>
        <v>5880</v>
      </c>
      <c r="T30" s="117">
        <v>5900</v>
      </c>
      <c r="U30" s="117">
        <f t="shared" si="18"/>
        <v>6300</v>
      </c>
      <c r="V30" s="110">
        <v>4900</v>
      </c>
      <c r="W30" s="110">
        <v>800</v>
      </c>
      <c r="X30" s="103">
        <f t="shared" si="4"/>
        <v>5700</v>
      </c>
      <c r="Y30" s="103"/>
      <c r="Z30" s="103"/>
      <c r="AA30" s="103"/>
      <c r="AB30" s="103"/>
      <c r="AC30" s="113"/>
      <c r="AD30" s="103"/>
      <c r="AE30" s="113"/>
      <c r="AF30" s="114"/>
      <c r="AG30" s="107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</row>
    <row r="31" spans="1:45">
      <c r="A31" s="118">
        <v>6</v>
      </c>
      <c r="B31" s="103"/>
      <c r="C31" s="123" t="s">
        <v>195</v>
      </c>
      <c r="D31" s="103"/>
      <c r="E31" s="103"/>
      <c r="F31" s="103"/>
      <c r="G31" s="103" t="s">
        <v>477</v>
      </c>
      <c r="H31" s="103">
        <v>2000</v>
      </c>
      <c r="I31" s="105"/>
      <c r="J31" s="105"/>
      <c r="K31" s="145">
        <v>400</v>
      </c>
      <c r="L31" s="106"/>
      <c r="M31" s="106">
        <f t="shared" si="11"/>
        <v>400</v>
      </c>
      <c r="N31" s="105"/>
      <c r="O31" s="103"/>
      <c r="P31" s="146"/>
      <c r="Q31" s="108"/>
      <c r="R31" s="105"/>
      <c r="S31" s="103"/>
      <c r="T31" s="117"/>
      <c r="U31" s="117">
        <f t="shared" si="18"/>
        <v>400</v>
      </c>
      <c r="V31" s="110"/>
      <c r="W31" s="110"/>
      <c r="X31" s="103">
        <f t="shared" si="4"/>
        <v>0</v>
      </c>
      <c r="Y31" s="103"/>
      <c r="Z31" s="103"/>
      <c r="AA31" s="103"/>
      <c r="AB31" s="103"/>
      <c r="AC31" s="113"/>
      <c r="AD31" s="103"/>
      <c r="AE31" s="113"/>
      <c r="AF31" s="114"/>
      <c r="AG31" s="107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</row>
    <row r="32" spans="1:45">
      <c r="A32" s="118">
        <v>7</v>
      </c>
      <c r="B32" s="103"/>
      <c r="C32" s="123" t="s">
        <v>198</v>
      </c>
      <c r="D32" s="103"/>
      <c r="E32" s="103"/>
      <c r="F32" s="103"/>
      <c r="G32" s="103" t="s">
        <v>477</v>
      </c>
      <c r="H32" s="103">
        <v>2000</v>
      </c>
      <c r="I32" s="105"/>
      <c r="J32" s="105"/>
      <c r="K32" s="145">
        <v>400</v>
      </c>
      <c r="L32" s="106"/>
      <c r="M32" s="106">
        <f t="shared" si="11"/>
        <v>400</v>
      </c>
      <c r="N32" s="105"/>
      <c r="O32" s="103"/>
      <c r="P32" s="146"/>
      <c r="Q32" s="108"/>
      <c r="R32" s="105"/>
      <c r="S32" s="103"/>
      <c r="T32" s="117"/>
      <c r="U32" s="117">
        <f t="shared" si="18"/>
        <v>400</v>
      </c>
      <c r="V32" s="110"/>
      <c r="W32" s="110"/>
      <c r="X32" s="103">
        <f t="shared" si="4"/>
        <v>0</v>
      </c>
      <c r="Y32" s="103"/>
      <c r="Z32" s="103"/>
      <c r="AA32" s="103"/>
      <c r="AB32" s="103"/>
      <c r="AC32" s="113"/>
      <c r="AD32" s="103"/>
      <c r="AE32" s="113"/>
      <c r="AF32" s="114"/>
      <c r="AG32" s="107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</row>
    <row r="33" spans="1:45">
      <c r="A33" s="118">
        <v>8</v>
      </c>
      <c r="B33" s="103"/>
      <c r="C33" s="123" t="s">
        <v>167</v>
      </c>
      <c r="D33" s="103"/>
      <c r="E33" s="103"/>
      <c r="F33" s="103"/>
      <c r="G33" s="103" t="s">
        <v>477</v>
      </c>
      <c r="H33" s="103">
        <v>2000</v>
      </c>
      <c r="I33" s="105"/>
      <c r="J33" s="105">
        <f t="shared" ref="J33:J38" si="34">V33*1.1</f>
        <v>7700</v>
      </c>
      <c r="K33" s="145">
        <v>400</v>
      </c>
      <c r="L33" s="106">
        <v>7500</v>
      </c>
      <c r="M33" s="106">
        <f t="shared" si="11"/>
        <v>7900</v>
      </c>
      <c r="N33" s="107">
        <v>7500</v>
      </c>
      <c r="O33" s="103">
        <f t="shared" ref="O33:O38" si="35">V33*1.15</f>
        <v>8050</v>
      </c>
      <c r="P33" s="146">
        <v>7500</v>
      </c>
      <c r="Q33" s="108">
        <f t="shared" si="16"/>
        <v>7900</v>
      </c>
      <c r="R33" s="105"/>
      <c r="S33" s="103">
        <f t="shared" ref="S33:S38" si="36">V33*1.2</f>
        <v>8400</v>
      </c>
      <c r="T33" s="109">
        <v>8300</v>
      </c>
      <c r="U33" s="109">
        <f t="shared" si="18"/>
        <v>8700</v>
      </c>
      <c r="V33" s="110">
        <v>7000</v>
      </c>
      <c r="W33" s="110">
        <v>1000</v>
      </c>
      <c r="X33" s="103">
        <f t="shared" si="4"/>
        <v>8000</v>
      </c>
      <c r="Y33" s="103"/>
      <c r="Z33" s="103"/>
      <c r="AA33" s="103"/>
      <c r="AB33" s="103"/>
      <c r="AC33" s="113"/>
      <c r="AD33" s="103"/>
      <c r="AE33" s="113"/>
      <c r="AF33" s="114"/>
      <c r="AG33" s="107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</row>
    <row r="34" spans="1:45">
      <c r="A34" s="118" t="s">
        <v>461</v>
      </c>
      <c r="B34" s="119"/>
      <c r="C34" s="120"/>
      <c r="D34" s="103">
        <v>9</v>
      </c>
      <c r="E34" s="103"/>
      <c r="F34" s="103"/>
      <c r="G34" s="103"/>
      <c r="H34" s="103">
        <v>2000</v>
      </c>
      <c r="I34" s="105"/>
      <c r="J34" s="105"/>
      <c r="K34" s="145">
        <v>400</v>
      </c>
      <c r="L34" s="106"/>
      <c r="M34" s="106">
        <f t="shared" si="11"/>
        <v>400</v>
      </c>
      <c r="N34" s="105"/>
      <c r="O34" s="103"/>
      <c r="P34" s="146"/>
      <c r="Q34" s="108"/>
      <c r="R34" s="105"/>
      <c r="S34" s="103"/>
      <c r="T34" s="117"/>
      <c r="U34" s="117">
        <f t="shared" si="18"/>
        <v>400</v>
      </c>
      <c r="V34" s="110"/>
      <c r="W34" s="110"/>
      <c r="X34" s="103">
        <f t="shared" si="4"/>
        <v>0</v>
      </c>
      <c r="Y34" s="103">
        <f>SUM(Y26:Y28)</f>
        <v>9</v>
      </c>
      <c r="Z34" s="103"/>
      <c r="AA34" s="103"/>
      <c r="AB34" s="103"/>
      <c r="AC34" s="113">
        <f>SUM(AC26:AC28)</f>
        <v>47160</v>
      </c>
      <c r="AD34" s="103"/>
      <c r="AE34" s="113">
        <f>SUM(AE26:AE28)</f>
        <v>8532</v>
      </c>
      <c r="AF34" s="114"/>
      <c r="AG34" s="107"/>
      <c r="AH34" s="103"/>
      <c r="AI34" s="103"/>
      <c r="AJ34" s="103"/>
      <c r="AK34" s="103"/>
      <c r="AL34" s="103"/>
      <c r="AM34" s="103"/>
      <c r="AN34" s="103"/>
      <c r="AO34" s="103"/>
      <c r="AP34" s="103"/>
      <c r="AQ34" s="103"/>
      <c r="AR34" s="103"/>
      <c r="AS34" s="103"/>
    </row>
    <row r="35" spans="1:45">
      <c r="A35" s="103">
        <v>1</v>
      </c>
      <c r="B35" s="103" t="s">
        <v>485</v>
      </c>
      <c r="C35" s="103" t="s">
        <v>117</v>
      </c>
      <c r="D35" s="103">
        <v>4</v>
      </c>
      <c r="E35" s="103"/>
      <c r="F35" s="103"/>
      <c r="G35" s="103" t="s">
        <v>211</v>
      </c>
      <c r="H35" s="103">
        <v>2000</v>
      </c>
      <c r="I35" s="105"/>
      <c r="J35" s="105">
        <f t="shared" si="34"/>
        <v>3300</v>
      </c>
      <c r="K35" s="145">
        <v>400</v>
      </c>
      <c r="L35" s="106">
        <v>2800</v>
      </c>
      <c r="M35" s="106">
        <f t="shared" si="11"/>
        <v>3200</v>
      </c>
      <c r="N35" s="105"/>
      <c r="O35" s="103">
        <f t="shared" si="35"/>
        <v>3450</v>
      </c>
      <c r="P35" s="146">
        <v>3000</v>
      </c>
      <c r="Q35" s="108">
        <f t="shared" si="16"/>
        <v>3400</v>
      </c>
      <c r="R35" s="105"/>
      <c r="S35" s="103">
        <f t="shared" si="36"/>
        <v>3600</v>
      </c>
      <c r="T35" s="117">
        <v>3600</v>
      </c>
      <c r="U35" s="117">
        <f t="shared" si="18"/>
        <v>4000</v>
      </c>
      <c r="V35" s="110">
        <v>3000</v>
      </c>
      <c r="W35" s="110">
        <v>0</v>
      </c>
      <c r="X35" s="103">
        <f t="shared" si="4"/>
        <v>3000</v>
      </c>
      <c r="Y35" s="103">
        <v>4</v>
      </c>
      <c r="Z35" s="103">
        <v>2600</v>
      </c>
      <c r="AA35" s="111">
        <v>640</v>
      </c>
      <c r="AB35" s="112">
        <f t="shared" ref="AB35:AB38" si="37">Z35+AA35</f>
        <v>3240</v>
      </c>
      <c r="AC35" s="113">
        <f t="shared" ref="AC35:AC38" si="38">AB35*Y35</f>
        <v>12960</v>
      </c>
      <c r="AD35" s="103">
        <v>948</v>
      </c>
      <c r="AE35" s="113">
        <f t="shared" ref="AE35:AE38" si="39">AD35*Y35</f>
        <v>3792</v>
      </c>
      <c r="AF35" s="114"/>
      <c r="AG35" s="107">
        <v>1740</v>
      </c>
      <c r="AH35" s="103">
        <v>200</v>
      </c>
      <c r="AI35" s="103">
        <v>0</v>
      </c>
      <c r="AJ35" s="103">
        <v>640</v>
      </c>
      <c r="AK35" s="103">
        <v>200</v>
      </c>
      <c r="AL35" s="103">
        <v>320</v>
      </c>
      <c r="AM35" s="103">
        <v>0</v>
      </c>
      <c r="AN35" s="103">
        <v>100</v>
      </c>
      <c r="AO35" s="103">
        <f t="shared" ref="AO35:AO38" si="40">AP35-AG35-AH35-AI35-AJ35-AK35-AL35-AM35-100</f>
        <v>100</v>
      </c>
      <c r="AP35" s="103">
        <v>3300</v>
      </c>
      <c r="AQ35" s="103">
        <f t="shared" ref="AQ35:AQ38" si="41">AP35*Y35</f>
        <v>13200</v>
      </c>
      <c r="AR35" s="103">
        <v>948</v>
      </c>
      <c r="AS35" s="103">
        <f t="shared" ref="AS35:AS38" si="42">AQ35+AR35*Y35</f>
        <v>16992</v>
      </c>
    </row>
    <row r="36" spans="1:45">
      <c r="A36" s="103">
        <v>2</v>
      </c>
      <c r="B36" s="103"/>
      <c r="C36" s="103" t="s">
        <v>486</v>
      </c>
      <c r="D36" s="103">
        <v>4</v>
      </c>
      <c r="E36" s="103"/>
      <c r="F36" s="103"/>
      <c r="G36" s="103" t="s">
        <v>211</v>
      </c>
      <c r="H36" s="103">
        <v>2000</v>
      </c>
      <c r="I36" s="105"/>
      <c r="J36" s="105">
        <f t="shared" si="34"/>
        <v>3300</v>
      </c>
      <c r="K36" s="145">
        <v>400</v>
      </c>
      <c r="L36" s="106">
        <v>2800</v>
      </c>
      <c r="M36" s="106">
        <f t="shared" si="11"/>
        <v>3200</v>
      </c>
      <c r="N36" s="105"/>
      <c r="O36" s="103">
        <f t="shared" si="35"/>
        <v>3450</v>
      </c>
      <c r="P36" s="146">
        <v>3000</v>
      </c>
      <c r="Q36" s="108">
        <f t="shared" si="16"/>
        <v>3400</v>
      </c>
      <c r="R36" s="105"/>
      <c r="S36" s="103">
        <f t="shared" si="36"/>
        <v>3600</v>
      </c>
      <c r="T36" s="117">
        <v>3600</v>
      </c>
      <c r="U36" s="117">
        <f t="shared" si="18"/>
        <v>4000</v>
      </c>
      <c r="V36" s="110">
        <v>3000</v>
      </c>
      <c r="W36" s="110">
        <v>0</v>
      </c>
      <c r="X36" s="103">
        <f t="shared" si="4"/>
        <v>3000</v>
      </c>
      <c r="Y36" s="103">
        <v>4</v>
      </c>
      <c r="Z36" s="103">
        <v>2800</v>
      </c>
      <c r="AA36" s="111">
        <v>640</v>
      </c>
      <c r="AB36" s="112">
        <f t="shared" si="37"/>
        <v>3440</v>
      </c>
      <c r="AC36" s="113">
        <f t="shared" si="38"/>
        <v>13760</v>
      </c>
      <c r="AD36" s="103">
        <v>948</v>
      </c>
      <c r="AE36" s="113">
        <f t="shared" si="39"/>
        <v>3792</v>
      </c>
      <c r="AF36" s="114"/>
      <c r="AG36" s="107">
        <v>1740</v>
      </c>
      <c r="AH36" s="103">
        <v>200</v>
      </c>
      <c r="AI36" s="103">
        <v>0</v>
      </c>
      <c r="AJ36" s="103">
        <v>640</v>
      </c>
      <c r="AK36" s="103">
        <v>200</v>
      </c>
      <c r="AL36" s="103">
        <v>340</v>
      </c>
      <c r="AM36" s="103">
        <v>0</v>
      </c>
      <c r="AN36" s="103">
        <v>100</v>
      </c>
      <c r="AO36" s="103">
        <f t="shared" si="40"/>
        <v>280</v>
      </c>
      <c r="AP36" s="103">
        <v>3500</v>
      </c>
      <c r="AQ36" s="103">
        <f t="shared" si="41"/>
        <v>14000</v>
      </c>
      <c r="AR36" s="103">
        <v>948</v>
      </c>
      <c r="AS36" s="103">
        <f t="shared" si="42"/>
        <v>17792</v>
      </c>
    </row>
    <row r="37" spans="1:45">
      <c r="A37" s="103">
        <v>3</v>
      </c>
      <c r="B37" s="103"/>
      <c r="C37" s="103" t="s">
        <v>119</v>
      </c>
      <c r="D37" s="103">
        <v>4</v>
      </c>
      <c r="E37" s="103"/>
      <c r="F37" s="103"/>
      <c r="G37" s="103" t="s">
        <v>211</v>
      </c>
      <c r="H37" s="103">
        <v>2000</v>
      </c>
      <c r="I37" s="105"/>
      <c r="J37" s="105">
        <f t="shared" si="34"/>
        <v>3300</v>
      </c>
      <c r="K37" s="145">
        <v>400</v>
      </c>
      <c r="L37" s="106">
        <v>2800</v>
      </c>
      <c r="M37" s="106">
        <f t="shared" si="11"/>
        <v>3200</v>
      </c>
      <c r="N37" s="105"/>
      <c r="O37" s="103">
        <f t="shared" si="35"/>
        <v>3450</v>
      </c>
      <c r="P37" s="146">
        <v>3000</v>
      </c>
      <c r="Q37" s="108">
        <f t="shared" si="16"/>
        <v>3400</v>
      </c>
      <c r="R37" s="105"/>
      <c r="S37" s="103">
        <f t="shared" si="36"/>
        <v>3600</v>
      </c>
      <c r="T37" s="117">
        <v>3600</v>
      </c>
      <c r="U37" s="117">
        <f t="shared" si="18"/>
        <v>4000</v>
      </c>
      <c r="V37" s="110">
        <v>3000</v>
      </c>
      <c r="W37" s="110">
        <v>0</v>
      </c>
      <c r="X37" s="103">
        <f t="shared" si="4"/>
        <v>3000</v>
      </c>
      <c r="Y37" s="103">
        <v>4</v>
      </c>
      <c r="Z37" s="103">
        <v>2600</v>
      </c>
      <c r="AA37" s="111">
        <v>640</v>
      </c>
      <c r="AB37" s="112">
        <f t="shared" si="37"/>
        <v>3240</v>
      </c>
      <c r="AC37" s="113">
        <f t="shared" si="38"/>
        <v>12960</v>
      </c>
      <c r="AD37" s="103">
        <v>948</v>
      </c>
      <c r="AE37" s="113">
        <f t="shared" si="39"/>
        <v>3792</v>
      </c>
      <c r="AF37" s="114"/>
      <c r="AG37" s="107">
        <v>1740</v>
      </c>
      <c r="AH37" s="103">
        <v>200</v>
      </c>
      <c r="AI37" s="103">
        <v>0</v>
      </c>
      <c r="AJ37" s="103">
        <v>640</v>
      </c>
      <c r="AK37" s="103">
        <v>200</v>
      </c>
      <c r="AL37" s="103">
        <v>320</v>
      </c>
      <c r="AM37" s="103">
        <v>0</v>
      </c>
      <c r="AN37" s="103">
        <v>100</v>
      </c>
      <c r="AO37" s="103">
        <f t="shared" si="40"/>
        <v>100</v>
      </c>
      <c r="AP37" s="103">
        <v>3300</v>
      </c>
      <c r="AQ37" s="103">
        <f t="shared" si="41"/>
        <v>13200</v>
      </c>
      <c r="AR37" s="103">
        <v>948</v>
      </c>
      <c r="AS37" s="103">
        <f t="shared" si="42"/>
        <v>16992</v>
      </c>
    </row>
    <row r="38" spans="1:45">
      <c r="A38" s="103">
        <v>4</v>
      </c>
      <c r="B38" s="103"/>
      <c r="C38" s="103" t="s">
        <v>120</v>
      </c>
      <c r="D38" s="103">
        <v>4</v>
      </c>
      <c r="E38" s="103"/>
      <c r="F38" s="103"/>
      <c r="G38" s="103" t="s">
        <v>477</v>
      </c>
      <c r="H38" s="103">
        <v>2000</v>
      </c>
      <c r="I38" s="105">
        <v>3300</v>
      </c>
      <c r="J38" s="105">
        <f t="shared" si="34"/>
        <v>3960</v>
      </c>
      <c r="K38" s="145">
        <v>400</v>
      </c>
      <c r="L38" s="106">
        <v>4000</v>
      </c>
      <c r="M38" s="106">
        <f t="shared" ref="M38:M60" si="43">K38+L38</f>
        <v>4400</v>
      </c>
      <c r="N38" s="107">
        <v>3800</v>
      </c>
      <c r="O38" s="103">
        <f t="shared" si="35"/>
        <v>4140</v>
      </c>
      <c r="P38" s="146">
        <v>3800</v>
      </c>
      <c r="Q38" s="108">
        <f t="shared" si="16"/>
        <v>4200</v>
      </c>
      <c r="R38" s="105">
        <v>4300</v>
      </c>
      <c r="S38" s="103">
        <f t="shared" si="36"/>
        <v>4320</v>
      </c>
      <c r="T38" s="117">
        <v>4300</v>
      </c>
      <c r="U38" s="117">
        <f t="shared" si="18"/>
        <v>4700</v>
      </c>
      <c r="V38" s="110">
        <v>3600</v>
      </c>
      <c r="W38" s="110">
        <v>0</v>
      </c>
      <c r="X38" s="103">
        <f t="shared" si="4"/>
        <v>3600</v>
      </c>
      <c r="Y38" s="103">
        <v>4</v>
      </c>
      <c r="Z38" s="103">
        <v>3200</v>
      </c>
      <c r="AA38" s="111">
        <v>640</v>
      </c>
      <c r="AB38" s="112">
        <f t="shared" si="37"/>
        <v>3840</v>
      </c>
      <c r="AC38" s="113">
        <f t="shared" si="38"/>
        <v>15360</v>
      </c>
      <c r="AD38" s="103">
        <v>948</v>
      </c>
      <c r="AE38" s="113">
        <f t="shared" si="39"/>
        <v>3792</v>
      </c>
      <c r="AF38" s="114"/>
      <c r="AG38" s="107">
        <v>1740</v>
      </c>
      <c r="AH38" s="103">
        <v>200</v>
      </c>
      <c r="AI38" s="103">
        <v>0</v>
      </c>
      <c r="AJ38" s="103">
        <v>640</v>
      </c>
      <c r="AK38" s="103">
        <v>200</v>
      </c>
      <c r="AL38" s="103">
        <v>380</v>
      </c>
      <c r="AM38" s="103">
        <v>0</v>
      </c>
      <c r="AN38" s="103">
        <v>100</v>
      </c>
      <c r="AO38" s="103">
        <f t="shared" si="40"/>
        <v>640</v>
      </c>
      <c r="AP38" s="103">
        <v>3900</v>
      </c>
      <c r="AQ38" s="103">
        <f t="shared" si="41"/>
        <v>15600</v>
      </c>
      <c r="AR38" s="103">
        <v>948</v>
      </c>
      <c r="AS38" s="103">
        <f t="shared" si="42"/>
        <v>19392</v>
      </c>
    </row>
    <row r="39" spans="1:45">
      <c r="A39" s="118" t="s">
        <v>461</v>
      </c>
      <c r="B39" s="119"/>
      <c r="C39" s="120"/>
      <c r="D39" s="103">
        <f>SUM(D35:D38)</f>
        <v>16</v>
      </c>
      <c r="E39" s="103"/>
      <c r="F39" s="103"/>
      <c r="G39" s="103"/>
      <c r="H39" s="103">
        <v>2000</v>
      </c>
      <c r="I39" s="105"/>
      <c r="J39" s="105"/>
      <c r="K39" s="145">
        <v>400</v>
      </c>
      <c r="L39" s="106"/>
      <c r="M39" s="106">
        <f t="shared" si="43"/>
        <v>400</v>
      </c>
      <c r="N39" s="105"/>
      <c r="O39" s="103"/>
      <c r="P39" s="146"/>
      <c r="Q39" s="108">
        <f t="shared" si="16"/>
        <v>400</v>
      </c>
      <c r="R39" s="105"/>
      <c r="S39" s="103"/>
      <c r="T39" s="117"/>
      <c r="U39" s="117">
        <f t="shared" si="18"/>
        <v>400</v>
      </c>
      <c r="V39" s="110"/>
      <c r="W39" s="110"/>
      <c r="X39" s="103">
        <f t="shared" si="4"/>
        <v>0</v>
      </c>
      <c r="Y39" s="103">
        <f>SUM(Y35:Y38)</f>
        <v>16</v>
      </c>
      <c r="Z39" s="103"/>
      <c r="AA39" s="103"/>
      <c r="AB39" s="103"/>
      <c r="AC39" s="113">
        <f>SUM(AC35:AC38)</f>
        <v>55040</v>
      </c>
      <c r="AD39" s="103"/>
      <c r="AE39" s="113">
        <f>SUM(AE35:AE38)</f>
        <v>15168</v>
      </c>
      <c r="AF39" s="114"/>
      <c r="AG39" s="107"/>
      <c r="AH39" s="103"/>
      <c r="AI39" s="103"/>
      <c r="AJ39" s="103"/>
      <c r="AK39" s="103"/>
      <c r="AL39" s="103"/>
      <c r="AM39" s="103"/>
      <c r="AN39" s="103"/>
      <c r="AO39" s="103"/>
      <c r="AP39" s="103"/>
      <c r="AQ39" s="103"/>
      <c r="AR39" s="103"/>
      <c r="AS39" s="103"/>
    </row>
    <row r="40" spans="1:45">
      <c r="A40" s="103">
        <v>1</v>
      </c>
      <c r="B40" s="103" t="s">
        <v>135</v>
      </c>
      <c r="C40" s="103"/>
      <c r="D40" s="103">
        <v>3</v>
      </c>
      <c r="E40" s="103"/>
      <c r="F40" s="103"/>
      <c r="G40" s="103" t="s">
        <v>476</v>
      </c>
      <c r="H40" s="103">
        <v>2000</v>
      </c>
      <c r="I40" s="105">
        <v>5500</v>
      </c>
      <c r="J40" s="105">
        <f t="shared" ref="J40:J43" si="44">V40*1.1</f>
        <v>6050</v>
      </c>
      <c r="K40" s="145">
        <v>400</v>
      </c>
      <c r="L40" s="106">
        <v>6000</v>
      </c>
      <c r="M40" s="106">
        <f t="shared" si="43"/>
        <v>6400</v>
      </c>
      <c r="N40" s="107">
        <v>6500</v>
      </c>
      <c r="O40" s="103">
        <f t="shared" ref="O40:O43" si="45">V40*1.15</f>
        <v>6325</v>
      </c>
      <c r="P40" s="146">
        <v>6000</v>
      </c>
      <c r="Q40" s="108">
        <f t="shared" si="16"/>
        <v>6400</v>
      </c>
      <c r="R40" s="107">
        <v>7000</v>
      </c>
      <c r="S40" s="103">
        <f t="shared" ref="S40:S43" si="46">V40*1.2</f>
        <v>6600</v>
      </c>
      <c r="T40" s="109">
        <v>6600</v>
      </c>
      <c r="U40" s="109">
        <f t="shared" si="18"/>
        <v>7000</v>
      </c>
      <c r="V40" s="110">
        <v>5500</v>
      </c>
      <c r="W40" s="110">
        <v>400</v>
      </c>
      <c r="X40" s="103">
        <f t="shared" si="4"/>
        <v>5900</v>
      </c>
      <c r="Y40" s="103">
        <v>3</v>
      </c>
      <c r="Z40" s="103">
        <v>5200</v>
      </c>
      <c r="AA40" s="111">
        <v>640</v>
      </c>
      <c r="AB40" s="112">
        <f t="shared" ref="AB40:AB43" si="47">Z40+AA40</f>
        <v>5840</v>
      </c>
      <c r="AC40" s="113">
        <f t="shared" ref="AC40:AC43" si="48">AB40*Y40</f>
        <v>17520</v>
      </c>
      <c r="AD40" s="103">
        <v>948</v>
      </c>
      <c r="AE40" s="113">
        <f t="shared" ref="AE40:AE43" si="49">AD40*Y40</f>
        <v>2844</v>
      </c>
      <c r="AF40" s="114"/>
      <c r="AG40" s="107">
        <v>1740</v>
      </c>
      <c r="AH40" s="103">
        <v>1000</v>
      </c>
      <c r="AI40" s="103">
        <v>0</v>
      </c>
      <c r="AJ40" s="103">
        <v>640</v>
      </c>
      <c r="AK40" s="103">
        <v>200</v>
      </c>
      <c r="AL40" s="103">
        <v>1200</v>
      </c>
      <c r="AM40" s="103">
        <v>0</v>
      </c>
      <c r="AN40" s="103">
        <v>100</v>
      </c>
      <c r="AO40" s="103">
        <f t="shared" ref="AO40:AO43" si="50">AP40-AG40-AH40-AI40-AJ40-AK40-AL40-AM40-100</f>
        <v>1020</v>
      </c>
      <c r="AP40" s="103">
        <v>5900</v>
      </c>
      <c r="AQ40" s="103">
        <f t="shared" ref="AQ40:AQ43" si="51">AP40*Y40</f>
        <v>17700</v>
      </c>
      <c r="AR40" s="103">
        <v>948</v>
      </c>
      <c r="AS40" s="103">
        <f t="shared" ref="AS40:AS43" si="52">AQ40+AR40*Y40</f>
        <v>20544</v>
      </c>
    </row>
    <row r="41" spans="1:45">
      <c r="A41" s="103">
        <v>2</v>
      </c>
      <c r="B41" s="103" t="s">
        <v>487</v>
      </c>
      <c r="C41" s="103" t="s">
        <v>167</v>
      </c>
      <c r="D41" s="103">
        <v>3</v>
      </c>
      <c r="E41" s="103"/>
      <c r="F41" s="103"/>
      <c r="G41" s="103" t="s">
        <v>476</v>
      </c>
      <c r="H41" s="103">
        <v>2000</v>
      </c>
      <c r="I41" s="105">
        <v>4500</v>
      </c>
      <c r="J41" s="105">
        <f t="shared" si="44"/>
        <v>5500</v>
      </c>
      <c r="K41" s="145">
        <v>400</v>
      </c>
      <c r="L41" s="106">
        <v>5500</v>
      </c>
      <c r="M41" s="106">
        <f t="shared" si="43"/>
        <v>5900</v>
      </c>
      <c r="N41" s="107">
        <v>5500</v>
      </c>
      <c r="O41" s="103">
        <f t="shared" si="45"/>
        <v>5750</v>
      </c>
      <c r="P41" s="146">
        <v>5500</v>
      </c>
      <c r="Q41" s="108">
        <f t="shared" si="16"/>
        <v>5900</v>
      </c>
      <c r="R41" s="107">
        <v>6000</v>
      </c>
      <c r="S41" s="103">
        <f t="shared" si="46"/>
        <v>6000</v>
      </c>
      <c r="T41" s="117">
        <v>6000</v>
      </c>
      <c r="U41" s="117">
        <f t="shared" si="18"/>
        <v>6400</v>
      </c>
      <c r="V41" s="110">
        <v>5000</v>
      </c>
      <c r="W41" s="110">
        <v>300</v>
      </c>
      <c r="X41" s="103">
        <f t="shared" si="4"/>
        <v>5300</v>
      </c>
      <c r="Y41" s="103">
        <v>3</v>
      </c>
      <c r="Z41" s="103">
        <v>4600</v>
      </c>
      <c r="AA41" s="111">
        <v>640</v>
      </c>
      <c r="AB41" s="112">
        <f t="shared" si="47"/>
        <v>5240</v>
      </c>
      <c r="AC41" s="113">
        <f t="shared" si="48"/>
        <v>15720</v>
      </c>
      <c r="AD41" s="103">
        <v>948</v>
      </c>
      <c r="AE41" s="113">
        <f t="shared" si="49"/>
        <v>2844</v>
      </c>
      <c r="AF41" s="114"/>
      <c r="AG41" s="107">
        <v>1740</v>
      </c>
      <c r="AH41" s="103">
        <v>1000</v>
      </c>
      <c r="AI41" s="103">
        <v>0</v>
      </c>
      <c r="AJ41" s="103">
        <v>640</v>
      </c>
      <c r="AK41" s="103">
        <v>200</v>
      </c>
      <c r="AL41" s="103">
        <v>1000</v>
      </c>
      <c r="AM41" s="103">
        <v>0</v>
      </c>
      <c r="AN41" s="103">
        <v>100</v>
      </c>
      <c r="AO41" s="103">
        <f t="shared" si="50"/>
        <v>620</v>
      </c>
      <c r="AP41" s="103">
        <v>5300</v>
      </c>
      <c r="AQ41" s="103">
        <f t="shared" si="51"/>
        <v>15900</v>
      </c>
      <c r="AR41" s="103">
        <v>948</v>
      </c>
      <c r="AS41" s="103">
        <f t="shared" si="52"/>
        <v>18744</v>
      </c>
    </row>
    <row r="42" spans="1:45">
      <c r="A42" s="103">
        <v>3</v>
      </c>
      <c r="B42" s="103"/>
      <c r="C42" s="103" t="s">
        <v>488</v>
      </c>
      <c r="D42" s="103">
        <v>3</v>
      </c>
      <c r="E42" s="103"/>
      <c r="F42" s="103"/>
      <c r="G42" s="103" t="s">
        <v>477</v>
      </c>
      <c r="H42" s="103">
        <v>2000</v>
      </c>
      <c r="I42" s="105">
        <v>4000</v>
      </c>
      <c r="J42" s="105">
        <f t="shared" si="44"/>
        <v>4620</v>
      </c>
      <c r="K42" s="145">
        <v>400</v>
      </c>
      <c r="L42" s="106">
        <v>4600</v>
      </c>
      <c r="M42" s="106">
        <f t="shared" si="43"/>
        <v>5000</v>
      </c>
      <c r="N42" s="107">
        <v>5000</v>
      </c>
      <c r="O42" s="103">
        <f t="shared" si="45"/>
        <v>4830</v>
      </c>
      <c r="P42" s="146">
        <v>4600</v>
      </c>
      <c r="Q42" s="108">
        <f t="shared" si="16"/>
        <v>5000</v>
      </c>
      <c r="R42" s="107">
        <v>5500</v>
      </c>
      <c r="S42" s="103">
        <f t="shared" si="46"/>
        <v>5040</v>
      </c>
      <c r="T42" s="109">
        <v>5000</v>
      </c>
      <c r="U42" s="109">
        <f t="shared" si="18"/>
        <v>5400</v>
      </c>
      <c r="V42" s="110">
        <v>4200</v>
      </c>
      <c r="W42" s="110">
        <v>150</v>
      </c>
      <c r="X42" s="103">
        <f t="shared" si="4"/>
        <v>4350</v>
      </c>
      <c r="Y42" s="103">
        <v>3</v>
      </c>
      <c r="Z42" s="103">
        <v>3900</v>
      </c>
      <c r="AA42" s="111">
        <v>640</v>
      </c>
      <c r="AB42" s="112">
        <f t="shared" si="47"/>
        <v>4540</v>
      </c>
      <c r="AC42" s="113">
        <f t="shared" si="48"/>
        <v>13620</v>
      </c>
      <c r="AD42" s="103">
        <v>948</v>
      </c>
      <c r="AE42" s="113">
        <f t="shared" si="49"/>
        <v>2844</v>
      </c>
      <c r="AF42" s="114"/>
      <c r="AG42" s="107">
        <v>1740</v>
      </c>
      <c r="AH42" s="103">
        <v>800</v>
      </c>
      <c r="AI42" s="103">
        <v>0</v>
      </c>
      <c r="AJ42" s="103">
        <v>640</v>
      </c>
      <c r="AK42" s="103">
        <v>200</v>
      </c>
      <c r="AL42" s="103">
        <v>450</v>
      </c>
      <c r="AM42" s="103">
        <v>0</v>
      </c>
      <c r="AN42" s="103">
        <v>100</v>
      </c>
      <c r="AO42" s="103">
        <f t="shared" si="50"/>
        <v>670</v>
      </c>
      <c r="AP42" s="103">
        <v>4600</v>
      </c>
      <c r="AQ42" s="103">
        <f t="shared" si="51"/>
        <v>13800</v>
      </c>
      <c r="AR42" s="103">
        <v>948</v>
      </c>
      <c r="AS42" s="103">
        <f t="shared" si="52"/>
        <v>16644</v>
      </c>
    </row>
    <row r="43" spans="1:45">
      <c r="A43" s="103">
        <v>4</v>
      </c>
      <c r="B43" s="103"/>
      <c r="C43" s="103" t="s">
        <v>489</v>
      </c>
      <c r="D43" s="103">
        <v>3</v>
      </c>
      <c r="E43" s="103"/>
      <c r="F43" s="103"/>
      <c r="G43" s="103" t="s">
        <v>477</v>
      </c>
      <c r="H43" s="103">
        <v>2000</v>
      </c>
      <c r="I43" s="105">
        <v>3500</v>
      </c>
      <c r="J43" s="105">
        <f t="shared" si="44"/>
        <v>4620</v>
      </c>
      <c r="K43" s="145">
        <v>400</v>
      </c>
      <c r="L43" s="106">
        <v>4000</v>
      </c>
      <c r="M43" s="106">
        <f t="shared" si="43"/>
        <v>4400</v>
      </c>
      <c r="N43" s="107">
        <v>4500</v>
      </c>
      <c r="O43" s="103">
        <f t="shared" si="45"/>
        <v>4830</v>
      </c>
      <c r="P43" s="146">
        <v>4600</v>
      </c>
      <c r="Q43" s="108">
        <f t="shared" si="16"/>
        <v>5000</v>
      </c>
      <c r="R43" s="107">
        <v>5000</v>
      </c>
      <c r="S43" s="103">
        <f t="shared" si="46"/>
        <v>5040</v>
      </c>
      <c r="T43" s="117">
        <v>5000</v>
      </c>
      <c r="U43" s="117">
        <f t="shared" si="18"/>
        <v>5400</v>
      </c>
      <c r="V43" s="110">
        <v>4200</v>
      </c>
      <c r="W43" s="110"/>
      <c r="X43" s="103">
        <f t="shared" si="4"/>
        <v>4200</v>
      </c>
      <c r="Y43" s="103">
        <v>3</v>
      </c>
      <c r="Z43" s="103">
        <v>3700</v>
      </c>
      <c r="AA43" s="111">
        <v>640</v>
      </c>
      <c r="AB43" s="112">
        <f t="shared" si="47"/>
        <v>4340</v>
      </c>
      <c r="AC43" s="113">
        <f t="shared" si="48"/>
        <v>13020</v>
      </c>
      <c r="AD43" s="103">
        <v>948</v>
      </c>
      <c r="AE43" s="113">
        <f t="shared" si="49"/>
        <v>2844</v>
      </c>
      <c r="AF43" s="114"/>
      <c r="AG43" s="107">
        <v>1740</v>
      </c>
      <c r="AH43" s="103">
        <v>800</v>
      </c>
      <c r="AI43" s="103">
        <v>0</v>
      </c>
      <c r="AJ43" s="103">
        <v>640</v>
      </c>
      <c r="AK43" s="103">
        <v>200</v>
      </c>
      <c r="AL43" s="103">
        <v>430</v>
      </c>
      <c r="AM43" s="103">
        <v>0</v>
      </c>
      <c r="AN43" s="103">
        <v>100</v>
      </c>
      <c r="AO43" s="103">
        <f t="shared" si="50"/>
        <v>490</v>
      </c>
      <c r="AP43" s="103">
        <v>4400</v>
      </c>
      <c r="AQ43" s="103">
        <f t="shared" si="51"/>
        <v>13200</v>
      </c>
      <c r="AR43" s="103">
        <v>948</v>
      </c>
      <c r="AS43" s="103">
        <f t="shared" si="52"/>
        <v>16044</v>
      </c>
    </row>
    <row r="44" spans="1:45">
      <c r="A44" s="103"/>
      <c r="B44" s="103"/>
      <c r="C44" s="103"/>
      <c r="D44" s="103"/>
      <c r="E44" s="103"/>
      <c r="F44" s="103"/>
      <c r="G44" s="103"/>
      <c r="H44" s="103">
        <v>2000</v>
      </c>
      <c r="I44" s="105"/>
      <c r="J44" s="105"/>
      <c r="K44" s="145">
        <v>400</v>
      </c>
      <c r="L44" s="106"/>
      <c r="M44" s="106">
        <f t="shared" si="43"/>
        <v>400</v>
      </c>
      <c r="N44" s="105"/>
      <c r="O44" s="103"/>
      <c r="P44" s="146"/>
      <c r="Q44" s="108">
        <f t="shared" si="16"/>
        <v>400</v>
      </c>
      <c r="R44" s="105"/>
      <c r="S44" s="103"/>
      <c r="T44" s="117"/>
      <c r="U44" s="117">
        <f t="shared" si="18"/>
        <v>400</v>
      </c>
      <c r="V44" s="110"/>
      <c r="W44" s="110"/>
      <c r="X44" s="103">
        <f t="shared" si="4"/>
        <v>0</v>
      </c>
      <c r="Y44" s="103"/>
      <c r="Z44" s="103"/>
      <c r="AA44" s="111"/>
      <c r="AB44" s="112"/>
      <c r="AC44" s="113"/>
      <c r="AD44" s="103"/>
      <c r="AE44" s="113"/>
      <c r="AF44" s="114"/>
      <c r="AG44" s="107"/>
      <c r="AH44" s="103"/>
      <c r="AI44" s="103"/>
      <c r="AJ44" s="103"/>
      <c r="AK44" s="103"/>
      <c r="AL44" s="103"/>
      <c r="AM44" s="103"/>
      <c r="AN44" s="103"/>
      <c r="AO44" s="103"/>
      <c r="AP44" s="103"/>
      <c r="AQ44" s="103"/>
      <c r="AR44" s="103"/>
      <c r="AS44" s="103"/>
    </row>
    <row r="45" spans="1:45">
      <c r="A45" s="103">
        <v>5</v>
      </c>
      <c r="B45" s="103" t="s">
        <v>490</v>
      </c>
      <c r="C45" s="103" t="s">
        <v>167</v>
      </c>
      <c r="D45" s="103">
        <v>3</v>
      </c>
      <c r="E45" s="103"/>
      <c r="F45" s="103"/>
      <c r="G45" s="103" t="s">
        <v>476</v>
      </c>
      <c r="H45" s="103">
        <v>2000</v>
      </c>
      <c r="I45" s="105">
        <v>4500</v>
      </c>
      <c r="J45" s="105">
        <f t="shared" ref="J45:J55" si="53">V45*1.1</f>
        <v>4950</v>
      </c>
      <c r="K45" s="145">
        <v>400</v>
      </c>
      <c r="L45" s="106">
        <v>4900</v>
      </c>
      <c r="M45" s="106">
        <f t="shared" si="43"/>
        <v>5300</v>
      </c>
      <c r="N45" s="107">
        <v>5500</v>
      </c>
      <c r="O45" s="103">
        <f t="shared" ref="O45:O55" si="54">V45*1.15</f>
        <v>5175</v>
      </c>
      <c r="P45" s="146">
        <v>5000</v>
      </c>
      <c r="Q45" s="108">
        <f t="shared" si="16"/>
        <v>5400</v>
      </c>
      <c r="R45" s="107">
        <v>6000</v>
      </c>
      <c r="S45" s="103">
        <f t="shared" ref="S45:S55" si="55">V45*1.2</f>
        <v>5400</v>
      </c>
      <c r="T45" s="109">
        <v>5600</v>
      </c>
      <c r="U45" s="109">
        <f t="shared" si="18"/>
        <v>6000</v>
      </c>
      <c r="V45" s="110">
        <v>4500</v>
      </c>
      <c r="W45" s="110">
        <v>300</v>
      </c>
      <c r="X45" s="103">
        <f t="shared" si="4"/>
        <v>4800</v>
      </c>
      <c r="Y45" s="103">
        <v>3</v>
      </c>
      <c r="Z45" s="103">
        <v>4200</v>
      </c>
      <c r="AA45" s="111">
        <v>640</v>
      </c>
      <c r="AB45" s="112">
        <f t="shared" ref="AB45:AB55" si="56">Z45+AA45</f>
        <v>4840</v>
      </c>
      <c r="AC45" s="113">
        <f t="shared" ref="AC45:AC55" si="57">AB45*Y45</f>
        <v>14520</v>
      </c>
      <c r="AD45" s="103">
        <v>948</v>
      </c>
      <c r="AE45" s="113">
        <f t="shared" ref="AE45:AE55" si="58">AD45*Y45</f>
        <v>2844</v>
      </c>
      <c r="AF45" s="114"/>
      <c r="AG45" s="107">
        <v>1740</v>
      </c>
      <c r="AH45" s="103">
        <v>800</v>
      </c>
      <c r="AI45" s="103">
        <v>0</v>
      </c>
      <c r="AJ45" s="103">
        <v>640</v>
      </c>
      <c r="AK45" s="103">
        <v>200</v>
      </c>
      <c r="AL45" s="103">
        <v>480</v>
      </c>
      <c r="AM45" s="103">
        <v>0</v>
      </c>
      <c r="AN45" s="103">
        <v>100</v>
      </c>
      <c r="AO45" s="103">
        <f t="shared" ref="AO45:AO55" si="59">AP45-AG45-AH45-AI45-AJ45-AK45-AL45-AM45-100</f>
        <v>940</v>
      </c>
      <c r="AP45" s="103">
        <v>4900</v>
      </c>
      <c r="AQ45" s="103">
        <f t="shared" ref="AQ45:AQ55" si="60">AP45*Y45</f>
        <v>14700</v>
      </c>
      <c r="AR45" s="103">
        <v>948</v>
      </c>
      <c r="AS45" s="103">
        <f t="shared" ref="AS45:AS55" si="61">AQ45+AR45*Y45</f>
        <v>17544</v>
      </c>
    </row>
    <row r="46" spans="1:45">
      <c r="A46" s="103">
        <v>6</v>
      </c>
      <c r="B46" s="103"/>
      <c r="C46" s="103" t="s">
        <v>488</v>
      </c>
      <c r="D46" s="103">
        <v>3</v>
      </c>
      <c r="E46" s="103"/>
      <c r="F46" s="103"/>
      <c r="G46" s="103" t="s">
        <v>477</v>
      </c>
      <c r="H46" s="103">
        <v>2000</v>
      </c>
      <c r="I46" s="105">
        <v>4000</v>
      </c>
      <c r="J46" s="105">
        <f t="shared" si="53"/>
        <v>4180</v>
      </c>
      <c r="K46" s="145">
        <v>400</v>
      </c>
      <c r="L46" s="106">
        <v>4200</v>
      </c>
      <c r="M46" s="106">
        <f t="shared" si="43"/>
        <v>4600</v>
      </c>
      <c r="N46" s="107">
        <v>5000</v>
      </c>
      <c r="O46" s="103">
        <f t="shared" si="54"/>
        <v>4370</v>
      </c>
      <c r="P46" s="146">
        <v>4300</v>
      </c>
      <c r="Q46" s="108">
        <f t="shared" si="16"/>
        <v>4700</v>
      </c>
      <c r="R46" s="107">
        <v>5500</v>
      </c>
      <c r="S46" s="103">
        <f t="shared" si="55"/>
        <v>4560</v>
      </c>
      <c r="T46" s="109">
        <v>4600</v>
      </c>
      <c r="U46" s="109">
        <f t="shared" si="18"/>
        <v>5000</v>
      </c>
      <c r="V46" s="110">
        <v>3800</v>
      </c>
      <c r="W46" s="110">
        <v>150</v>
      </c>
      <c r="X46" s="103">
        <f t="shared" si="4"/>
        <v>3950</v>
      </c>
      <c r="Y46" s="103">
        <v>3</v>
      </c>
      <c r="Z46" s="103">
        <v>3400</v>
      </c>
      <c r="AA46" s="111">
        <v>640</v>
      </c>
      <c r="AB46" s="112">
        <f t="shared" si="56"/>
        <v>4040</v>
      </c>
      <c r="AC46" s="113">
        <f t="shared" si="57"/>
        <v>12120</v>
      </c>
      <c r="AD46" s="103">
        <v>948</v>
      </c>
      <c r="AE46" s="113">
        <f t="shared" si="58"/>
        <v>2844</v>
      </c>
      <c r="AF46" s="114"/>
      <c r="AG46" s="107">
        <v>1740</v>
      </c>
      <c r="AH46" s="103">
        <v>800</v>
      </c>
      <c r="AI46" s="103">
        <v>0</v>
      </c>
      <c r="AJ46" s="103">
        <v>640</v>
      </c>
      <c r="AK46" s="103">
        <v>200</v>
      </c>
      <c r="AL46" s="103">
        <v>400</v>
      </c>
      <c r="AM46" s="103">
        <v>0</v>
      </c>
      <c r="AN46" s="103">
        <v>100</v>
      </c>
      <c r="AO46" s="103">
        <f t="shared" si="59"/>
        <v>220</v>
      </c>
      <c r="AP46" s="103">
        <v>4100</v>
      </c>
      <c r="AQ46" s="103">
        <f t="shared" si="60"/>
        <v>12300</v>
      </c>
      <c r="AR46" s="103">
        <v>948</v>
      </c>
      <c r="AS46" s="103">
        <f t="shared" si="61"/>
        <v>15144</v>
      </c>
    </row>
    <row r="47" ht="12.95" customHeight="1" spans="1:45">
      <c r="A47" s="103">
        <v>7</v>
      </c>
      <c r="B47" s="103"/>
      <c r="C47" s="103" t="s">
        <v>491</v>
      </c>
      <c r="D47" s="103">
        <v>3</v>
      </c>
      <c r="E47" s="103"/>
      <c r="F47" s="103"/>
      <c r="G47" s="103" t="s">
        <v>477</v>
      </c>
      <c r="H47" s="103">
        <v>2000</v>
      </c>
      <c r="I47" s="105">
        <v>3500</v>
      </c>
      <c r="J47" s="105">
        <f t="shared" si="53"/>
        <v>3520</v>
      </c>
      <c r="K47" s="145">
        <v>400</v>
      </c>
      <c r="L47" s="106">
        <v>3500</v>
      </c>
      <c r="M47" s="106">
        <f t="shared" si="43"/>
        <v>3900</v>
      </c>
      <c r="N47" s="107">
        <v>4500</v>
      </c>
      <c r="O47" s="103">
        <f t="shared" si="54"/>
        <v>3680</v>
      </c>
      <c r="P47" s="146">
        <v>3700</v>
      </c>
      <c r="Q47" s="108">
        <f t="shared" si="16"/>
        <v>4100</v>
      </c>
      <c r="R47" s="107">
        <v>5000</v>
      </c>
      <c r="S47" s="103">
        <f t="shared" si="55"/>
        <v>3840</v>
      </c>
      <c r="T47" s="109">
        <v>3900</v>
      </c>
      <c r="U47" s="109">
        <f t="shared" si="18"/>
        <v>4300</v>
      </c>
      <c r="V47" s="110">
        <v>3200</v>
      </c>
      <c r="W47" s="110"/>
      <c r="X47" s="103">
        <f t="shared" si="4"/>
        <v>3200</v>
      </c>
      <c r="Y47" s="103">
        <v>3</v>
      </c>
      <c r="Z47" s="103">
        <v>2800</v>
      </c>
      <c r="AA47" s="111">
        <v>640</v>
      </c>
      <c r="AB47" s="112">
        <f t="shared" si="56"/>
        <v>3440</v>
      </c>
      <c r="AC47" s="113">
        <f t="shared" si="57"/>
        <v>10320</v>
      </c>
      <c r="AD47" s="103">
        <v>948</v>
      </c>
      <c r="AE47" s="113">
        <f t="shared" si="58"/>
        <v>2844</v>
      </c>
      <c r="AF47" s="114"/>
      <c r="AG47" s="107">
        <v>1740</v>
      </c>
      <c r="AH47" s="103">
        <v>200</v>
      </c>
      <c r="AI47" s="103">
        <v>0</v>
      </c>
      <c r="AJ47" s="103">
        <v>640</v>
      </c>
      <c r="AK47" s="103">
        <v>200</v>
      </c>
      <c r="AL47" s="103">
        <v>340</v>
      </c>
      <c r="AM47" s="103">
        <v>0</v>
      </c>
      <c r="AN47" s="103">
        <v>100</v>
      </c>
      <c r="AO47" s="103">
        <f t="shared" si="59"/>
        <v>280</v>
      </c>
      <c r="AP47" s="103">
        <v>3500</v>
      </c>
      <c r="AQ47" s="103">
        <f t="shared" si="60"/>
        <v>10500</v>
      </c>
      <c r="AR47" s="103">
        <v>948</v>
      </c>
      <c r="AS47" s="103">
        <f t="shared" si="61"/>
        <v>13344</v>
      </c>
    </row>
    <row r="48" spans="1:45">
      <c r="A48" s="103">
        <v>8</v>
      </c>
      <c r="B48" s="103" t="s">
        <v>492</v>
      </c>
      <c r="C48" s="103" t="s">
        <v>167</v>
      </c>
      <c r="D48" s="103">
        <v>3</v>
      </c>
      <c r="E48" s="103"/>
      <c r="F48" s="103"/>
      <c r="G48" s="103" t="s">
        <v>476</v>
      </c>
      <c r="H48" s="103">
        <v>2000</v>
      </c>
      <c r="I48" s="105">
        <v>4500</v>
      </c>
      <c r="J48" s="105">
        <f t="shared" si="53"/>
        <v>0</v>
      </c>
      <c r="K48" s="145">
        <v>400</v>
      </c>
      <c r="L48" s="106">
        <v>4500</v>
      </c>
      <c r="M48" s="106">
        <f t="shared" si="43"/>
        <v>4900</v>
      </c>
      <c r="N48" s="107">
        <v>5500</v>
      </c>
      <c r="O48" s="103">
        <f t="shared" si="54"/>
        <v>0</v>
      </c>
      <c r="P48" s="146">
        <v>5500</v>
      </c>
      <c r="Q48" s="108">
        <f t="shared" si="16"/>
        <v>5900</v>
      </c>
      <c r="R48" s="107">
        <v>6000</v>
      </c>
      <c r="S48" s="103">
        <f t="shared" si="55"/>
        <v>0</v>
      </c>
      <c r="T48" s="117">
        <v>6000</v>
      </c>
      <c r="U48" s="117">
        <f t="shared" si="18"/>
        <v>6400</v>
      </c>
      <c r="V48" s="110"/>
      <c r="W48" s="110"/>
      <c r="X48" s="103">
        <f t="shared" si="4"/>
        <v>0</v>
      </c>
      <c r="Y48" s="103">
        <v>3</v>
      </c>
      <c r="Z48" s="103">
        <v>4100</v>
      </c>
      <c r="AA48" s="111">
        <v>640</v>
      </c>
      <c r="AB48" s="112">
        <f t="shared" si="56"/>
        <v>4740</v>
      </c>
      <c r="AC48" s="113">
        <f t="shared" si="57"/>
        <v>14220</v>
      </c>
      <c r="AD48" s="103">
        <v>948</v>
      </c>
      <c r="AE48" s="113">
        <f t="shared" si="58"/>
        <v>2844</v>
      </c>
      <c r="AF48" s="114"/>
      <c r="AG48" s="107">
        <v>1740</v>
      </c>
      <c r="AH48" s="103">
        <v>800</v>
      </c>
      <c r="AI48" s="103">
        <v>0</v>
      </c>
      <c r="AJ48" s="103">
        <v>640</v>
      </c>
      <c r="AK48" s="103">
        <v>200</v>
      </c>
      <c r="AL48" s="103">
        <v>470</v>
      </c>
      <c r="AM48" s="103">
        <v>0</v>
      </c>
      <c r="AN48" s="103">
        <v>100</v>
      </c>
      <c r="AO48" s="103">
        <f t="shared" si="59"/>
        <v>850</v>
      </c>
      <c r="AP48" s="103">
        <v>4800</v>
      </c>
      <c r="AQ48" s="103">
        <f t="shared" si="60"/>
        <v>14400</v>
      </c>
      <c r="AR48" s="103">
        <v>948</v>
      </c>
      <c r="AS48" s="103">
        <f t="shared" si="61"/>
        <v>17244</v>
      </c>
    </row>
    <row r="49" spans="1:45">
      <c r="A49" s="103">
        <v>9</v>
      </c>
      <c r="B49" s="103"/>
      <c r="C49" s="103" t="s">
        <v>488</v>
      </c>
      <c r="D49" s="103">
        <v>3</v>
      </c>
      <c r="E49" s="103"/>
      <c r="F49" s="103"/>
      <c r="G49" s="103" t="s">
        <v>477</v>
      </c>
      <c r="H49" s="103">
        <v>2000</v>
      </c>
      <c r="I49" s="105">
        <v>4000</v>
      </c>
      <c r="J49" s="105">
        <f t="shared" si="53"/>
        <v>3520</v>
      </c>
      <c r="K49" s="145">
        <v>400</v>
      </c>
      <c r="L49" s="108">
        <v>3500</v>
      </c>
      <c r="M49" s="106">
        <f t="shared" si="43"/>
        <v>3900</v>
      </c>
      <c r="N49" s="107">
        <v>5000</v>
      </c>
      <c r="O49" s="103">
        <f t="shared" si="54"/>
        <v>3680</v>
      </c>
      <c r="P49" s="146">
        <v>3700</v>
      </c>
      <c r="Q49" s="108">
        <f t="shared" si="16"/>
        <v>4100</v>
      </c>
      <c r="R49" s="107">
        <v>5500</v>
      </c>
      <c r="S49" s="103">
        <f t="shared" si="55"/>
        <v>3840</v>
      </c>
      <c r="T49" s="109">
        <v>3900</v>
      </c>
      <c r="U49" s="109">
        <f t="shared" si="18"/>
        <v>4300</v>
      </c>
      <c r="V49" s="110">
        <v>3200</v>
      </c>
      <c r="W49" s="110"/>
      <c r="X49" s="103">
        <f t="shared" si="4"/>
        <v>3200</v>
      </c>
      <c r="Y49" s="103">
        <v>3</v>
      </c>
      <c r="Z49" s="103">
        <v>3900</v>
      </c>
      <c r="AA49" s="111">
        <v>640</v>
      </c>
      <c r="AB49" s="112">
        <f t="shared" si="56"/>
        <v>4540</v>
      </c>
      <c r="AC49" s="113">
        <f t="shared" si="57"/>
        <v>13620</v>
      </c>
      <c r="AD49" s="103">
        <v>948</v>
      </c>
      <c r="AE49" s="113">
        <f t="shared" si="58"/>
        <v>2844</v>
      </c>
      <c r="AF49" s="114"/>
      <c r="AG49" s="107">
        <v>1740</v>
      </c>
      <c r="AH49" s="103">
        <v>800</v>
      </c>
      <c r="AI49" s="103">
        <v>0</v>
      </c>
      <c r="AJ49" s="103">
        <v>640</v>
      </c>
      <c r="AK49" s="103">
        <v>200</v>
      </c>
      <c r="AL49" s="103">
        <v>450</v>
      </c>
      <c r="AM49" s="103">
        <v>0</v>
      </c>
      <c r="AN49" s="103">
        <v>100</v>
      </c>
      <c r="AO49" s="103">
        <f t="shared" si="59"/>
        <v>670</v>
      </c>
      <c r="AP49" s="103">
        <v>4600</v>
      </c>
      <c r="AQ49" s="103">
        <f t="shared" si="60"/>
        <v>13800</v>
      </c>
      <c r="AR49" s="103">
        <v>948</v>
      </c>
      <c r="AS49" s="103">
        <f t="shared" si="61"/>
        <v>16644</v>
      </c>
    </row>
    <row r="50" spans="1:45">
      <c r="A50" s="103">
        <v>10</v>
      </c>
      <c r="B50" s="103" t="s">
        <v>493</v>
      </c>
      <c r="C50" s="116" t="s">
        <v>167</v>
      </c>
      <c r="D50" s="103">
        <v>3</v>
      </c>
      <c r="E50" s="103"/>
      <c r="F50" s="103"/>
      <c r="G50" s="103" t="s">
        <v>476</v>
      </c>
      <c r="H50" s="103">
        <v>2000</v>
      </c>
      <c r="I50" s="105">
        <v>3000</v>
      </c>
      <c r="J50" s="105">
        <f t="shared" si="53"/>
        <v>3300</v>
      </c>
      <c r="K50" s="145">
        <v>400</v>
      </c>
      <c r="L50" s="106">
        <v>3300</v>
      </c>
      <c r="M50" s="106">
        <f t="shared" si="43"/>
        <v>3700</v>
      </c>
      <c r="N50" s="105">
        <v>3500</v>
      </c>
      <c r="O50" s="103">
        <f t="shared" si="54"/>
        <v>3450</v>
      </c>
      <c r="P50" s="146">
        <v>3500</v>
      </c>
      <c r="Q50" s="108">
        <f t="shared" si="16"/>
        <v>3900</v>
      </c>
      <c r="R50" s="105">
        <v>4000</v>
      </c>
      <c r="S50" s="103">
        <f t="shared" si="55"/>
        <v>3600</v>
      </c>
      <c r="T50" s="109">
        <v>3700</v>
      </c>
      <c r="U50" s="109">
        <f t="shared" si="18"/>
        <v>4100</v>
      </c>
      <c r="V50" s="110">
        <v>3000</v>
      </c>
      <c r="W50" s="110">
        <v>0</v>
      </c>
      <c r="X50" s="103">
        <f t="shared" si="4"/>
        <v>3000</v>
      </c>
      <c r="Y50" s="103">
        <v>3</v>
      </c>
      <c r="Z50" s="103">
        <v>2700</v>
      </c>
      <c r="AA50" s="111">
        <v>640</v>
      </c>
      <c r="AB50" s="112">
        <f t="shared" si="56"/>
        <v>3340</v>
      </c>
      <c r="AC50" s="113">
        <f t="shared" si="57"/>
        <v>10020</v>
      </c>
      <c r="AD50" s="103">
        <v>948</v>
      </c>
      <c r="AE50" s="113">
        <f t="shared" si="58"/>
        <v>2844</v>
      </c>
      <c r="AF50" s="114"/>
      <c r="AG50" s="107">
        <v>1740</v>
      </c>
      <c r="AH50" s="103">
        <v>200</v>
      </c>
      <c r="AI50" s="103">
        <v>0</v>
      </c>
      <c r="AJ50" s="103">
        <v>640</v>
      </c>
      <c r="AK50" s="103">
        <v>200</v>
      </c>
      <c r="AL50" s="103">
        <v>330</v>
      </c>
      <c r="AM50" s="103">
        <v>0</v>
      </c>
      <c r="AN50" s="103">
        <v>100</v>
      </c>
      <c r="AO50" s="103">
        <f t="shared" si="59"/>
        <v>190</v>
      </c>
      <c r="AP50" s="103">
        <v>3400</v>
      </c>
      <c r="AQ50" s="103">
        <f t="shared" si="60"/>
        <v>10200</v>
      </c>
      <c r="AR50" s="103">
        <v>948</v>
      </c>
      <c r="AS50" s="103">
        <f t="shared" si="61"/>
        <v>13044</v>
      </c>
    </row>
    <row r="51" spans="1:45">
      <c r="A51" s="103">
        <v>11</v>
      </c>
      <c r="B51" s="107"/>
      <c r="C51" s="103" t="s">
        <v>488</v>
      </c>
      <c r="D51" s="103">
        <v>3</v>
      </c>
      <c r="E51" s="103"/>
      <c r="F51" s="103"/>
      <c r="G51" s="103" t="s">
        <v>477</v>
      </c>
      <c r="H51" s="103">
        <v>2000</v>
      </c>
      <c r="I51" s="105">
        <v>3000</v>
      </c>
      <c r="J51" s="105">
        <f t="shared" si="53"/>
        <v>0</v>
      </c>
      <c r="K51" s="145">
        <v>400</v>
      </c>
      <c r="L51" s="106">
        <v>3000</v>
      </c>
      <c r="M51" s="106">
        <f t="shared" si="43"/>
        <v>3400</v>
      </c>
      <c r="N51" s="105">
        <v>3500</v>
      </c>
      <c r="O51" s="103">
        <f t="shared" si="54"/>
        <v>0</v>
      </c>
      <c r="P51" s="146">
        <v>3500</v>
      </c>
      <c r="Q51" s="108">
        <f t="shared" si="16"/>
        <v>3900</v>
      </c>
      <c r="R51" s="105">
        <v>4000</v>
      </c>
      <c r="S51" s="103">
        <f t="shared" si="55"/>
        <v>0</v>
      </c>
      <c r="T51" s="117">
        <v>4000</v>
      </c>
      <c r="U51" s="117">
        <f t="shared" si="18"/>
        <v>4400</v>
      </c>
      <c r="V51" s="110"/>
      <c r="W51" s="110"/>
      <c r="X51" s="103">
        <f t="shared" si="4"/>
        <v>0</v>
      </c>
      <c r="Y51" s="103">
        <v>3</v>
      </c>
      <c r="Z51" s="103">
        <v>3100</v>
      </c>
      <c r="AA51" s="111">
        <v>640</v>
      </c>
      <c r="AB51" s="112">
        <f t="shared" si="56"/>
        <v>3740</v>
      </c>
      <c r="AC51" s="113">
        <f t="shared" si="57"/>
        <v>11220</v>
      </c>
      <c r="AD51" s="103">
        <v>948</v>
      </c>
      <c r="AE51" s="113">
        <f t="shared" si="58"/>
        <v>2844</v>
      </c>
      <c r="AF51" s="114"/>
      <c r="AG51" s="107">
        <v>1740</v>
      </c>
      <c r="AH51" s="103">
        <v>200</v>
      </c>
      <c r="AI51" s="103">
        <v>0</v>
      </c>
      <c r="AJ51" s="103">
        <v>640</v>
      </c>
      <c r="AK51" s="103">
        <v>200</v>
      </c>
      <c r="AL51" s="103">
        <v>370</v>
      </c>
      <c r="AM51" s="103">
        <v>0</v>
      </c>
      <c r="AN51" s="103">
        <v>100</v>
      </c>
      <c r="AO51" s="103">
        <f t="shared" si="59"/>
        <v>550</v>
      </c>
      <c r="AP51" s="103">
        <v>3800</v>
      </c>
      <c r="AQ51" s="103">
        <f t="shared" si="60"/>
        <v>11400</v>
      </c>
      <c r="AR51" s="103">
        <v>948</v>
      </c>
      <c r="AS51" s="103">
        <f t="shared" si="61"/>
        <v>14244</v>
      </c>
    </row>
    <row r="52" spans="1:45">
      <c r="A52" s="103">
        <v>12</v>
      </c>
      <c r="B52" s="103"/>
      <c r="C52" s="116" t="s">
        <v>156</v>
      </c>
      <c r="D52" s="103">
        <v>3</v>
      </c>
      <c r="E52" s="103"/>
      <c r="F52" s="103"/>
      <c r="G52" s="103" t="s">
        <v>211</v>
      </c>
      <c r="H52" s="103">
        <v>2000</v>
      </c>
      <c r="I52" s="105"/>
      <c r="J52" s="105">
        <f t="shared" si="53"/>
        <v>3630</v>
      </c>
      <c r="K52" s="145">
        <v>400</v>
      </c>
      <c r="L52" s="108">
        <v>3500</v>
      </c>
      <c r="M52" s="106">
        <f t="shared" si="43"/>
        <v>3900</v>
      </c>
      <c r="N52" s="105"/>
      <c r="O52" s="103">
        <f t="shared" si="54"/>
        <v>3795</v>
      </c>
      <c r="P52" s="146">
        <v>3300</v>
      </c>
      <c r="Q52" s="108">
        <f t="shared" si="16"/>
        <v>3700</v>
      </c>
      <c r="R52" s="105"/>
      <c r="S52" s="103">
        <f t="shared" si="55"/>
        <v>3960</v>
      </c>
      <c r="T52" s="117">
        <v>4000</v>
      </c>
      <c r="U52" s="117">
        <f t="shared" si="18"/>
        <v>4400</v>
      </c>
      <c r="V52" s="110">
        <v>3300</v>
      </c>
      <c r="W52" s="110">
        <v>0</v>
      </c>
      <c r="X52" s="103">
        <f t="shared" si="4"/>
        <v>3300</v>
      </c>
      <c r="Y52" s="103">
        <v>3</v>
      </c>
      <c r="Z52" s="103">
        <v>2900</v>
      </c>
      <c r="AA52" s="111">
        <v>640</v>
      </c>
      <c r="AB52" s="112">
        <f t="shared" si="56"/>
        <v>3540</v>
      </c>
      <c r="AC52" s="113">
        <f t="shared" si="57"/>
        <v>10620</v>
      </c>
      <c r="AD52" s="103">
        <v>948</v>
      </c>
      <c r="AE52" s="113">
        <f t="shared" si="58"/>
        <v>2844</v>
      </c>
      <c r="AF52" s="114"/>
      <c r="AG52" s="107">
        <v>1740</v>
      </c>
      <c r="AH52" s="103">
        <v>200</v>
      </c>
      <c r="AI52" s="103">
        <v>0</v>
      </c>
      <c r="AJ52" s="103">
        <v>640</v>
      </c>
      <c r="AK52" s="103">
        <v>200</v>
      </c>
      <c r="AL52" s="103">
        <v>350</v>
      </c>
      <c r="AM52" s="103">
        <v>0</v>
      </c>
      <c r="AN52" s="103">
        <v>100</v>
      </c>
      <c r="AO52" s="103">
        <f t="shared" si="59"/>
        <v>370</v>
      </c>
      <c r="AP52" s="103">
        <v>3600</v>
      </c>
      <c r="AQ52" s="103">
        <f t="shared" si="60"/>
        <v>10800</v>
      </c>
      <c r="AR52" s="103">
        <v>948</v>
      </c>
      <c r="AS52" s="103">
        <f t="shared" si="61"/>
        <v>13644</v>
      </c>
    </row>
    <row r="53" spans="1:45">
      <c r="A53" s="103">
        <v>13</v>
      </c>
      <c r="B53" s="107"/>
      <c r="C53" s="103" t="s">
        <v>157</v>
      </c>
      <c r="D53" s="103">
        <v>3</v>
      </c>
      <c r="E53" s="103"/>
      <c r="F53" s="103"/>
      <c r="G53" s="103" t="s">
        <v>211</v>
      </c>
      <c r="H53" s="103">
        <v>2000</v>
      </c>
      <c r="I53" s="105"/>
      <c r="J53" s="105">
        <f t="shared" si="53"/>
        <v>3080</v>
      </c>
      <c r="K53" s="145">
        <v>400</v>
      </c>
      <c r="L53" s="106">
        <v>2800</v>
      </c>
      <c r="M53" s="106">
        <f t="shared" si="43"/>
        <v>3200</v>
      </c>
      <c r="N53" s="105"/>
      <c r="O53" s="103">
        <f t="shared" si="54"/>
        <v>3220</v>
      </c>
      <c r="P53" s="146">
        <v>3000</v>
      </c>
      <c r="Q53" s="108">
        <f t="shared" si="16"/>
        <v>3400</v>
      </c>
      <c r="R53" s="105"/>
      <c r="S53" s="103">
        <f t="shared" si="55"/>
        <v>3360</v>
      </c>
      <c r="T53" s="117">
        <v>3400</v>
      </c>
      <c r="U53" s="117">
        <f t="shared" si="18"/>
        <v>3800</v>
      </c>
      <c r="V53" s="110">
        <v>2800</v>
      </c>
      <c r="W53" s="110">
        <v>0</v>
      </c>
      <c r="X53" s="103">
        <f t="shared" si="4"/>
        <v>2800</v>
      </c>
      <c r="Y53" s="103">
        <v>3</v>
      </c>
      <c r="Z53" s="103">
        <v>2700</v>
      </c>
      <c r="AA53" s="111">
        <v>640</v>
      </c>
      <c r="AB53" s="112">
        <f t="shared" si="56"/>
        <v>3340</v>
      </c>
      <c r="AC53" s="113">
        <f t="shared" si="57"/>
        <v>10020</v>
      </c>
      <c r="AD53" s="103">
        <v>948</v>
      </c>
      <c r="AE53" s="113">
        <f t="shared" si="58"/>
        <v>2844</v>
      </c>
      <c r="AF53" s="114"/>
      <c r="AG53" s="107">
        <v>1740</v>
      </c>
      <c r="AH53" s="103">
        <v>200</v>
      </c>
      <c r="AI53" s="103">
        <v>0</v>
      </c>
      <c r="AJ53" s="103">
        <v>640</v>
      </c>
      <c r="AK53" s="103">
        <v>200</v>
      </c>
      <c r="AL53" s="103">
        <v>330</v>
      </c>
      <c r="AM53" s="103">
        <v>0</v>
      </c>
      <c r="AN53" s="103">
        <v>100</v>
      </c>
      <c r="AO53" s="103">
        <f t="shared" si="59"/>
        <v>190</v>
      </c>
      <c r="AP53" s="103">
        <v>3400</v>
      </c>
      <c r="AQ53" s="103">
        <f t="shared" si="60"/>
        <v>10200</v>
      </c>
      <c r="AR53" s="103">
        <v>948</v>
      </c>
      <c r="AS53" s="103">
        <f t="shared" si="61"/>
        <v>13044</v>
      </c>
    </row>
    <row r="54" spans="1:45">
      <c r="A54" s="103">
        <v>14</v>
      </c>
      <c r="B54" s="124" t="s">
        <v>494</v>
      </c>
      <c r="C54" s="124"/>
      <c r="D54" s="103">
        <v>3</v>
      </c>
      <c r="E54" s="103"/>
      <c r="F54" s="103"/>
      <c r="G54" s="103" t="s">
        <v>477</v>
      </c>
      <c r="H54" s="103">
        <v>2000</v>
      </c>
      <c r="I54" s="105">
        <v>2500</v>
      </c>
      <c r="J54" s="105">
        <f t="shared" si="53"/>
        <v>3190</v>
      </c>
      <c r="K54" s="145">
        <v>400</v>
      </c>
      <c r="L54" s="106">
        <v>3200</v>
      </c>
      <c r="M54" s="106">
        <f t="shared" si="43"/>
        <v>3600</v>
      </c>
      <c r="N54" s="107">
        <v>3800</v>
      </c>
      <c r="O54" s="103">
        <f t="shared" si="54"/>
        <v>3335</v>
      </c>
      <c r="P54" s="146">
        <v>3400</v>
      </c>
      <c r="Q54" s="108">
        <f t="shared" si="16"/>
        <v>3800</v>
      </c>
      <c r="R54" s="107">
        <v>4000</v>
      </c>
      <c r="S54" s="103">
        <f t="shared" si="55"/>
        <v>3480</v>
      </c>
      <c r="T54" s="109">
        <v>3600</v>
      </c>
      <c r="U54" s="109">
        <f t="shared" si="18"/>
        <v>4000</v>
      </c>
      <c r="V54" s="110">
        <v>2900</v>
      </c>
      <c r="W54" s="110">
        <v>100</v>
      </c>
      <c r="X54" s="103">
        <f t="shared" si="4"/>
        <v>3000</v>
      </c>
      <c r="Y54" s="103">
        <v>3</v>
      </c>
      <c r="Z54" s="103">
        <v>2600</v>
      </c>
      <c r="AA54" s="111">
        <v>640</v>
      </c>
      <c r="AB54" s="112">
        <f t="shared" si="56"/>
        <v>3240</v>
      </c>
      <c r="AC54" s="113">
        <f t="shared" si="57"/>
        <v>9720</v>
      </c>
      <c r="AD54" s="103">
        <v>948</v>
      </c>
      <c r="AE54" s="113">
        <f t="shared" si="58"/>
        <v>2844</v>
      </c>
      <c r="AF54" s="114"/>
      <c r="AG54" s="107">
        <v>1740</v>
      </c>
      <c r="AH54" s="103">
        <v>200</v>
      </c>
      <c r="AI54" s="103">
        <v>0</v>
      </c>
      <c r="AJ54" s="103">
        <v>640</v>
      </c>
      <c r="AK54" s="103">
        <v>200</v>
      </c>
      <c r="AL54" s="103">
        <v>320</v>
      </c>
      <c r="AM54" s="103">
        <v>0</v>
      </c>
      <c r="AN54" s="103">
        <v>100</v>
      </c>
      <c r="AO54" s="103">
        <f t="shared" si="59"/>
        <v>100</v>
      </c>
      <c r="AP54" s="103">
        <v>3300</v>
      </c>
      <c r="AQ54" s="103">
        <f t="shared" si="60"/>
        <v>9900</v>
      </c>
      <c r="AR54" s="103">
        <v>948</v>
      </c>
      <c r="AS54" s="103">
        <f t="shared" si="61"/>
        <v>12744</v>
      </c>
    </row>
    <row r="55" spans="1:45">
      <c r="A55" s="103">
        <v>15</v>
      </c>
      <c r="B55" s="103" t="s">
        <v>159</v>
      </c>
      <c r="C55" s="103"/>
      <c r="D55" s="103">
        <v>3</v>
      </c>
      <c r="E55" s="103"/>
      <c r="F55" s="103"/>
      <c r="G55" s="103" t="s">
        <v>477</v>
      </c>
      <c r="H55" s="103">
        <v>2000</v>
      </c>
      <c r="I55" s="105">
        <v>2500</v>
      </c>
      <c r="J55" s="105">
        <f t="shared" si="53"/>
        <v>3520</v>
      </c>
      <c r="K55" s="145">
        <v>400</v>
      </c>
      <c r="L55" s="106">
        <v>3500</v>
      </c>
      <c r="M55" s="106">
        <f t="shared" si="43"/>
        <v>3900</v>
      </c>
      <c r="N55" s="107">
        <v>4000</v>
      </c>
      <c r="O55" s="103">
        <f t="shared" si="54"/>
        <v>3680</v>
      </c>
      <c r="P55" s="146">
        <v>3700</v>
      </c>
      <c r="Q55" s="108">
        <f t="shared" si="16"/>
        <v>4100</v>
      </c>
      <c r="R55" s="107">
        <v>4500</v>
      </c>
      <c r="S55" s="103">
        <f t="shared" si="55"/>
        <v>3840</v>
      </c>
      <c r="T55" s="109">
        <v>3900</v>
      </c>
      <c r="U55" s="109">
        <f t="shared" si="18"/>
        <v>4300</v>
      </c>
      <c r="V55" s="110">
        <v>3200</v>
      </c>
      <c r="W55" s="110">
        <v>0</v>
      </c>
      <c r="X55" s="103">
        <f t="shared" si="4"/>
        <v>3200</v>
      </c>
      <c r="Y55" s="103">
        <v>3</v>
      </c>
      <c r="Z55" s="103">
        <v>2800</v>
      </c>
      <c r="AA55" s="111">
        <v>640</v>
      </c>
      <c r="AB55" s="112">
        <f t="shared" si="56"/>
        <v>3440</v>
      </c>
      <c r="AC55" s="113">
        <f t="shared" si="57"/>
        <v>10320</v>
      </c>
      <c r="AD55" s="103">
        <v>948</v>
      </c>
      <c r="AE55" s="113">
        <f t="shared" si="58"/>
        <v>2844</v>
      </c>
      <c r="AF55" s="114"/>
      <c r="AG55" s="107">
        <v>1740</v>
      </c>
      <c r="AH55" s="103">
        <v>200</v>
      </c>
      <c r="AI55" s="103">
        <v>0</v>
      </c>
      <c r="AJ55" s="103">
        <v>640</v>
      </c>
      <c r="AK55" s="103">
        <v>200</v>
      </c>
      <c r="AL55" s="103">
        <v>340</v>
      </c>
      <c r="AM55" s="103">
        <v>0</v>
      </c>
      <c r="AN55" s="103">
        <v>100</v>
      </c>
      <c r="AO55" s="103">
        <f t="shared" si="59"/>
        <v>280</v>
      </c>
      <c r="AP55" s="103">
        <v>3500</v>
      </c>
      <c r="AQ55" s="103">
        <f t="shared" si="60"/>
        <v>10500</v>
      </c>
      <c r="AR55" s="103">
        <v>948</v>
      </c>
      <c r="AS55" s="103">
        <f t="shared" si="61"/>
        <v>13344</v>
      </c>
    </row>
    <row r="56" spans="1:45">
      <c r="A56" s="118"/>
      <c r="B56" s="119"/>
      <c r="C56" s="120"/>
      <c r="D56" s="118">
        <v>45</v>
      </c>
      <c r="E56" s="119"/>
      <c r="F56" s="120"/>
      <c r="G56" s="103"/>
      <c r="H56" s="103">
        <v>2000</v>
      </c>
      <c r="I56" s="105"/>
      <c r="J56" s="105"/>
      <c r="K56" s="145">
        <v>400</v>
      </c>
      <c r="L56" s="106"/>
      <c r="M56" s="106">
        <f t="shared" si="43"/>
        <v>400</v>
      </c>
      <c r="N56" s="105"/>
      <c r="O56" s="103"/>
      <c r="P56" s="146"/>
      <c r="Q56" s="108">
        <f t="shared" si="16"/>
        <v>400</v>
      </c>
      <c r="R56" s="105"/>
      <c r="S56" s="103"/>
      <c r="T56" s="117"/>
      <c r="U56" s="117">
        <f t="shared" si="18"/>
        <v>400</v>
      </c>
      <c r="V56" s="110"/>
      <c r="W56" s="110"/>
      <c r="X56" s="103">
        <f t="shared" si="4"/>
        <v>0</v>
      </c>
      <c r="Y56" s="103">
        <v>45</v>
      </c>
      <c r="Z56" s="103"/>
      <c r="AA56" s="111"/>
      <c r="AB56" s="111"/>
      <c r="AC56" s="113">
        <f>SUM(AC40:AC55)</f>
        <v>186600</v>
      </c>
      <c r="AD56" s="103"/>
      <c r="AE56" s="113">
        <f>SUM(AE40:AE55)</f>
        <v>42660</v>
      </c>
      <c r="AF56" s="114"/>
      <c r="AG56" s="107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</row>
    <row r="57" spans="1:45">
      <c r="A57" s="118">
        <v>1</v>
      </c>
      <c r="B57" s="103" t="s">
        <v>495</v>
      </c>
      <c r="C57" s="120" t="s">
        <v>496</v>
      </c>
      <c r="D57" s="118">
        <v>6</v>
      </c>
      <c r="E57" s="119"/>
      <c r="F57" s="120"/>
      <c r="G57" s="103" t="s">
        <v>211</v>
      </c>
      <c r="H57" s="103">
        <v>2000</v>
      </c>
      <c r="I57" s="105"/>
      <c r="J57" s="105">
        <f>V57*1.1</f>
        <v>2860</v>
      </c>
      <c r="K57" s="145">
        <v>400</v>
      </c>
      <c r="L57" s="106">
        <v>2800</v>
      </c>
      <c r="M57" s="106">
        <f t="shared" si="43"/>
        <v>3200</v>
      </c>
      <c r="N57" s="107">
        <v>3800</v>
      </c>
      <c r="O57" s="103">
        <f>V57*1.15</f>
        <v>2990</v>
      </c>
      <c r="P57" s="146">
        <v>3000</v>
      </c>
      <c r="Q57" s="108">
        <f t="shared" si="16"/>
        <v>3400</v>
      </c>
      <c r="R57" s="107">
        <v>4000</v>
      </c>
      <c r="S57" s="103">
        <f>V57*1.2</f>
        <v>3120</v>
      </c>
      <c r="T57" s="109">
        <v>3200</v>
      </c>
      <c r="U57" s="109">
        <f t="shared" si="18"/>
        <v>3600</v>
      </c>
      <c r="V57" s="110">
        <v>2600</v>
      </c>
      <c r="W57" s="110">
        <v>0</v>
      </c>
      <c r="X57" s="103">
        <f t="shared" si="4"/>
        <v>2600</v>
      </c>
      <c r="Y57" s="103">
        <v>6</v>
      </c>
      <c r="Z57" s="103">
        <v>2600</v>
      </c>
      <c r="AA57" s="111">
        <v>640</v>
      </c>
      <c r="AB57" s="112">
        <f>Z57+AA57</f>
        <v>3240</v>
      </c>
      <c r="AC57" s="113">
        <f>AB57*Y57</f>
        <v>19440</v>
      </c>
      <c r="AD57" s="103">
        <v>948</v>
      </c>
      <c r="AE57" s="113">
        <f>AD57*Y57</f>
        <v>5688</v>
      </c>
      <c r="AF57" s="114"/>
      <c r="AG57" s="107">
        <v>1740</v>
      </c>
      <c r="AH57" s="103">
        <v>200</v>
      </c>
      <c r="AI57" s="103">
        <v>0</v>
      </c>
      <c r="AJ57" s="103">
        <v>640</v>
      </c>
      <c r="AK57" s="103">
        <v>200</v>
      </c>
      <c r="AL57" s="103">
        <v>320</v>
      </c>
      <c r="AM57" s="103">
        <v>0</v>
      </c>
      <c r="AN57" s="103">
        <v>100</v>
      </c>
      <c r="AO57" s="103">
        <f>AP57-AG57-AH57-AI57-AJ57-AK57-AL57-AM57-100</f>
        <v>100</v>
      </c>
      <c r="AP57" s="103">
        <v>3300</v>
      </c>
      <c r="AQ57" s="103">
        <f>AP57*Y57</f>
        <v>19800</v>
      </c>
      <c r="AR57" s="103">
        <v>948</v>
      </c>
      <c r="AS57" s="103">
        <f>AQ57+AR57*Y57</f>
        <v>25488</v>
      </c>
    </row>
    <row r="58" spans="1:45">
      <c r="A58" s="118">
        <v>2</v>
      </c>
      <c r="B58" s="103"/>
      <c r="C58" s="120" t="s">
        <v>107</v>
      </c>
      <c r="D58" s="118">
        <v>3</v>
      </c>
      <c r="E58" s="119"/>
      <c r="F58" s="120"/>
      <c r="G58" s="103" t="s">
        <v>211</v>
      </c>
      <c r="H58" s="103">
        <v>2000</v>
      </c>
      <c r="I58" s="105"/>
      <c r="J58" s="105">
        <f>V58*1.1</f>
        <v>2860</v>
      </c>
      <c r="K58" s="145">
        <v>400</v>
      </c>
      <c r="L58" s="106">
        <v>2800</v>
      </c>
      <c r="M58" s="106">
        <f t="shared" si="43"/>
        <v>3200</v>
      </c>
      <c r="N58" s="105"/>
      <c r="O58" s="103">
        <f>V58*1.15</f>
        <v>2990</v>
      </c>
      <c r="P58" s="146">
        <v>3000</v>
      </c>
      <c r="Q58" s="108">
        <f t="shared" si="16"/>
        <v>3400</v>
      </c>
      <c r="R58" s="105"/>
      <c r="S58" s="103">
        <f>V58*1.2</f>
        <v>3120</v>
      </c>
      <c r="T58" s="109">
        <v>3200</v>
      </c>
      <c r="U58" s="109">
        <f t="shared" si="18"/>
        <v>3600</v>
      </c>
      <c r="V58" s="110">
        <v>2600</v>
      </c>
      <c r="W58" s="110">
        <v>400</v>
      </c>
      <c r="X58" s="103">
        <f t="shared" si="4"/>
        <v>3000</v>
      </c>
      <c r="Y58" s="103">
        <v>3</v>
      </c>
      <c r="Z58" s="103">
        <v>2600</v>
      </c>
      <c r="AA58" s="111">
        <v>640</v>
      </c>
      <c r="AB58" s="112">
        <f>Z58+AA58</f>
        <v>3240</v>
      </c>
      <c r="AC58" s="113">
        <f>AB58*Y58</f>
        <v>9720</v>
      </c>
      <c r="AD58" s="103">
        <v>948</v>
      </c>
      <c r="AE58" s="113">
        <f>AD58*Y58</f>
        <v>2844</v>
      </c>
      <c r="AF58" s="114"/>
      <c r="AG58" s="107">
        <v>1740</v>
      </c>
      <c r="AH58" s="103">
        <v>200</v>
      </c>
      <c r="AI58" s="103">
        <v>0</v>
      </c>
      <c r="AJ58" s="103">
        <v>640</v>
      </c>
      <c r="AK58" s="103">
        <v>200</v>
      </c>
      <c r="AL58" s="103">
        <v>320</v>
      </c>
      <c r="AM58" s="103">
        <v>0</v>
      </c>
      <c r="AN58" s="103">
        <v>100</v>
      </c>
      <c r="AO58" s="103">
        <f>AP58-AG58-AH58-AI58-AJ58-AK58-AL58-AM58-100</f>
        <v>100</v>
      </c>
      <c r="AP58" s="103">
        <v>3300</v>
      </c>
      <c r="AQ58" s="103">
        <f>AP58*Y58</f>
        <v>9900</v>
      </c>
      <c r="AR58" s="103">
        <v>948</v>
      </c>
      <c r="AS58" s="103">
        <f>AQ58+AR58*Y58</f>
        <v>12744</v>
      </c>
    </row>
    <row r="59" spans="1:45">
      <c r="A59" s="118"/>
      <c r="B59" s="118" t="s">
        <v>461</v>
      </c>
      <c r="C59" s="120"/>
      <c r="D59" s="118">
        <v>9</v>
      </c>
      <c r="E59" s="119"/>
      <c r="F59" s="120"/>
      <c r="G59" s="103"/>
      <c r="H59" s="103">
        <v>2000</v>
      </c>
      <c r="I59" s="105"/>
      <c r="J59" s="105"/>
      <c r="K59" s="145"/>
      <c r="L59" s="105"/>
      <c r="M59" s="106">
        <f t="shared" si="43"/>
        <v>0</v>
      </c>
      <c r="N59" s="105"/>
      <c r="O59" s="103"/>
      <c r="P59" s="146"/>
      <c r="Q59" s="108"/>
      <c r="R59" s="105"/>
      <c r="S59" s="103"/>
      <c r="T59" s="110"/>
      <c r="U59" s="110"/>
      <c r="V59" s="110"/>
      <c r="W59" s="110"/>
      <c r="X59" s="103">
        <f t="shared" si="4"/>
        <v>0</v>
      </c>
      <c r="Y59" s="103">
        <v>9</v>
      </c>
      <c r="Z59" s="103"/>
      <c r="AA59" s="111"/>
      <c r="AB59" s="111"/>
      <c r="AC59" s="113">
        <f>SUM(AC57:AC58)</f>
        <v>29160</v>
      </c>
      <c r="AD59" s="103"/>
      <c r="AE59" s="113">
        <f>SUM(AE57:AE58)</f>
        <v>8532</v>
      </c>
      <c r="AF59" s="114"/>
      <c r="AG59" s="107"/>
      <c r="AH59" s="103"/>
      <c r="AI59" s="103"/>
      <c r="AJ59" s="103"/>
      <c r="AK59" s="103"/>
      <c r="AL59" s="103"/>
      <c r="AM59" s="103"/>
      <c r="AN59" s="103"/>
      <c r="AO59" s="103"/>
      <c r="AP59" s="103"/>
      <c r="AQ59" s="103">
        <f t="shared" ref="AQ59:AS59" si="62">SUM(AQ4:AQ58)</f>
        <v>1066040</v>
      </c>
      <c r="AR59" s="103">
        <f t="shared" si="62"/>
        <v>39816</v>
      </c>
      <c r="AS59" s="103">
        <f t="shared" si="62"/>
        <v>1263224</v>
      </c>
    </row>
    <row r="60" spans="1:45">
      <c r="A60" s="125"/>
      <c r="B60" s="126" t="s">
        <v>497</v>
      </c>
      <c r="C60" s="127"/>
      <c r="D60" s="126">
        <f>D59+D56+D39+D34+D25+D22+D15+E15+F15</f>
        <v>214</v>
      </c>
      <c r="E60" s="128"/>
      <c r="F60" s="127"/>
      <c r="G60" s="129"/>
      <c r="H60" s="103">
        <v>2000</v>
      </c>
      <c r="I60" s="103"/>
      <c r="J60" s="103"/>
      <c r="K60" s="147"/>
      <c r="L60" s="103"/>
      <c r="M60" s="106">
        <f t="shared" si="43"/>
        <v>0</v>
      </c>
      <c r="N60" s="103"/>
      <c r="O60" s="103"/>
      <c r="P60" s="103"/>
      <c r="Q60" s="103"/>
      <c r="R60" s="103"/>
      <c r="S60" s="103"/>
      <c r="T60" s="110"/>
      <c r="U60" s="110"/>
      <c r="V60" s="110"/>
      <c r="W60" s="110"/>
      <c r="X60" s="103"/>
      <c r="Y60" s="129">
        <f>Y59+Y56+Y39+Y34+Y25+Y22+Y15</f>
        <v>208</v>
      </c>
      <c r="Z60" s="129"/>
      <c r="AA60" s="129"/>
      <c r="AB60" s="130"/>
      <c r="AC60" s="131">
        <f>AC59+AC56+AC39+AC34+AC25+AC22+AC15</f>
        <v>1056920</v>
      </c>
      <c r="AD60" s="129"/>
      <c r="AE60" s="131">
        <f>AE59+AE56+AE39+AE34+AE25+AE22+AE15</f>
        <v>197184</v>
      </c>
      <c r="AF60" s="132">
        <f>AC60+AE60</f>
        <v>1254104</v>
      </c>
      <c r="AG60" s="133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</row>
  </sheetData>
  <autoFilter xmlns:etc="http://www.wps.cn/officeDocument/2017/etCustomData" ref="A3:AS60" etc:filterBottomFollowUsedRange="0">
    <extLst/>
  </autoFilter>
  <mergeCells count="89">
    <mergeCell ref="A1:AE1"/>
    <mergeCell ref="AG1:AP1"/>
    <mergeCell ref="V2:X2"/>
    <mergeCell ref="Z2:AE2"/>
    <mergeCell ref="AG2:AH2"/>
    <mergeCell ref="AI2:AJ2"/>
    <mergeCell ref="AL2:AM2"/>
    <mergeCell ref="AN2:AO2"/>
    <mergeCell ref="A15:C15"/>
    <mergeCell ref="D16:F16"/>
    <mergeCell ref="D17:F17"/>
    <mergeCell ref="D18:F18"/>
    <mergeCell ref="D19:F19"/>
    <mergeCell ref="D20:F20"/>
    <mergeCell ref="D21:F21"/>
    <mergeCell ref="A22:C22"/>
    <mergeCell ref="D22:F22"/>
    <mergeCell ref="A25:C25"/>
    <mergeCell ref="D25:F25"/>
    <mergeCell ref="A34:C34"/>
    <mergeCell ref="D34:F34"/>
    <mergeCell ref="D35:F35"/>
    <mergeCell ref="D36:F36"/>
    <mergeCell ref="D37:F37"/>
    <mergeCell ref="D38:F38"/>
    <mergeCell ref="A39:C39"/>
    <mergeCell ref="D39:F39"/>
    <mergeCell ref="B40:C40"/>
    <mergeCell ref="D40:F40"/>
    <mergeCell ref="D41:F41"/>
    <mergeCell ref="D42:F42"/>
    <mergeCell ref="D43:F43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B54:C54"/>
    <mergeCell ref="D54:F54"/>
    <mergeCell ref="B55:C55"/>
    <mergeCell ref="D55:F55"/>
    <mergeCell ref="B56:C56"/>
    <mergeCell ref="D56:F56"/>
    <mergeCell ref="D57:F57"/>
    <mergeCell ref="D58:F58"/>
    <mergeCell ref="B59:C59"/>
    <mergeCell ref="D59:F59"/>
    <mergeCell ref="B60:C60"/>
    <mergeCell ref="D60:F60"/>
    <mergeCell ref="B2:B3"/>
    <mergeCell ref="B4:B14"/>
    <mergeCell ref="B16:B21"/>
    <mergeCell ref="B23:B24"/>
    <mergeCell ref="B26:B33"/>
    <mergeCell ref="B35:B38"/>
    <mergeCell ref="B41:B43"/>
    <mergeCell ref="B45:B47"/>
    <mergeCell ref="B48:B49"/>
    <mergeCell ref="B50:B53"/>
    <mergeCell ref="B57:B58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Y2:Y3"/>
    <mergeCell ref="AK2:AK3"/>
    <mergeCell ref="AP2:AP3"/>
    <mergeCell ref="AQ2:AQ3"/>
    <mergeCell ref="AR2:AR3"/>
    <mergeCell ref="AS2:AS3"/>
  </mergeCell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 tint="-0.0999786370433668"/>
  </sheetPr>
  <dimension ref="A1:AN60"/>
  <sheetViews>
    <sheetView zoomScale="120" zoomScaleNormal="120" workbookViewId="0">
      <pane ySplit="3" topLeftCell="A30" activePane="bottomLeft" state="frozen"/>
      <selection/>
      <selection pane="bottomLeft" activeCell="K8" sqref="K8"/>
    </sheetView>
  </sheetViews>
  <sheetFormatPr defaultColWidth="8.87272727272727" defaultRowHeight="14"/>
  <cols>
    <col min="1" max="1" width="4.87272727272727" customWidth="1"/>
    <col min="2" max="2" width="11.8727272727273" customWidth="1"/>
    <col min="3" max="3" width="26" customWidth="1"/>
    <col min="4" max="4" width="8.87272727272727" customWidth="1"/>
    <col min="5" max="6" width="8.87272727272727" hidden="1" customWidth="1"/>
    <col min="7" max="7" width="12.1272727272727" customWidth="1"/>
    <col min="8" max="8" width="10.6272727272727" customWidth="1"/>
    <col min="9" max="9" width="7.5" customWidth="1"/>
    <col min="10" max="10" width="9" customWidth="1"/>
    <col min="11" max="11" width="9.87272727272727" customWidth="1"/>
    <col min="12" max="12" width="6.62727272727273" style="70" customWidth="1"/>
    <col min="13" max="13" width="7.12727272727273" customWidth="1"/>
    <col min="14" max="14" width="7.5" customWidth="1"/>
    <col min="15" max="15" width="8.12727272727273" style="70" customWidth="1"/>
    <col min="16" max="16" width="12.1272727272727" style="71" customWidth="1"/>
    <col min="17" max="17" width="17.7545454545455" style="71" customWidth="1"/>
    <col min="18" max="18" width="8.62727272727273" style="71" hidden="1" customWidth="1"/>
    <col min="19" max="19" width="10.6272727272727" style="70" hidden="1" customWidth="1"/>
    <col min="20" max="23" width="8.87272727272727" hidden="1" customWidth="1"/>
    <col min="24" max="24" width="16.2545454545455" hidden="1" customWidth="1"/>
    <col min="25" max="25" width="8.87272727272727" hidden="1" customWidth="1"/>
    <col min="26" max="26" width="11.5" hidden="1" customWidth="1"/>
    <col min="27" max="27" width="8.87272727272727" hidden="1" customWidth="1"/>
    <col min="28" max="28" width="8.87272727272727" style="72" hidden="1" customWidth="1"/>
    <col min="29" max="40" width="8.87272727272727" hidden="1" customWidth="1"/>
  </cols>
  <sheetData>
    <row r="1" ht="23" spans="1:40">
      <c r="A1" s="73" t="s">
        <v>429</v>
      </c>
      <c r="B1" s="74"/>
      <c r="C1" s="74"/>
      <c r="D1" s="74"/>
      <c r="E1" s="74"/>
      <c r="F1" s="74"/>
      <c r="G1" s="74"/>
      <c r="H1" s="75"/>
      <c r="I1" s="75"/>
      <c r="J1" s="75"/>
      <c r="K1" s="75"/>
      <c r="L1" s="75"/>
      <c r="M1" s="75"/>
      <c r="N1" s="75"/>
      <c r="O1" s="75"/>
      <c r="P1" s="76"/>
      <c r="Q1" s="76"/>
      <c r="R1" s="76"/>
      <c r="S1" s="75"/>
      <c r="T1" s="74"/>
      <c r="U1" s="74"/>
      <c r="V1" s="74"/>
      <c r="W1" s="74"/>
      <c r="X1" s="74"/>
      <c r="Y1" s="74"/>
      <c r="Z1" s="74"/>
      <c r="AA1" s="77"/>
      <c r="AB1" s="78" t="s">
        <v>430</v>
      </c>
      <c r="AC1" s="79"/>
      <c r="AD1" s="79"/>
      <c r="AE1" s="79"/>
      <c r="AF1" s="79"/>
      <c r="AG1" s="79"/>
      <c r="AH1" s="79"/>
      <c r="AI1" s="79"/>
      <c r="AJ1" s="79"/>
      <c r="AK1" s="79"/>
      <c r="AL1" s="80"/>
      <c r="AM1" s="80"/>
      <c r="AN1" s="81"/>
    </row>
    <row r="2" ht="33.95" customHeight="1" spans="1:40">
      <c r="A2" s="82"/>
      <c r="B2" s="83" t="s">
        <v>2</v>
      </c>
      <c r="C2" s="83" t="s">
        <v>3</v>
      </c>
      <c r="D2" s="84" t="s">
        <v>431</v>
      </c>
      <c r="E2" s="84" t="s">
        <v>432</v>
      </c>
      <c r="F2" s="84" t="s">
        <v>433</v>
      </c>
      <c r="G2" s="83" t="s">
        <v>434</v>
      </c>
      <c r="H2" s="85" t="s">
        <v>436</v>
      </c>
      <c r="I2" s="84" t="s">
        <v>437</v>
      </c>
      <c r="J2" s="86" t="s">
        <v>498</v>
      </c>
      <c r="K2" s="85" t="s">
        <v>441</v>
      </c>
      <c r="L2" s="84" t="s">
        <v>442</v>
      </c>
      <c r="M2" s="86" t="s">
        <v>499</v>
      </c>
      <c r="N2" s="85" t="s">
        <v>444</v>
      </c>
      <c r="O2" s="84" t="s">
        <v>445</v>
      </c>
      <c r="P2" s="86" t="s">
        <v>500</v>
      </c>
      <c r="Q2" s="87" t="s">
        <v>447</v>
      </c>
      <c r="R2" s="87"/>
      <c r="S2" s="88"/>
      <c r="T2" s="83" t="s">
        <v>448</v>
      </c>
      <c r="U2" s="89" t="s">
        <v>449</v>
      </c>
      <c r="V2" s="90"/>
      <c r="W2" s="90"/>
      <c r="X2" s="90"/>
      <c r="Y2" s="90"/>
      <c r="Z2" s="91"/>
      <c r="AA2" s="92"/>
      <c r="AB2" s="93" t="s">
        <v>450</v>
      </c>
      <c r="AC2" s="82"/>
      <c r="AD2" s="82" t="s">
        <v>451</v>
      </c>
      <c r="AE2" s="82"/>
      <c r="AF2" s="83" t="s">
        <v>452</v>
      </c>
      <c r="AG2" s="82" t="s">
        <v>453</v>
      </c>
      <c r="AH2" s="82"/>
      <c r="AI2" s="82" t="s">
        <v>454</v>
      </c>
      <c r="AJ2" s="82"/>
      <c r="AK2" s="83" t="s">
        <v>455</v>
      </c>
      <c r="AL2" s="94" t="s">
        <v>456</v>
      </c>
      <c r="AM2" s="95" t="s">
        <v>457</v>
      </c>
      <c r="AN2" s="94" t="s">
        <v>458</v>
      </c>
    </row>
    <row r="3" ht="42" spans="1:40">
      <c r="A3" s="83" t="s">
        <v>1</v>
      </c>
      <c r="B3" s="83"/>
      <c r="C3" s="83"/>
      <c r="D3" s="96"/>
      <c r="E3" s="96"/>
      <c r="F3" s="96"/>
      <c r="G3" s="83"/>
      <c r="H3" s="97"/>
      <c r="I3" s="96"/>
      <c r="J3" s="98"/>
      <c r="K3" s="97"/>
      <c r="L3" s="96"/>
      <c r="M3" s="98"/>
      <c r="N3" s="97"/>
      <c r="O3" s="96"/>
      <c r="P3" s="98"/>
      <c r="Q3" s="87" t="s">
        <v>459</v>
      </c>
      <c r="R3" s="99" t="s">
        <v>460</v>
      </c>
      <c r="S3" s="100" t="s">
        <v>461</v>
      </c>
      <c r="T3" s="83"/>
      <c r="U3" s="83" t="s">
        <v>462</v>
      </c>
      <c r="V3" s="83" t="s">
        <v>451</v>
      </c>
      <c r="W3" s="83" t="s">
        <v>463</v>
      </c>
      <c r="X3" s="101" t="s">
        <v>464</v>
      </c>
      <c r="Y3" s="83" t="s">
        <v>465</v>
      </c>
      <c r="Z3" s="83" t="s">
        <v>466</v>
      </c>
      <c r="AA3" s="102"/>
      <c r="AB3" s="93" t="s">
        <v>459</v>
      </c>
      <c r="AC3" s="82" t="s">
        <v>467</v>
      </c>
      <c r="AD3" s="83" t="s">
        <v>468</v>
      </c>
      <c r="AE3" s="83" t="s">
        <v>469</v>
      </c>
      <c r="AF3" s="83"/>
      <c r="AG3" s="83" t="s">
        <v>470</v>
      </c>
      <c r="AH3" s="83" t="s">
        <v>471</v>
      </c>
      <c r="AI3" s="83" t="s">
        <v>472</v>
      </c>
      <c r="AJ3" s="83" t="s">
        <v>473</v>
      </c>
      <c r="AK3" s="82"/>
      <c r="AL3" s="94"/>
      <c r="AM3" s="94"/>
      <c r="AN3" s="94"/>
    </row>
    <row r="4" spans="1:40">
      <c r="A4" s="103">
        <v>1</v>
      </c>
      <c r="B4" s="104" t="s">
        <v>474</v>
      </c>
      <c r="C4" s="103" t="s">
        <v>475</v>
      </c>
      <c r="D4" s="103">
        <v>3</v>
      </c>
      <c r="E4" s="103">
        <v>3</v>
      </c>
      <c r="F4" s="103">
        <v>3</v>
      </c>
      <c r="G4" s="103" t="s">
        <v>476</v>
      </c>
      <c r="H4" s="105">
        <v>9000</v>
      </c>
      <c r="I4" s="105">
        <f>Q4*1.1</f>
        <v>11000</v>
      </c>
      <c r="J4" s="106">
        <v>10000</v>
      </c>
      <c r="K4" s="107">
        <v>9500</v>
      </c>
      <c r="L4" s="103">
        <f>Q4*1.15</f>
        <v>11500</v>
      </c>
      <c r="M4" s="108">
        <v>10500</v>
      </c>
      <c r="N4" s="107">
        <v>10000</v>
      </c>
      <c r="O4" s="103">
        <f>Q4*1.2</f>
        <v>12000</v>
      </c>
      <c r="P4" s="109">
        <v>11000</v>
      </c>
      <c r="Q4" s="110">
        <v>10000</v>
      </c>
      <c r="R4" s="110">
        <v>700</v>
      </c>
      <c r="S4" s="103">
        <f>SUM(Q4:R4)</f>
        <v>10700</v>
      </c>
      <c r="T4" s="103">
        <v>9</v>
      </c>
      <c r="U4" s="103">
        <v>10000</v>
      </c>
      <c r="V4" s="111">
        <v>640</v>
      </c>
      <c r="W4" s="112">
        <f t="shared" ref="W4:W14" si="0">U4+V4</f>
        <v>10640</v>
      </c>
      <c r="X4" s="113">
        <f t="shared" ref="X4:X14" si="1">W4*T4</f>
        <v>95760</v>
      </c>
      <c r="Y4" s="103">
        <v>948</v>
      </c>
      <c r="Z4" s="113">
        <f t="shared" ref="Z4:Z14" si="2">Y4*T4</f>
        <v>8532</v>
      </c>
      <c r="AA4" s="114"/>
      <c r="AB4" s="107">
        <v>1740</v>
      </c>
      <c r="AC4" s="103">
        <v>2500</v>
      </c>
      <c r="AD4" s="103">
        <v>0</v>
      </c>
      <c r="AE4" s="103">
        <v>640</v>
      </c>
      <c r="AF4" s="103">
        <v>200</v>
      </c>
      <c r="AG4" s="103">
        <v>3000</v>
      </c>
      <c r="AH4" s="103">
        <v>1500</v>
      </c>
      <c r="AI4" s="103">
        <v>100</v>
      </c>
      <c r="AJ4" s="103">
        <v>1000</v>
      </c>
      <c r="AK4" s="103">
        <f>SUM(AB4:AJ4)</f>
        <v>10680</v>
      </c>
      <c r="AL4" s="103">
        <f t="shared" ref="AL4:AL14" si="3">AK4*T4</f>
        <v>96120</v>
      </c>
      <c r="AM4" s="103">
        <v>948</v>
      </c>
      <c r="AN4" s="103">
        <f t="shared" ref="AN4:AN14" si="4">AL4+AM4*T4</f>
        <v>104652</v>
      </c>
    </row>
    <row r="5" spans="1:40">
      <c r="A5" s="103">
        <v>2</v>
      </c>
      <c r="B5" s="115"/>
      <c r="C5" s="103" t="s">
        <v>118</v>
      </c>
      <c r="D5" s="103">
        <v>3</v>
      </c>
      <c r="E5" s="103">
        <v>3</v>
      </c>
      <c r="F5" s="103">
        <v>3</v>
      </c>
      <c r="G5" s="103" t="s">
        <v>477</v>
      </c>
      <c r="H5" s="105">
        <v>6500</v>
      </c>
      <c r="I5" s="105">
        <f t="shared" ref="I5:I14" si="5">Q5*1.1</f>
        <v>6930</v>
      </c>
      <c r="J5" s="106">
        <v>6700</v>
      </c>
      <c r="K5" s="107">
        <v>7000</v>
      </c>
      <c r="L5" s="103">
        <f t="shared" ref="L5:L14" si="6">Q5*1.15</f>
        <v>7245</v>
      </c>
      <c r="M5" s="108">
        <v>7100</v>
      </c>
      <c r="N5" s="107">
        <v>7500</v>
      </c>
      <c r="O5" s="103">
        <f t="shared" ref="O5:O14" si="7">Q5*1.2</f>
        <v>7560</v>
      </c>
      <c r="P5" s="106">
        <v>7500</v>
      </c>
      <c r="Q5" s="103">
        <v>6300</v>
      </c>
      <c r="R5" s="103">
        <v>900</v>
      </c>
      <c r="S5" s="103">
        <f t="shared" ref="S5:S33" si="8">SUM(Q5:R5)</f>
        <v>7200</v>
      </c>
      <c r="T5" s="103">
        <v>9</v>
      </c>
      <c r="U5" s="103">
        <v>7000</v>
      </c>
      <c r="V5" s="111">
        <v>640</v>
      </c>
      <c r="W5" s="112">
        <f t="shared" si="0"/>
        <v>7640</v>
      </c>
      <c r="X5" s="113">
        <f t="shared" si="1"/>
        <v>68760</v>
      </c>
      <c r="Y5" s="103">
        <v>948</v>
      </c>
      <c r="Z5" s="113">
        <f t="shared" si="2"/>
        <v>8532</v>
      </c>
      <c r="AA5" s="114"/>
      <c r="AB5" s="107">
        <v>1740</v>
      </c>
      <c r="AC5" s="103">
        <v>2000</v>
      </c>
      <c r="AD5" s="103">
        <v>0</v>
      </c>
      <c r="AE5" s="103">
        <v>640</v>
      </c>
      <c r="AF5" s="103">
        <v>200</v>
      </c>
      <c r="AG5" s="103">
        <v>1500</v>
      </c>
      <c r="AH5" s="103">
        <v>0</v>
      </c>
      <c r="AI5" s="103">
        <v>100</v>
      </c>
      <c r="AJ5" s="103">
        <v>1500</v>
      </c>
      <c r="AK5" s="103">
        <f>SUM(AB5:AJ5)</f>
        <v>7680</v>
      </c>
      <c r="AL5" s="103">
        <f t="shared" si="3"/>
        <v>69120</v>
      </c>
      <c r="AM5" s="103">
        <v>948</v>
      </c>
      <c r="AN5" s="103">
        <f t="shared" si="4"/>
        <v>77652</v>
      </c>
    </row>
    <row r="6" spans="1:40">
      <c r="A6" s="103">
        <v>3</v>
      </c>
      <c r="B6" s="115"/>
      <c r="C6" s="116" t="s">
        <v>219</v>
      </c>
      <c r="D6" s="103">
        <v>3</v>
      </c>
      <c r="E6" s="103">
        <v>3</v>
      </c>
      <c r="F6" s="103">
        <v>3</v>
      </c>
      <c r="G6" s="103" t="s">
        <v>477</v>
      </c>
      <c r="H6" s="105">
        <v>5500</v>
      </c>
      <c r="I6" s="105">
        <f t="shared" si="5"/>
        <v>6050</v>
      </c>
      <c r="J6" s="106">
        <v>6000</v>
      </c>
      <c r="K6" s="107">
        <v>6000</v>
      </c>
      <c r="L6" s="103">
        <f t="shared" si="6"/>
        <v>6325</v>
      </c>
      <c r="M6" s="108">
        <v>6200</v>
      </c>
      <c r="N6" s="107">
        <v>6500</v>
      </c>
      <c r="O6" s="103">
        <f t="shared" si="7"/>
        <v>6600</v>
      </c>
      <c r="P6" s="117">
        <v>6500</v>
      </c>
      <c r="Q6" s="110">
        <v>5500</v>
      </c>
      <c r="R6" s="110">
        <v>400</v>
      </c>
      <c r="S6" s="103">
        <f t="shared" si="8"/>
        <v>5900</v>
      </c>
      <c r="T6" s="103">
        <v>9</v>
      </c>
      <c r="U6" s="103">
        <v>5800</v>
      </c>
      <c r="V6" s="111">
        <v>640</v>
      </c>
      <c r="W6" s="112">
        <f t="shared" si="0"/>
        <v>6440</v>
      </c>
      <c r="X6" s="113">
        <f t="shared" si="1"/>
        <v>57960</v>
      </c>
      <c r="Y6" s="103">
        <v>948</v>
      </c>
      <c r="Z6" s="113">
        <f t="shared" si="2"/>
        <v>8532</v>
      </c>
      <c r="AA6" s="114"/>
      <c r="AB6" s="107">
        <v>1740</v>
      </c>
      <c r="AC6" s="103">
        <v>1500</v>
      </c>
      <c r="AD6" s="103">
        <v>0</v>
      </c>
      <c r="AE6" s="103">
        <v>640</v>
      </c>
      <c r="AF6" s="103">
        <v>200</v>
      </c>
      <c r="AG6" s="103">
        <v>1200</v>
      </c>
      <c r="AH6" s="103">
        <v>0</v>
      </c>
      <c r="AI6" s="103">
        <v>100</v>
      </c>
      <c r="AJ6" s="103">
        <f t="shared" ref="AJ6:AJ14" si="9">AK6-AB6-AC6-AD6-AE6-AF6-AG6-AH6-100</f>
        <v>1120</v>
      </c>
      <c r="AK6" s="103">
        <v>6500</v>
      </c>
      <c r="AL6" s="103">
        <f t="shared" si="3"/>
        <v>58500</v>
      </c>
      <c r="AM6" s="103">
        <v>948</v>
      </c>
      <c r="AN6" s="103">
        <f t="shared" si="4"/>
        <v>67032</v>
      </c>
    </row>
    <row r="7" spans="1:40">
      <c r="A7" s="103">
        <v>4</v>
      </c>
      <c r="B7" s="115"/>
      <c r="C7" s="116" t="s">
        <v>220</v>
      </c>
      <c r="D7" s="103">
        <v>3</v>
      </c>
      <c r="E7" s="103">
        <v>3</v>
      </c>
      <c r="F7" s="103">
        <v>3</v>
      </c>
      <c r="G7" s="103" t="s">
        <v>477</v>
      </c>
      <c r="H7" s="105">
        <v>4500</v>
      </c>
      <c r="I7" s="105">
        <f t="shared" si="5"/>
        <v>4950</v>
      </c>
      <c r="J7" s="106">
        <v>4900</v>
      </c>
      <c r="K7" s="107">
        <v>5500</v>
      </c>
      <c r="L7" s="103">
        <f t="shared" si="6"/>
        <v>5175</v>
      </c>
      <c r="M7" s="108">
        <v>5100</v>
      </c>
      <c r="N7" s="107">
        <v>6000</v>
      </c>
      <c r="O7" s="103">
        <f t="shared" si="7"/>
        <v>5400</v>
      </c>
      <c r="P7" s="109">
        <v>5500</v>
      </c>
      <c r="Q7" s="110">
        <v>4500</v>
      </c>
      <c r="R7" s="110"/>
      <c r="S7" s="103">
        <f t="shared" si="8"/>
        <v>4500</v>
      </c>
      <c r="T7" s="103">
        <v>9</v>
      </c>
      <c r="U7" s="103">
        <v>4500</v>
      </c>
      <c r="V7" s="111">
        <v>640</v>
      </c>
      <c r="W7" s="112">
        <f t="shared" si="0"/>
        <v>5140</v>
      </c>
      <c r="X7" s="113">
        <f t="shared" si="1"/>
        <v>46260</v>
      </c>
      <c r="Y7" s="103">
        <v>948</v>
      </c>
      <c r="Z7" s="113">
        <f t="shared" si="2"/>
        <v>8532</v>
      </c>
      <c r="AA7" s="114"/>
      <c r="AB7" s="107">
        <v>1740</v>
      </c>
      <c r="AC7" s="103">
        <v>1000</v>
      </c>
      <c r="AD7" s="103">
        <v>0</v>
      </c>
      <c r="AE7" s="103">
        <v>640</v>
      </c>
      <c r="AF7" s="103">
        <v>200</v>
      </c>
      <c r="AG7" s="103">
        <v>1000</v>
      </c>
      <c r="AH7" s="103">
        <v>0</v>
      </c>
      <c r="AI7" s="103">
        <v>100</v>
      </c>
      <c r="AJ7" s="103">
        <f t="shared" si="9"/>
        <v>520</v>
      </c>
      <c r="AK7" s="103">
        <v>5200</v>
      </c>
      <c r="AL7" s="103">
        <f t="shared" si="3"/>
        <v>46800</v>
      </c>
      <c r="AM7" s="103">
        <v>948</v>
      </c>
      <c r="AN7" s="103">
        <f t="shared" si="4"/>
        <v>55332</v>
      </c>
    </row>
    <row r="8" spans="1:40">
      <c r="A8" s="103">
        <v>5</v>
      </c>
      <c r="B8" s="115"/>
      <c r="C8" s="103" t="s">
        <v>221</v>
      </c>
      <c r="D8" s="103">
        <v>3</v>
      </c>
      <c r="E8" s="103">
        <v>3</v>
      </c>
      <c r="F8" s="103">
        <v>3</v>
      </c>
      <c r="G8" s="103" t="s">
        <v>477</v>
      </c>
      <c r="H8" s="105">
        <v>4500</v>
      </c>
      <c r="I8" s="105">
        <f t="shared" si="5"/>
        <v>5500</v>
      </c>
      <c r="J8" s="106">
        <v>5500</v>
      </c>
      <c r="K8" s="107">
        <v>6000</v>
      </c>
      <c r="L8" s="103">
        <f t="shared" si="6"/>
        <v>5750</v>
      </c>
      <c r="M8" s="108">
        <v>5800</v>
      </c>
      <c r="N8" s="107">
        <v>6500</v>
      </c>
      <c r="O8" s="103">
        <f t="shared" si="7"/>
        <v>6000</v>
      </c>
      <c r="P8" s="109">
        <v>6100</v>
      </c>
      <c r="Q8" s="110">
        <v>5000</v>
      </c>
      <c r="R8" s="110">
        <v>300</v>
      </c>
      <c r="S8" s="103">
        <f t="shared" si="8"/>
        <v>5300</v>
      </c>
      <c r="T8" s="103">
        <v>9</v>
      </c>
      <c r="U8" s="103">
        <v>4800</v>
      </c>
      <c r="V8" s="111">
        <v>640</v>
      </c>
      <c r="W8" s="112">
        <f t="shared" si="0"/>
        <v>5440</v>
      </c>
      <c r="X8" s="113">
        <f t="shared" si="1"/>
        <v>48960</v>
      </c>
      <c r="Y8" s="103">
        <v>948</v>
      </c>
      <c r="Z8" s="113">
        <f t="shared" si="2"/>
        <v>8532</v>
      </c>
      <c r="AA8" s="114"/>
      <c r="AB8" s="107">
        <v>1740</v>
      </c>
      <c r="AC8" s="103">
        <v>1000</v>
      </c>
      <c r="AD8" s="103">
        <v>0</v>
      </c>
      <c r="AE8" s="103">
        <v>640</v>
      </c>
      <c r="AF8" s="103">
        <v>200</v>
      </c>
      <c r="AG8" s="103">
        <v>1000</v>
      </c>
      <c r="AH8" s="103">
        <v>0</v>
      </c>
      <c r="AI8" s="103">
        <v>100</v>
      </c>
      <c r="AJ8" s="103">
        <f t="shared" si="9"/>
        <v>770</v>
      </c>
      <c r="AK8" s="103">
        <v>5450</v>
      </c>
      <c r="AL8" s="103">
        <f t="shared" si="3"/>
        <v>49050</v>
      </c>
      <c r="AM8" s="103">
        <v>948</v>
      </c>
      <c r="AN8" s="103">
        <f t="shared" si="4"/>
        <v>57582</v>
      </c>
    </row>
    <row r="9" spans="1:40">
      <c r="A9" s="103">
        <v>6</v>
      </c>
      <c r="B9" s="115"/>
      <c r="C9" s="103" t="s">
        <v>478</v>
      </c>
      <c r="D9" s="103">
        <v>3</v>
      </c>
      <c r="E9" s="103">
        <v>3</v>
      </c>
      <c r="F9" s="103">
        <v>3</v>
      </c>
      <c r="G9" s="103" t="s">
        <v>477</v>
      </c>
      <c r="H9" s="105">
        <v>4500</v>
      </c>
      <c r="I9" s="105">
        <f t="shared" si="5"/>
        <v>5500</v>
      </c>
      <c r="J9" s="106">
        <v>5000</v>
      </c>
      <c r="K9" s="107">
        <v>5000</v>
      </c>
      <c r="L9" s="103">
        <f t="shared" si="6"/>
        <v>5750</v>
      </c>
      <c r="M9" s="108">
        <v>5800</v>
      </c>
      <c r="N9" s="107">
        <v>5500</v>
      </c>
      <c r="O9" s="103">
        <f t="shared" si="7"/>
        <v>6000</v>
      </c>
      <c r="P9" s="109">
        <v>6000</v>
      </c>
      <c r="Q9" s="110">
        <v>5000</v>
      </c>
      <c r="R9" s="110">
        <v>300</v>
      </c>
      <c r="S9" s="103">
        <f t="shared" si="8"/>
        <v>5300</v>
      </c>
      <c r="T9" s="103">
        <v>9</v>
      </c>
      <c r="U9" s="103">
        <v>5000</v>
      </c>
      <c r="V9" s="111">
        <v>640</v>
      </c>
      <c r="W9" s="112">
        <f t="shared" si="0"/>
        <v>5640</v>
      </c>
      <c r="X9" s="113">
        <f t="shared" si="1"/>
        <v>50760</v>
      </c>
      <c r="Y9" s="103">
        <v>948</v>
      </c>
      <c r="Z9" s="113">
        <f t="shared" si="2"/>
        <v>8532</v>
      </c>
      <c r="AA9" s="114"/>
      <c r="AB9" s="107">
        <v>1740</v>
      </c>
      <c r="AC9" s="103">
        <v>1000</v>
      </c>
      <c r="AD9" s="103">
        <v>0</v>
      </c>
      <c r="AE9" s="103">
        <v>640</v>
      </c>
      <c r="AF9" s="103">
        <v>200</v>
      </c>
      <c r="AG9" s="103">
        <v>1200</v>
      </c>
      <c r="AH9" s="103">
        <v>0</v>
      </c>
      <c r="AI9" s="103">
        <v>100</v>
      </c>
      <c r="AJ9" s="103">
        <f t="shared" si="9"/>
        <v>770</v>
      </c>
      <c r="AK9" s="103">
        <v>5650</v>
      </c>
      <c r="AL9" s="103">
        <f t="shared" si="3"/>
        <v>50850</v>
      </c>
      <c r="AM9" s="103">
        <v>948</v>
      </c>
      <c r="AN9" s="103">
        <f t="shared" si="4"/>
        <v>59382</v>
      </c>
    </row>
    <row r="10" spans="1:40">
      <c r="A10" s="103">
        <v>7</v>
      </c>
      <c r="B10" s="115"/>
      <c r="C10" s="103" t="s">
        <v>224</v>
      </c>
      <c r="D10" s="103">
        <v>3</v>
      </c>
      <c r="E10" s="103">
        <v>3</v>
      </c>
      <c r="F10" s="103">
        <v>0</v>
      </c>
      <c r="G10" s="103" t="s">
        <v>477</v>
      </c>
      <c r="H10" s="105">
        <v>4500</v>
      </c>
      <c r="I10" s="105">
        <f t="shared" si="5"/>
        <v>5500</v>
      </c>
      <c r="J10" s="106">
        <v>5500</v>
      </c>
      <c r="K10" s="107">
        <v>6000</v>
      </c>
      <c r="L10" s="103">
        <f t="shared" si="6"/>
        <v>5750</v>
      </c>
      <c r="M10" s="108">
        <v>5800</v>
      </c>
      <c r="N10" s="107">
        <v>6500</v>
      </c>
      <c r="O10" s="103">
        <f t="shared" si="7"/>
        <v>6000</v>
      </c>
      <c r="P10" s="109">
        <v>6100</v>
      </c>
      <c r="Q10" s="110">
        <v>5000</v>
      </c>
      <c r="R10" s="110">
        <v>300</v>
      </c>
      <c r="S10" s="103">
        <f t="shared" si="8"/>
        <v>5300</v>
      </c>
      <c r="T10" s="103">
        <v>6</v>
      </c>
      <c r="U10" s="103">
        <v>4000</v>
      </c>
      <c r="V10" s="111">
        <v>640</v>
      </c>
      <c r="W10" s="112">
        <f t="shared" si="0"/>
        <v>4640</v>
      </c>
      <c r="X10" s="113">
        <f t="shared" si="1"/>
        <v>27840</v>
      </c>
      <c r="Y10" s="103">
        <v>948</v>
      </c>
      <c r="Z10" s="113">
        <f t="shared" si="2"/>
        <v>5688</v>
      </c>
      <c r="AA10" s="114"/>
      <c r="AB10" s="107">
        <v>1740</v>
      </c>
      <c r="AC10" s="103">
        <v>800</v>
      </c>
      <c r="AD10" s="103">
        <v>0</v>
      </c>
      <c r="AE10" s="103">
        <v>640</v>
      </c>
      <c r="AF10" s="103">
        <v>200</v>
      </c>
      <c r="AG10" s="103">
        <v>460</v>
      </c>
      <c r="AH10" s="103">
        <v>0</v>
      </c>
      <c r="AI10" s="103">
        <v>100</v>
      </c>
      <c r="AJ10" s="103">
        <f t="shared" si="9"/>
        <v>710</v>
      </c>
      <c r="AK10" s="103">
        <v>4650</v>
      </c>
      <c r="AL10" s="103">
        <f t="shared" si="3"/>
        <v>27900</v>
      </c>
      <c r="AM10" s="103">
        <v>948</v>
      </c>
      <c r="AN10" s="103">
        <f t="shared" si="4"/>
        <v>33588</v>
      </c>
    </row>
    <row r="11" spans="1:40">
      <c r="A11" s="103">
        <v>8</v>
      </c>
      <c r="B11" s="115"/>
      <c r="C11" s="103" t="s">
        <v>225</v>
      </c>
      <c r="D11" s="103">
        <v>3</v>
      </c>
      <c r="E11" s="103">
        <v>3</v>
      </c>
      <c r="F11" s="103">
        <v>3</v>
      </c>
      <c r="G11" s="103" t="s">
        <v>477</v>
      </c>
      <c r="H11" s="105">
        <v>4500</v>
      </c>
      <c r="I11" s="105">
        <f t="shared" si="5"/>
        <v>6380</v>
      </c>
      <c r="J11" s="108">
        <v>6300</v>
      </c>
      <c r="K11" s="107">
        <v>6000</v>
      </c>
      <c r="L11" s="103">
        <f t="shared" si="6"/>
        <v>6670</v>
      </c>
      <c r="M11" s="108">
        <v>6600</v>
      </c>
      <c r="N11" s="107">
        <v>6500</v>
      </c>
      <c r="O11" s="103">
        <f t="shared" si="7"/>
        <v>6960</v>
      </c>
      <c r="P11" s="109">
        <v>6800</v>
      </c>
      <c r="Q11" s="110">
        <v>5800</v>
      </c>
      <c r="R11" s="110">
        <v>1400</v>
      </c>
      <c r="S11" s="103">
        <f t="shared" si="8"/>
        <v>7200</v>
      </c>
      <c r="T11" s="103">
        <v>9</v>
      </c>
      <c r="U11" s="103">
        <v>5000</v>
      </c>
      <c r="V11" s="111">
        <v>640</v>
      </c>
      <c r="W11" s="112">
        <f t="shared" si="0"/>
        <v>5640</v>
      </c>
      <c r="X11" s="113">
        <f t="shared" si="1"/>
        <v>50760</v>
      </c>
      <c r="Y11" s="103">
        <v>948</v>
      </c>
      <c r="Z11" s="113">
        <f t="shared" si="2"/>
        <v>8532</v>
      </c>
      <c r="AA11" s="114"/>
      <c r="AB11" s="107">
        <v>1740</v>
      </c>
      <c r="AC11" s="103">
        <v>1000</v>
      </c>
      <c r="AD11" s="103">
        <v>0</v>
      </c>
      <c r="AE11" s="103">
        <v>640</v>
      </c>
      <c r="AF11" s="103">
        <v>200</v>
      </c>
      <c r="AG11" s="103">
        <v>1200</v>
      </c>
      <c r="AH11" s="103">
        <v>0</v>
      </c>
      <c r="AI11" s="103">
        <v>100</v>
      </c>
      <c r="AJ11" s="103">
        <f t="shared" si="9"/>
        <v>770</v>
      </c>
      <c r="AK11" s="103">
        <v>5650</v>
      </c>
      <c r="AL11" s="103">
        <f t="shared" si="3"/>
        <v>50850</v>
      </c>
      <c r="AM11" s="103">
        <v>948</v>
      </c>
      <c r="AN11" s="103">
        <f t="shared" si="4"/>
        <v>59382</v>
      </c>
    </row>
    <row r="12" spans="1:40">
      <c r="A12" s="103">
        <v>9</v>
      </c>
      <c r="B12" s="115"/>
      <c r="C12" s="103" t="s">
        <v>226</v>
      </c>
      <c r="D12" s="103">
        <v>6</v>
      </c>
      <c r="E12" s="103">
        <v>6</v>
      </c>
      <c r="F12" s="103">
        <v>6</v>
      </c>
      <c r="G12" s="103" t="s">
        <v>477</v>
      </c>
      <c r="H12" s="105">
        <v>4000</v>
      </c>
      <c r="I12" s="105">
        <f t="shared" si="5"/>
        <v>3850</v>
      </c>
      <c r="J12" s="108">
        <v>3900</v>
      </c>
      <c r="K12" s="107">
        <v>4500</v>
      </c>
      <c r="L12" s="103">
        <f t="shared" si="6"/>
        <v>4025</v>
      </c>
      <c r="M12" s="108">
        <v>4000</v>
      </c>
      <c r="N12" s="107">
        <v>5000</v>
      </c>
      <c r="O12" s="103">
        <f t="shared" si="7"/>
        <v>4200</v>
      </c>
      <c r="P12" s="109">
        <v>4400</v>
      </c>
      <c r="Q12" s="110">
        <v>3500</v>
      </c>
      <c r="R12" s="110"/>
      <c r="S12" s="103">
        <f t="shared" si="8"/>
        <v>3500</v>
      </c>
      <c r="T12" s="103">
        <v>18</v>
      </c>
      <c r="U12" s="103">
        <v>4500</v>
      </c>
      <c r="V12" s="111">
        <v>640</v>
      </c>
      <c r="W12" s="112">
        <f t="shared" si="0"/>
        <v>5140</v>
      </c>
      <c r="X12" s="113">
        <f t="shared" si="1"/>
        <v>92520</v>
      </c>
      <c r="Y12" s="103">
        <v>948</v>
      </c>
      <c r="Z12" s="113">
        <f t="shared" si="2"/>
        <v>17064</v>
      </c>
      <c r="AA12" s="114"/>
      <c r="AB12" s="107">
        <v>1740</v>
      </c>
      <c r="AC12" s="103">
        <v>1000</v>
      </c>
      <c r="AD12" s="103">
        <v>0</v>
      </c>
      <c r="AE12" s="103">
        <v>640</v>
      </c>
      <c r="AF12" s="103">
        <v>200</v>
      </c>
      <c r="AG12" s="103">
        <v>1200</v>
      </c>
      <c r="AH12" s="103">
        <v>0</v>
      </c>
      <c r="AI12" s="103">
        <v>100</v>
      </c>
      <c r="AJ12" s="103">
        <f t="shared" si="9"/>
        <v>270</v>
      </c>
      <c r="AK12" s="103">
        <v>5150</v>
      </c>
      <c r="AL12" s="103">
        <f t="shared" si="3"/>
        <v>92700</v>
      </c>
      <c r="AM12" s="103">
        <v>948</v>
      </c>
      <c r="AN12" s="103">
        <f t="shared" si="4"/>
        <v>109764</v>
      </c>
    </row>
    <row r="13" spans="1:40">
      <c r="A13" s="103">
        <v>10</v>
      </c>
      <c r="B13" s="115"/>
      <c r="C13" s="103" t="s">
        <v>227</v>
      </c>
      <c r="D13" s="103">
        <v>3</v>
      </c>
      <c r="E13" s="103">
        <v>3</v>
      </c>
      <c r="F13" s="103">
        <v>0</v>
      </c>
      <c r="G13" s="103" t="s">
        <v>477</v>
      </c>
      <c r="H13" s="105"/>
      <c r="I13" s="105">
        <f t="shared" si="5"/>
        <v>4400</v>
      </c>
      <c r="J13" s="106">
        <v>4000</v>
      </c>
      <c r="K13" s="107">
        <v>4500</v>
      </c>
      <c r="L13" s="103">
        <f t="shared" si="6"/>
        <v>4600</v>
      </c>
      <c r="M13" s="108">
        <v>4600</v>
      </c>
      <c r="N13" s="107">
        <v>5000</v>
      </c>
      <c r="O13" s="103">
        <f t="shared" si="7"/>
        <v>4800</v>
      </c>
      <c r="P13" s="109">
        <v>4900</v>
      </c>
      <c r="Q13" s="110">
        <v>4000</v>
      </c>
      <c r="R13" s="110" t="s">
        <v>480</v>
      </c>
      <c r="S13" s="103">
        <f t="shared" si="8"/>
        <v>4000</v>
      </c>
      <c r="T13" s="103">
        <v>6</v>
      </c>
      <c r="U13" s="103">
        <v>3700</v>
      </c>
      <c r="V13" s="111">
        <v>640</v>
      </c>
      <c r="W13" s="112">
        <f t="shared" si="0"/>
        <v>4340</v>
      </c>
      <c r="X13" s="113">
        <f t="shared" si="1"/>
        <v>26040</v>
      </c>
      <c r="Y13" s="103">
        <v>948</v>
      </c>
      <c r="Z13" s="113">
        <f t="shared" si="2"/>
        <v>5688</v>
      </c>
      <c r="AA13" s="114"/>
      <c r="AB13" s="107">
        <v>1740</v>
      </c>
      <c r="AC13" s="103">
        <v>1000</v>
      </c>
      <c r="AD13" s="103">
        <v>0</v>
      </c>
      <c r="AE13" s="103">
        <v>640</v>
      </c>
      <c r="AF13" s="103">
        <v>200</v>
      </c>
      <c r="AG13" s="103">
        <v>430</v>
      </c>
      <c r="AH13" s="103">
        <v>0</v>
      </c>
      <c r="AI13" s="103">
        <v>100</v>
      </c>
      <c r="AJ13" s="103">
        <f t="shared" si="9"/>
        <v>240</v>
      </c>
      <c r="AK13" s="103">
        <v>4350</v>
      </c>
      <c r="AL13" s="103">
        <f t="shared" si="3"/>
        <v>26100</v>
      </c>
      <c r="AM13" s="103">
        <v>948</v>
      </c>
      <c r="AN13" s="103">
        <f t="shared" si="4"/>
        <v>31788</v>
      </c>
    </row>
    <row r="14" spans="1:40">
      <c r="A14" s="103">
        <v>11</v>
      </c>
      <c r="B14" s="115"/>
      <c r="C14" s="103" t="s">
        <v>228</v>
      </c>
      <c r="D14" s="103">
        <v>0</v>
      </c>
      <c r="E14" s="103">
        <v>3</v>
      </c>
      <c r="F14" s="103">
        <v>0</v>
      </c>
      <c r="G14" s="103" t="s">
        <v>211</v>
      </c>
      <c r="H14" s="105"/>
      <c r="I14" s="105">
        <f t="shared" si="5"/>
        <v>3300</v>
      </c>
      <c r="J14" s="106">
        <v>2800</v>
      </c>
      <c r="K14" s="105"/>
      <c r="L14" s="103">
        <f t="shared" si="6"/>
        <v>3450</v>
      </c>
      <c r="M14" s="108">
        <v>3300</v>
      </c>
      <c r="N14" s="105"/>
      <c r="O14" s="103">
        <f t="shared" si="7"/>
        <v>3600</v>
      </c>
      <c r="P14" s="117">
        <v>3600</v>
      </c>
      <c r="Q14" s="110">
        <v>3000</v>
      </c>
      <c r="R14" s="110"/>
      <c r="S14" s="103">
        <f t="shared" si="8"/>
        <v>3000</v>
      </c>
      <c r="T14" s="103">
        <v>3</v>
      </c>
      <c r="U14" s="103">
        <v>3000</v>
      </c>
      <c r="V14" s="111">
        <v>640</v>
      </c>
      <c r="W14" s="112">
        <f t="shared" si="0"/>
        <v>3640</v>
      </c>
      <c r="X14" s="113">
        <f t="shared" si="1"/>
        <v>10920</v>
      </c>
      <c r="Y14" s="103">
        <v>948</v>
      </c>
      <c r="Z14" s="113">
        <f t="shared" si="2"/>
        <v>2844</v>
      </c>
      <c r="AA14" s="114"/>
      <c r="AB14" s="107">
        <v>1740</v>
      </c>
      <c r="AC14" s="103">
        <v>200</v>
      </c>
      <c r="AD14" s="103">
        <v>0</v>
      </c>
      <c r="AE14" s="103">
        <v>640</v>
      </c>
      <c r="AF14" s="103">
        <v>200</v>
      </c>
      <c r="AG14" s="103">
        <v>360</v>
      </c>
      <c r="AH14" s="103">
        <v>0</v>
      </c>
      <c r="AI14" s="103">
        <v>100</v>
      </c>
      <c r="AJ14" s="103">
        <f t="shared" si="9"/>
        <v>410</v>
      </c>
      <c r="AK14" s="103">
        <v>3650</v>
      </c>
      <c r="AL14" s="103">
        <f t="shared" si="3"/>
        <v>10950</v>
      </c>
      <c r="AM14" s="103">
        <v>948</v>
      </c>
      <c r="AN14" s="103">
        <f t="shared" si="4"/>
        <v>13794</v>
      </c>
    </row>
    <row r="15" spans="1:40">
      <c r="A15" s="118" t="s">
        <v>461</v>
      </c>
      <c r="B15" s="119"/>
      <c r="C15" s="120"/>
      <c r="D15" s="103">
        <f t="shared" ref="D15:F15" si="10">D14+D13+D12+D11+D10+D9+D8+D7+D6+D5+D4</f>
        <v>33</v>
      </c>
      <c r="E15" s="103">
        <f t="shared" si="10"/>
        <v>36</v>
      </c>
      <c r="F15" s="103">
        <f t="shared" si="10"/>
        <v>27</v>
      </c>
      <c r="G15" s="103"/>
      <c r="H15" s="105"/>
      <c r="I15" s="105"/>
      <c r="J15" s="106"/>
      <c r="K15" s="105"/>
      <c r="L15" s="103"/>
      <c r="M15" s="106"/>
      <c r="N15" s="105"/>
      <c r="O15" s="103"/>
      <c r="P15" s="117"/>
      <c r="Q15" s="110"/>
      <c r="R15" s="110"/>
      <c r="S15" s="103">
        <f t="shared" si="8"/>
        <v>0</v>
      </c>
      <c r="T15" s="103">
        <f>SUM(T4:T14)</f>
        <v>96</v>
      </c>
      <c r="U15" s="103"/>
      <c r="V15" s="103"/>
      <c r="W15" s="103"/>
      <c r="X15" s="113">
        <f>SUM(X4:X14)</f>
        <v>576540</v>
      </c>
      <c r="Y15" s="103"/>
      <c r="Z15" s="113">
        <f>SUM(Z4:Z14)</f>
        <v>91008</v>
      </c>
      <c r="AA15" s="114"/>
      <c r="AB15" s="107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</row>
    <row r="16" spans="1:40">
      <c r="A16" s="103">
        <v>1</v>
      </c>
      <c r="B16" s="104" t="s">
        <v>481</v>
      </c>
      <c r="C16" s="103" t="s">
        <v>475</v>
      </c>
      <c r="D16" s="103">
        <v>3</v>
      </c>
      <c r="E16" s="103"/>
      <c r="F16" s="103"/>
      <c r="G16" s="103" t="s">
        <v>476</v>
      </c>
      <c r="H16" s="107">
        <v>7500</v>
      </c>
      <c r="I16" s="105">
        <f t="shared" ref="I16:I21" si="11">Q16*1.1</f>
        <v>8250</v>
      </c>
      <c r="J16" s="106">
        <v>8000</v>
      </c>
      <c r="K16" s="107">
        <v>8000</v>
      </c>
      <c r="L16" s="103">
        <f>Q16*1.15</f>
        <v>8625</v>
      </c>
      <c r="M16" s="108">
        <v>8500</v>
      </c>
      <c r="N16" s="105">
        <v>8500</v>
      </c>
      <c r="O16" s="103">
        <f>Q16*1.2</f>
        <v>9000</v>
      </c>
      <c r="P16" s="109">
        <v>8800</v>
      </c>
      <c r="Q16" s="110">
        <v>7500</v>
      </c>
      <c r="R16" s="110">
        <v>500</v>
      </c>
      <c r="S16" s="103">
        <f t="shared" si="8"/>
        <v>8000</v>
      </c>
      <c r="T16" s="103">
        <v>3</v>
      </c>
      <c r="U16" s="103">
        <v>7100</v>
      </c>
      <c r="V16" s="111">
        <v>640</v>
      </c>
      <c r="W16" s="112">
        <f t="shared" ref="W16:W21" si="12">U16+V16</f>
        <v>7740</v>
      </c>
      <c r="X16" s="113">
        <f t="shared" ref="X16:X21" si="13">W16*T16</f>
        <v>23220</v>
      </c>
      <c r="Y16" s="103">
        <v>948</v>
      </c>
      <c r="Z16" s="113">
        <f t="shared" ref="Z16:Z21" si="14">Y16*T16</f>
        <v>2844</v>
      </c>
      <c r="AA16" s="114"/>
      <c r="AB16" s="107">
        <v>1740</v>
      </c>
      <c r="AC16" s="103">
        <v>2000</v>
      </c>
      <c r="AD16" s="103">
        <v>0</v>
      </c>
      <c r="AE16" s="103">
        <v>640</v>
      </c>
      <c r="AF16" s="103">
        <v>200</v>
      </c>
      <c r="AG16" s="103">
        <v>1500</v>
      </c>
      <c r="AH16" s="103">
        <v>0</v>
      </c>
      <c r="AI16" s="103">
        <v>100</v>
      </c>
      <c r="AJ16" s="103">
        <f t="shared" ref="AJ16:AJ21" si="15">AK16-AB16-AC16-AD16-AE16-AF16-AG16-AH16-100</f>
        <v>1620</v>
      </c>
      <c r="AK16" s="103">
        <v>7800</v>
      </c>
      <c r="AL16" s="103">
        <f t="shared" ref="AL16:AL21" si="16">AK16*T16</f>
        <v>23400</v>
      </c>
      <c r="AM16" s="103">
        <v>948</v>
      </c>
      <c r="AN16" s="103">
        <f t="shared" ref="AN16:AN21" si="17">AL16+AM16*T16</f>
        <v>26244</v>
      </c>
    </row>
    <row r="17" spans="1:40">
      <c r="A17" s="103">
        <v>2</v>
      </c>
      <c r="B17" s="115"/>
      <c r="C17" s="103" t="s">
        <v>482</v>
      </c>
      <c r="D17" s="103">
        <v>6</v>
      </c>
      <c r="E17" s="103"/>
      <c r="F17" s="103"/>
      <c r="G17" s="103" t="s">
        <v>477</v>
      </c>
      <c r="H17" s="105">
        <v>5500</v>
      </c>
      <c r="I17" s="105">
        <f t="shared" si="11"/>
        <v>6050</v>
      </c>
      <c r="J17" s="106">
        <v>6000</v>
      </c>
      <c r="K17" s="107">
        <v>6000</v>
      </c>
      <c r="L17" s="103">
        <f t="shared" ref="L17:L21" si="18">Q17*1.15</f>
        <v>6325</v>
      </c>
      <c r="M17" s="108">
        <v>6200</v>
      </c>
      <c r="N17" s="107">
        <v>6500</v>
      </c>
      <c r="O17" s="103">
        <f t="shared" ref="O17:O21" si="19">Q17*1.2</f>
        <v>6600</v>
      </c>
      <c r="P17" s="117">
        <v>6500</v>
      </c>
      <c r="Q17" s="110">
        <v>5500</v>
      </c>
      <c r="R17" s="110">
        <v>300</v>
      </c>
      <c r="S17" s="103">
        <f t="shared" si="8"/>
        <v>5800</v>
      </c>
      <c r="T17" s="103">
        <v>6</v>
      </c>
      <c r="U17" s="103">
        <v>5300</v>
      </c>
      <c r="V17" s="111">
        <v>640</v>
      </c>
      <c r="W17" s="112">
        <f t="shared" si="12"/>
        <v>5940</v>
      </c>
      <c r="X17" s="113">
        <f t="shared" si="13"/>
        <v>35640</v>
      </c>
      <c r="Y17" s="103">
        <v>948</v>
      </c>
      <c r="Z17" s="113">
        <f t="shared" si="14"/>
        <v>5688</v>
      </c>
      <c r="AA17" s="114"/>
      <c r="AB17" s="107">
        <v>1740</v>
      </c>
      <c r="AC17" s="103">
        <v>1000</v>
      </c>
      <c r="AD17" s="103">
        <v>0</v>
      </c>
      <c r="AE17" s="103">
        <v>640</v>
      </c>
      <c r="AF17" s="103">
        <v>200</v>
      </c>
      <c r="AG17" s="103">
        <v>1200</v>
      </c>
      <c r="AH17" s="103">
        <v>0</v>
      </c>
      <c r="AI17" s="103">
        <v>100</v>
      </c>
      <c r="AJ17" s="103">
        <f t="shared" si="15"/>
        <v>1120</v>
      </c>
      <c r="AK17" s="103">
        <v>6000</v>
      </c>
      <c r="AL17" s="103">
        <f t="shared" si="16"/>
        <v>36000</v>
      </c>
      <c r="AM17" s="103">
        <v>948</v>
      </c>
      <c r="AN17" s="103">
        <f t="shared" si="17"/>
        <v>41688</v>
      </c>
    </row>
    <row r="18" spans="1:40">
      <c r="A18" s="103">
        <v>3</v>
      </c>
      <c r="B18" s="115"/>
      <c r="C18" s="103" t="s">
        <v>208</v>
      </c>
      <c r="D18" s="103">
        <v>6</v>
      </c>
      <c r="E18" s="103"/>
      <c r="F18" s="103"/>
      <c r="G18" s="103" t="s">
        <v>477</v>
      </c>
      <c r="H18" s="107">
        <v>5500</v>
      </c>
      <c r="I18" s="105">
        <f t="shared" si="11"/>
        <v>4400</v>
      </c>
      <c r="J18" s="108">
        <v>4400</v>
      </c>
      <c r="K18" s="107">
        <v>6000</v>
      </c>
      <c r="L18" s="103">
        <f t="shared" si="18"/>
        <v>4600</v>
      </c>
      <c r="M18" s="108">
        <v>4600</v>
      </c>
      <c r="N18" s="105">
        <v>6500</v>
      </c>
      <c r="O18" s="103">
        <f t="shared" si="19"/>
        <v>4800</v>
      </c>
      <c r="P18" s="109">
        <v>5000</v>
      </c>
      <c r="Q18" s="110">
        <v>4000</v>
      </c>
      <c r="R18" s="110">
        <v>150</v>
      </c>
      <c r="S18" s="103">
        <f t="shared" si="8"/>
        <v>4150</v>
      </c>
      <c r="T18" s="103">
        <v>6</v>
      </c>
      <c r="U18" s="103">
        <v>3900</v>
      </c>
      <c r="V18" s="111">
        <v>640</v>
      </c>
      <c r="W18" s="112">
        <f t="shared" si="12"/>
        <v>4540</v>
      </c>
      <c r="X18" s="113">
        <f t="shared" si="13"/>
        <v>27240</v>
      </c>
      <c r="Y18" s="103">
        <v>948</v>
      </c>
      <c r="Z18" s="113">
        <f t="shared" si="14"/>
        <v>5688</v>
      </c>
      <c r="AA18" s="114"/>
      <c r="AB18" s="107">
        <v>1740</v>
      </c>
      <c r="AC18" s="103">
        <v>800</v>
      </c>
      <c r="AD18" s="103">
        <v>0</v>
      </c>
      <c r="AE18" s="103">
        <v>640</v>
      </c>
      <c r="AF18" s="103">
        <v>200</v>
      </c>
      <c r="AG18" s="103">
        <v>450</v>
      </c>
      <c r="AH18" s="103">
        <v>0</v>
      </c>
      <c r="AI18" s="103">
        <v>100</v>
      </c>
      <c r="AJ18" s="103">
        <f t="shared" si="15"/>
        <v>670</v>
      </c>
      <c r="AK18" s="103">
        <v>4600</v>
      </c>
      <c r="AL18" s="103">
        <f t="shared" si="16"/>
        <v>27600</v>
      </c>
      <c r="AM18" s="103">
        <v>948</v>
      </c>
      <c r="AN18" s="103">
        <f t="shared" si="17"/>
        <v>33288</v>
      </c>
    </row>
    <row r="19" spans="1:40">
      <c r="A19" s="103">
        <v>4</v>
      </c>
      <c r="B19" s="115"/>
      <c r="C19" s="103" t="s">
        <v>209</v>
      </c>
      <c r="D19" s="103">
        <v>6</v>
      </c>
      <c r="E19" s="103"/>
      <c r="F19" s="103"/>
      <c r="G19" s="103" t="s">
        <v>477</v>
      </c>
      <c r="H19" s="105">
        <v>5000</v>
      </c>
      <c r="I19" s="105">
        <f t="shared" si="11"/>
        <v>4950</v>
      </c>
      <c r="J19" s="106">
        <v>5000</v>
      </c>
      <c r="K19" s="107">
        <v>5500</v>
      </c>
      <c r="L19" s="103">
        <f t="shared" si="18"/>
        <v>5175</v>
      </c>
      <c r="M19" s="108">
        <v>5200</v>
      </c>
      <c r="N19" s="107">
        <v>6000</v>
      </c>
      <c r="O19" s="103">
        <f t="shared" si="19"/>
        <v>5400</v>
      </c>
      <c r="P19" s="109">
        <v>5500</v>
      </c>
      <c r="Q19" s="110">
        <v>4500</v>
      </c>
      <c r="R19" s="110">
        <v>300</v>
      </c>
      <c r="S19" s="103">
        <f t="shared" si="8"/>
        <v>4800</v>
      </c>
      <c r="T19" s="103">
        <v>6</v>
      </c>
      <c r="U19" s="103">
        <v>3900</v>
      </c>
      <c r="V19" s="111">
        <v>640</v>
      </c>
      <c r="W19" s="112">
        <f t="shared" si="12"/>
        <v>4540</v>
      </c>
      <c r="X19" s="113">
        <f t="shared" si="13"/>
        <v>27240</v>
      </c>
      <c r="Y19" s="103">
        <v>948</v>
      </c>
      <c r="Z19" s="113">
        <f t="shared" si="14"/>
        <v>5688</v>
      </c>
      <c r="AA19" s="114"/>
      <c r="AB19" s="107">
        <v>1740</v>
      </c>
      <c r="AC19" s="103">
        <v>800</v>
      </c>
      <c r="AD19" s="103">
        <v>0</v>
      </c>
      <c r="AE19" s="103">
        <v>640</v>
      </c>
      <c r="AF19" s="103">
        <v>200</v>
      </c>
      <c r="AG19" s="103">
        <v>450</v>
      </c>
      <c r="AH19" s="103">
        <v>0</v>
      </c>
      <c r="AI19" s="103">
        <v>100</v>
      </c>
      <c r="AJ19" s="103">
        <f t="shared" si="15"/>
        <v>670</v>
      </c>
      <c r="AK19" s="103">
        <v>4600</v>
      </c>
      <c r="AL19" s="103">
        <f t="shared" si="16"/>
        <v>27600</v>
      </c>
      <c r="AM19" s="103">
        <v>948</v>
      </c>
      <c r="AN19" s="103">
        <f t="shared" si="17"/>
        <v>33288</v>
      </c>
    </row>
    <row r="20" spans="1:40">
      <c r="A20" s="103">
        <v>5</v>
      </c>
      <c r="B20" s="115"/>
      <c r="C20" s="103" t="s">
        <v>210</v>
      </c>
      <c r="D20" s="103">
        <v>6</v>
      </c>
      <c r="E20" s="103"/>
      <c r="F20" s="103"/>
      <c r="G20" s="103" t="s">
        <v>211</v>
      </c>
      <c r="H20" s="105"/>
      <c r="I20" s="105">
        <f t="shared" si="11"/>
        <v>3630</v>
      </c>
      <c r="J20" s="106">
        <v>3300</v>
      </c>
      <c r="K20" s="105"/>
      <c r="L20" s="103">
        <f t="shared" si="18"/>
        <v>3795</v>
      </c>
      <c r="M20" s="106">
        <v>3800</v>
      </c>
      <c r="N20" s="105"/>
      <c r="O20" s="103">
        <f t="shared" si="19"/>
        <v>3960</v>
      </c>
      <c r="P20" s="117">
        <v>4000</v>
      </c>
      <c r="Q20" s="110">
        <v>3300</v>
      </c>
      <c r="R20" s="110"/>
      <c r="S20" s="103">
        <f t="shared" si="8"/>
        <v>3300</v>
      </c>
      <c r="T20" s="103">
        <v>6</v>
      </c>
      <c r="U20" s="103">
        <v>3200</v>
      </c>
      <c r="V20" s="111">
        <v>640</v>
      </c>
      <c r="W20" s="112">
        <f t="shared" si="12"/>
        <v>3840</v>
      </c>
      <c r="X20" s="113">
        <f t="shared" si="13"/>
        <v>23040</v>
      </c>
      <c r="Y20" s="103">
        <v>948</v>
      </c>
      <c r="Z20" s="113">
        <f t="shared" si="14"/>
        <v>5688</v>
      </c>
      <c r="AA20" s="114"/>
      <c r="AB20" s="107">
        <v>1740</v>
      </c>
      <c r="AC20" s="103">
        <v>200</v>
      </c>
      <c r="AD20" s="103">
        <v>0</v>
      </c>
      <c r="AE20" s="103">
        <v>640</v>
      </c>
      <c r="AF20" s="103">
        <v>200</v>
      </c>
      <c r="AG20" s="103">
        <v>380</v>
      </c>
      <c r="AH20" s="103">
        <v>0</v>
      </c>
      <c r="AI20" s="103">
        <v>100</v>
      </c>
      <c r="AJ20" s="103">
        <f t="shared" si="15"/>
        <v>640</v>
      </c>
      <c r="AK20" s="103">
        <v>3900</v>
      </c>
      <c r="AL20" s="103">
        <f t="shared" si="16"/>
        <v>23400</v>
      </c>
      <c r="AM20" s="103">
        <v>948</v>
      </c>
      <c r="AN20" s="103">
        <f t="shared" si="17"/>
        <v>29088</v>
      </c>
    </row>
    <row r="21" spans="1:40">
      <c r="A21" s="103">
        <v>6</v>
      </c>
      <c r="B21" s="115"/>
      <c r="C21" s="103" t="s">
        <v>211</v>
      </c>
      <c r="D21" s="103">
        <v>3</v>
      </c>
      <c r="E21" s="103"/>
      <c r="F21" s="103"/>
      <c r="G21" s="103" t="s">
        <v>211</v>
      </c>
      <c r="H21" s="105"/>
      <c r="I21" s="105">
        <f t="shared" si="11"/>
        <v>3630</v>
      </c>
      <c r="J21" s="106">
        <v>3300</v>
      </c>
      <c r="K21" s="105"/>
      <c r="L21" s="103">
        <f t="shared" si="18"/>
        <v>3795</v>
      </c>
      <c r="M21" s="106">
        <v>3800</v>
      </c>
      <c r="N21" s="105"/>
      <c r="O21" s="103">
        <f t="shared" si="19"/>
        <v>3960</v>
      </c>
      <c r="P21" s="117">
        <v>4000</v>
      </c>
      <c r="Q21" s="110">
        <v>3300</v>
      </c>
      <c r="R21" s="110"/>
      <c r="S21" s="103">
        <f t="shared" si="8"/>
        <v>3300</v>
      </c>
      <c r="T21" s="103">
        <v>3</v>
      </c>
      <c r="U21" s="103">
        <v>3000</v>
      </c>
      <c r="V21" s="111">
        <v>640</v>
      </c>
      <c r="W21" s="112">
        <f t="shared" si="12"/>
        <v>3640</v>
      </c>
      <c r="X21" s="113">
        <f t="shared" si="13"/>
        <v>10920</v>
      </c>
      <c r="Y21" s="103">
        <v>948</v>
      </c>
      <c r="Z21" s="113">
        <f t="shared" si="14"/>
        <v>2844</v>
      </c>
      <c r="AA21" s="114"/>
      <c r="AB21" s="107">
        <v>1740</v>
      </c>
      <c r="AC21" s="103">
        <v>200</v>
      </c>
      <c r="AD21" s="103">
        <v>0</v>
      </c>
      <c r="AE21" s="103">
        <v>640</v>
      </c>
      <c r="AF21" s="103">
        <v>200</v>
      </c>
      <c r="AG21" s="103">
        <v>360</v>
      </c>
      <c r="AH21" s="103">
        <v>0</v>
      </c>
      <c r="AI21" s="103">
        <v>100</v>
      </c>
      <c r="AJ21" s="103">
        <f t="shared" si="15"/>
        <v>460</v>
      </c>
      <c r="AK21" s="103">
        <v>3700</v>
      </c>
      <c r="AL21" s="103">
        <f t="shared" si="16"/>
        <v>11100</v>
      </c>
      <c r="AM21" s="103">
        <v>948</v>
      </c>
      <c r="AN21" s="103">
        <f t="shared" si="17"/>
        <v>13944</v>
      </c>
    </row>
    <row r="22" spans="1:40">
      <c r="A22" s="118" t="s">
        <v>461</v>
      </c>
      <c r="B22" s="119"/>
      <c r="C22" s="120"/>
      <c r="D22" s="103">
        <f>D21+D20+D19+D18+D17+D16</f>
        <v>30</v>
      </c>
      <c r="E22" s="103"/>
      <c r="F22" s="103"/>
      <c r="G22" s="103"/>
      <c r="H22" s="105"/>
      <c r="I22" s="105"/>
      <c r="J22" s="106"/>
      <c r="K22" s="105"/>
      <c r="L22" s="103"/>
      <c r="M22" s="106"/>
      <c r="N22" s="105"/>
      <c r="O22" s="103"/>
      <c r="P22" s="117"/>
      <c r="Q22" s="110"/>
      <c r="R22" s="110"/>
      <c r="S22" s="103">
        <f t="shared" si="8"/>
        <v>0</v>
      </c>
      <c r="T22" s="103">
        <f>SUM(T16:T21)</f>
        <v>30</v>
      </c>
      <c r="U22" s="103"/>
      <c r="V22" s="103"/>
      <c r="W22" s="103"/>
      <c r="X22" s="113">
        <f>SUM(X16:X21)</f>
        <v>147300</v>
      </c>
      <c r="Y22" s="103"/>
      <c r="Z22" s="113">
        <f>SUM(Z16:Z21)</f>
        <v>28440</v>
      </c>
      <c r="AA22" s="114"/>
      <c r="AB22" s="107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</row>
    <row r="23" spans="1:40">
      <c r="A23" s="103">
        <v>1</v>
      </c>
      <c r="B23" s="121" t="s">
        <v>424</v>
      </c>
      <c r="C23" s="103" t="s">
        <v>167</v>
      </c>
      <c r="D23" s="103">
        <v>3</v>
      </c>
      <c r="E23" s="103"/>
      <c r="F23" s="103"/>
      <c r="G23" s="103" t="s">
        <v>477</v>
      </c>
      <c r="H23" s="105"/>
      <c r="I23" s="105">
        <f t="shared" ref="I23:I30" si="20">Q23*1.1</f>
        <v>7700</v>
      </c>
      <c r="J23" s="108">
        <v>7500</v>
      </c>
      <c r="K23" s="107"/>
      <c r="L23" s="103">
        <f t="shared" ref="L23:L30" si="21">Q23*1.15</f>
        <v>8050</v>
      </c>
      <c r="M23" s="106">
        <v>8000</v>
      </c>
      <c r="N23" s="107"/>
      <c r="O23" s="103">
        <f t="shared" ref="O23:O30" si="22">Q23*1.2</f>
        <v>8400</v>
      </c>
      <c r="P23" s="117">
        <v>8400</v>
      </c>
      <c r="Q23" s="110">
        <v>7000</v>
      </c>
      <c r="R23" s="110">
        <v>1000</v>
      </c>
      <c r="S23" s="103">
        <f t="shared" si="8"/>
        <v>8000</v>
      </c>
      <c r="T23" s="103">
        <v>3</v>
      </c>
      <c r="U23" s="103">
        <v>4400</v>
      </c>
      <c r="V23" s="111">
        <v>640</v>
      </c>
      <c r="W23" s="112">
        <f>U23+V23</f>
        <v>5040</v>
      </c>
      <c r="X23" s="113">
        <f>W23*T23</f>
        <v>15120</v>
      </c>
      <c r="Y23" s="103">
        <v>948</v>
      </c>
      <c r="Z23" s="113">
        <f>Y23*T23</f>
        <v>2844</v>
      </c>
      <c r="AA23" s="114"/>
      <c r="AB23" s="107">
        <v>1740</v>
      </c>
      <c r="AC23" s="103">
        <v>1000</v>
      </c>
      <c r="AD23" s="103">
        <v>0</v>
      </c>
      <c r="AE23" s="103">
        <v>640</v>
      </c>
      <c r="AF23" s="103">
        <v>200</v>
      </c>
      <c r="AG23" s="103">
        <v>1000</v>
      </c>
      <c r="AH23" s="103">
        <v>0</v>
      </c>
      <c r="AI23" s="103">
        <v>100</v>
      </c>
      <c r="AJ23" s="103">
        <f>AK23-AB23-AC23-AD23-AE23-AF23-AG23-AH23-100</f>
        <v>420</v>
      </c>
      <c r="AK23" s="103">
        <v>5100</v>
      </c>
      <c r="AL23" s="103">
        <f>AK23*T23</f>
        <v>15300</v>
      </c>
      <c r="AM23" s="103">
        <v>948</v>
      </c>
      <c r="AN23" s="103">
        <f>AL23+AM23*T23</f>
        <v>18144</v>
      </c>
    </row>
    <row r="24" spans="1:40">
      <c r="A24" s="103">
        <v>2</v>
      </c>
      <c r="B24" s="122"/>
      <c r="C24" s="121" t="s">
        <v>171</v>
      </c>
      <c r="D24" s="103"/>
      <c r="E24" s="103"/>
      <c r="F24" s="103"/>
      <c r="G24" s="103" t="s">
        <v>477</v>
      </c>
      <c r="H24" s="105"/>
      <c r="I24" s="105">
        <f t="shared" si="20"/>
        <v>4400</v>
      </c>
      <c r="J24" s="106">
        <v>4400</v>
      </c>
      <c r="K24" s="107"/>
      <c r="L24" s="103">
        <f t="shared" si="21"/>
        <v>4600</v>
      </c>
      <c r="M24" s="106">
        <v>4600</v>
      </c>
      <c r="N24" s="107"/>
      <c r="O24" s="103">
        <f t="shared" si="22"/>
        <v>4800</v>
      </c>
      <c r="P24" s="117">
        <v>4800</v>
      </c>
      <c r="Q24" s="110">
        <v>4000</v>
      </c>
      <c r="R24" s="110">
        <v>0</v>
      </c>
      <c r="S24" s="103">
        <f t="shared" si="8"/>
        <v>4000</v>
      </c>
      <c r="T24" s="103"/>
      <c r="U24" s="103"/>
      <c r="V24" s="111"/>
      <c r="W24" s="112"/>
      <c r="X24" s="113"/>
      <c r="Y24" s="103"/>
      <c r="Z24" s="113"/>
      <c r="AA24" s="114"/>
      <c r="AB24" s="107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</row>
    <row r="25" spans="1:40">
      <c r="A25" s="118" t="s">
        <v>461</v>
      </c>
      <c r="B25" s="119"/>
      <c r="C25" s="120"/>
      <c r="D25" s="103">
        <v>9</v>
      </c>
      <c r="E25" s="103"/>
      <c r="F25" s="103"/>
      <c r="G25" s="103"/>
      <c r="H25" s="105"/>
      <c r="I25" s="105"/>
      <c r="J25" s="106"/>
      <c r="K25" s="105"/>
      <c r="L25" s="103"/>
      <c r="M25" s="106"/>
      <c r="N25" s="105"/>
      <c r="O25" s="103"/>
      <c r="P25" s="117"/>
      <c r="Q25" s="110"/>
      <c r="R25" s="110"/>
      <c r="S25" s="103">
        <f t="shared" si="8"/>
        <v>0</v>
      </c>
      <c r="T25" s="103">
        <f>SUM(T23:T24)</f>
        <v>3</v>
      </c>
      <c r="U25" s="103"/>
      <c r="V25" s="103"/>
      <c r="W25" s="103"/>
      <c r="X25" s="113">
        <f>SUM(X23:X24)</f>
        <v>15120</v>
      </c>
      <c r="Y25" s="103"/>
      <c r="Z25" s="113">
        <f>SUM(Z23:Z24)</f>
        <v>2844</v>
      </c>
      <c r="AA25" s="114"/>
      <c r="AB25" s="107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</row>
    <row r="26" spans="1:40">
      <c r="A26" s="118">
        <v>1</v>
      </c>
      <c r="B26" s="103" t="s">
        <v>418</v>
      </c>
      <c r="C26" s="120" t="s">
        <v>186</v>
      </c>
      <c r="D26" s="103"/>
      <c r="E26" s="103"/>
      <c r="F26" s="103"/>
      <c r="G26" s="103" t="s">
        <v>477</v>
      </c>
      <c r="H26" s="105"/>
      <c r="I26" s="105">
        <f t="shared" si="20"/>
        <v>4620</v>
      </c>
      <c r="J26" s="106">
        <v>4600</v>
      </c>
      <c r="K26" s="107"/>
      <c r="L26" s="103">
        <f t="shared" si="21"/>
        <v>4830</v>
      </c>
      <c r="M26" s="106">
        <v>4800</v>
      </c>
      <c r="N26" s="107"/>
      <c r="O26" s="103">
        <f t="shared" si="22"/>
        <v>5040</v>
      </c>
      <c r="P26" s="117">
        <v>5000</v>
      </c>
      <c r="Q26" s="110">
        <v>4200</v>
      </c>
      <c r="R26" s="110">
        <v>900</v>
      </c>
      <c r="S26" s="103">
        <f t="shared" si="8"/>
        <v>5100</v>
      </c>
      <c r="T26" s="103">
        <v>3</v>
      </c>
      <c r="U26" s="103">
        <v>4600</v>
      </c>
      <c r="V26" s="111">
        <v>640</v>
      </c>
      <c r="W26" s="112">
        <f t="shared" ref="W26:W28" si="23">U26+V26</f>
        <v>5240</v>
      </c>
      <c r="X26" s="113">
        <f t="shared" ref="X26:X28" si="24">W26*T26</f>
        <v>15720</v>
      </c>
      <c r="Y26" s="103">
        <v>948</v>
      </c>
      <c r="Z26" s="113">
        <f t="shared" ref="Z26:Z28" si="25">Y26*T26</f>
        <v>2844</v>
      </c>
      <c r="AA26" s="114"/>
      <c r="AB26" s="107">
        <v>1740</v>
      </c>
      <c r="AC26" s="103">
        <v>1000</v>
      </c>
      <c r="AD26" s="103">
        <v>0</v>
      </c>
      <c r="AE26" s="103">
        <v>640</v>
      </c>
      <c r="AF26" s="103">
        <v>200</v>
      </c>
      <c r="AG26" s="103">
        <v>1000</v>
      </c>
      <c r="AH26" s="103">
        <v>0</v>
      </c>
      <c r="AI26" s="103">
        <v>100</v>
      </c>
      <c r="AJ26" s="103">
        <f t="shared" ref="AJ26:AJ28" si="26">AK26-AB26-AC26-AD26-AE26-AF26-AG26-AH26-100</f>
        <v>620</v>
      </c>
      <c r="AK26" s="103">
        <v>5300</v>
      </c>
      <c r="AL26" s="103">
        <f t="shared" ref="AL26:AL28" si="27">AK26*T26</f>
        <v>15900</v>
      </c>
      <c r="AM26" s="103">
        <v>948</v>
      </c>
      <c r="AN26" s="103">
        <f t="shared" ref="AN26:AN28" si="28">AL26+AM26*T26</f>
        <v>18744</v>
      </c>
    </row>
    <row r="27" spans="1:40">
      <c r="A27" s="118">
        <v>2</v>
      </c>
      <c r="B27" s="103"/>
      <c r="C27" s="123" t="s">
        <v>189</v>
      </c>
      <c r="D27" s="103"/>
      <c r="E27" s="103"/>
      <c r="F27" s="103"/>
      <c r="G27" s="103" t="s">
        <v>477</v>
      </c>
      <c r="H27" s="105"/>
      <c r="I27" s="105">
        <f t="shared" si="20"/>
        <v>4950</v>
      </c>
      <c r="J27" s="106">
        <v>5000</v>
      </c>
      <c r="K27" s="107"/>
      <c r="L27" s="103">
        <f t="shared" si="21"/>
        <v>5175</v>
      </c>
      <c r="M27" s="106">
        <v>5200</v>
      </c>
      <c r="N27" s="107"/>
      <c r="O27" s="103">
        <f t="shared" si="22"/>
        <v>5400</v>
      </c>
      <c r="P27" s="117">
        <v>5400</v>
      </c>
      <c r="Q27" s="110">
        <v>4500</v>
      </c>
      <c r="R27" s="110">
        <v>900</v>
      </c>
      <c r="S27" s="103">
        <f t="shared" si="8"/>
        <v>5400</v>
      </c>
      <c r="T27" s="103">
        <v>3</v>
      </c>
      <c r="U27" s="103">
        <v>4600</v>
      </c>
      <c r="V27" s="111">
        <v>640</v>
      </c>
      <c r="W27" s="112">
        <f t="shared" si="23"/>
        <v>5240</v>
      </c>
      <c r="X27" s="113">
        <f t="shared" si="24"/>
        <v>15720</v>
      </c>
      <c r="Y27" s="103">
        <v>948</v>
      </c>
      <c r="Z27" s="113">
        <f t="shared" si="25"/>
        <v>2844</v>
      </c>
      <c r="AA27" s="114"/>
      <c r="AB27" s="107">
        <v>1740</v>
      </c>
      <c r="AC27" s="103">
        <v>1000</v>
      </c>
      <c r="AD27" s="103">
        <v>0</v>
      </c>
      <c r="AE27" s="103">
        <v>640</v>
      </c>
      <c r="AF27" s="103">
        <v>200</v>
      </c>
      <c r="AG27" s="103">
        <v>1000</v>
      </c>
      <c r="AH27" s="103">
        <v>0</v>
      </c>
      <c r="AI27" s="103">
        <v>100</v>
      </c>
      <c r="AJ27" s="103">
        <f t="shared" si="26"/>
        <v>620</v>
      </c>
      <c r="AK27" s="103">
        <v>5300</v>
      </c>
      <c r="AL27" s="103">
        <f t="shared" si="27"/>
        <v>15900</v>
      </c>
      <c r="AM27" s="103">
        <v>948</v>
      </c>
      <c r="AN27" s="103">
        <f t="shared" si="28"/>
        <v>18744</v>
      </c>
    </row>
    <row r="28" spans="1:40">
      <c r="A28" s="118">
        <v>3</v>
      </c>
      <c r="B28" s="103"/>
      <c r="C28" s="123" t="s">
        <v>483</v>
      </c>
      <c r="D28" s="103"/>
      <c r="E28" s="103"/>
      <c r="F28" s="103"/>
      <c r="G28" s="103" t="s">
        <v>477</v>
      </c>
      <c r="H28" s="105"/>
      <c r="I28" s="105">
        <f t="shared" si="20"/>
        <v>4510</v>
      </c>
      <c r="J28" s="106">
        <v>4500</v>
      </c>
      <c r="K28" s="107"/>
      <c r="L28" s="103">
        <f t="shared" si="21"/>
        <v>4715</v>
      </c>
      <c r="M28" s="106">
        <v>4700</v>
      </c>
      <c r="N28" s="107"/>
      <c r="O28" s="103">
        <f t="shared" si="22"/>
        <v>4920</v>
      </c>
      <c r="P28" s="117">
        <v>4900</v>
      </c>
      <c r="Q28" s="110">
        <v>4100</v>
      </c>
      <c r="R28" s="110"/>
      <c r="S28" s="103">
        <f t="shared" si="8"/>
        <v>4100</v>
      </c>
      <c r="T28" s="103">
        <v>3</v>
      </c>
      <c r="U28" s="103">
        <v>4600</v>
      </c>
      <c r="V28" s="111">
        <v>640</v>
      </c>
      <c r="W28" s="112">
        <f t="shared" si="23"/>
        <v>5240</v>
      </c>
      <c r="X28" s="113">
        <f t="shared" si="24"/>
        <v>15720</v>
      </c>
      <c r="Y28" s="103">
        <v>948</v>
      </c>
      <c r="Z28" s="113">
        <f t="shared" si="25"/>
        <v>2844</v>
      </c>
      <c r="AA28" s="114"/>
      <c r="AB28" s="107">
        <v>1740</v>
      </c>
      <c r="AC28" s="103">
        <v>1000</v>
      </c>
      <c r="AD28" s="103">
        <v>0</v>
      </c>
      <c r="AE28" s="103">
        <v>640</v>
      </c>
      <c r="AF28" s="103">
        <v>200</v>
      </c>
      <c r="AG28" s="103">
        <v>1000</v>
      </c>
      <c r="AH28" s="103">
        <v>0</v>
      </c>
      <c r="AI28" s="103">
        <v>100</v>
      </c>
      <c r="AJ28" s="103">
        <f t="shared" si="26"/>
        <v>620</v>
      </c>
      <c r="AK28" s="103">
        <v>5300</v>
      </c>
      <c r="AL28" s="103">
        <f t="shared" si="27"/>
        <v>15900</v>
      </c>
      <c r="AM28" s="103">
        <v>948</v>
      </c>
      <c r="AN28" s="103">
        <f t="shared" si="28"/>
        <v>18744</v>
      </c>
    </row>
    <row r="29" spans="1:40">
      <c r="A29" s="118">
        <v>4</v>
      </c>
      <c r="B29" s="103"/>
      <c r="C29" s="123" t="s">
        <v>484</v>
      </c>
      <c r="D29" s="103"/>
      <c r="E29" s="103"/>
      <c r="F29" s="103"/>
      <c r="G29" s="103" t="s">
        <v>477</v>
      </c>
      <c r="H29" s="105"/>
      <c r="I29" s="105">
        <f t="shared" si="20"/>
        <v>4510</v>
      </c>
      <c r="J29" s="106">
        <v>4500</v>
      </c>
      <c r="K29" s="105"/>
      <c r="L29" s="103">
        <f t="shared" si="21"/>
        <v>4715</v>
      </c>
      <c r="M29" s="106">
        <v>4700</v>
      </c>
      <c r="N29" s="105"/>
      <c r="O29" s="103">
        <f t="shared" si="22"/>
        <v>4920</v>
      </c>
      <c r="P29" s="117">
        <v>4900</v>
      </c>
      <c r="Q29" s="110">
        <v>4100</v>
      </c>
      <c r="R29" s="110"/>
      <c r="S29" s="103">
        <f t="shared" si="8"/>
        <v>4100</v>
      </c>
      <c r="T29" s="103"/>
      <c r="U29" s="103"/>
      <c r="V29" s="103"/>
      <c r="W29" s="103"/>
      <c r="X29" s="113"/>
      <c r="Y29" s="103"/>
      <c r="Z29" s="113"/>
      <c r="AA29" s="114"/>
      <c r="AB29" s="107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</row>
    <row r="30" spans="1:40">
      <c r="A30" s="118">
        <v>5</v>
      </c>
      <c r="B30" s="103"/>
      <c r="C30" s="123" t="s">
        <v>193</v>
      </c>
      <c r="D30" s="103"/>
      <c r="E30" s="103"/>
      <c r="F30" s="103"/>
      <c r="G30" s="103" t="s">
        <v>477</v>
      </c>
      <c r="H30" s="105"/>
      <c r="I30" s="105">
        <f t="shared" si="20"/>
        <v>5390</v>
      </c>
      <c r="J30" s="106">
        <v>5400</v>
      </c>
      <c r="K30" s="105"/>
      <c r="L30" s="103">
        <f t="shared" si="21"/>
        <v>5635</v>
      </c>
      <c r="M30" s="106">
        <v>5600</v>
      </c>
      <c r="N30" s="105"/>
      <c r="O30" s="103">
        <f t="shared" si="22"/>
        <v>5880</v>
      </c>
      <c r="P30" s="117">
        <v>5900</v>
      </c>
      <c r="Q30" s="110">
        <v>4900</v>
      </c>
      <c r="R30" s="110">
        <v>800</v>
      </c>
      <c r="S30" s="103">
        <f t="shared" si="8"/>
        <v>5700</v>
      </c>
      <c r="T30" s="103"/>
      <c r="U30" s="103"/>
      <c r="V30" s="103"/>
      <c r="W30" s="103"/>
      <c r="X30" s="113"/>
      <c r="Y30" s="103"/>
      <c r="Z30" s="113"/>
      <c r="AA30" s="114"/>
      <c r="AB30" s="107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</row>
    <row r="31" spans="1:40">
      <c r="A31" s="118">
        <v>6</v>
      </c>
      <c r="B31" s="103"/>
      <c r="C31" s="123" t="s">
        <v>195</v>
      </c>
      <c r="D31" s="103"/>
      <c r="E31" s="103"/>
      <c r="F31" s="103"/>
      <c r="G31" s="103" t="s">
        <v>477</v>
      </c>
      <c r="H31" s="105"/>
      <c r="I31" s="105"/>
      <c r="J31" s="106"/>
      <c r="K31" s="105"/>
      <c r="L31" s="103"/>
      <c r="M31" s="106"/>
      <c r="N31" s="105"/>
      <c r="O31" s="103"/>
      <c r="P31" s="117"/>
      <c r="Q31" s="110"/>
      <c r="R31" s="110"/>
      <c r="S31" s="103">
        <f t="shared" si="8"/>
        <v>0</v>
      </c>
      <c r="T31" s="103"/>
      <c r="U31" s="103"/>
      <c r="V31" s="103"/>
      <c r="W31" s="103"/>
      <c r="X31" s="113"/>
      <c r="Y31" s="103"/>
      <c r="Z31" s="113"/>
      <c r="AA31" s="114"/>
      <c r="AB31" s="107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</row>
    <row r="32" spans="1:40">
      <c r="A32" s="118">
        <v>7</v>
      </c>
      <c r="B32" s="103"/>
      <c r="C32" s="123" t="s">
        <v>198</v>
      </c>
      <c r="D32" s="103"/>
      <c r="E32" s="103"/>
      <c r="F32" s="103"/>
      <c r="G32" s="103" t="s">
        <v>477</v>
      </c>
      <c r="H32" s="105"/>
      <c r="I32" s="105"/>
      <c r="J32" s="106"/>
      <c r="K32" s="105"/>
      <c r="L32" s="103"/>
      <c r="M32" s="106"/>
      <c r="N32" s="105"/>
      <c r="O32" s="103"/>
      <c r="P32" s="117"/>
      <c r="Q32" s="110"/>
      <c r="R32" s="110"/>
      <c r="S32" s="103">
        <f t="shared" si="8"/>
        <v>0</v>
      </c>
      <c r="T32" s="103"/>
      <c r="U32" s="103"/>
      <c r="V32" s="103"/>
      <c r="W32" s="103"/>
      <c r="X32" s="113"/>
      <c r="Y32" s="103"/>
      <c r="Z32" s="113"/>
      <c r="AA32" s="114"/>
      <c r="AB32" s="107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</row>
    <row r="33" spans="1:40">
      <c r="A33" s="118">
        <v>8</v>
      </c>
      <c r="B33" s="103"/>
      <c r="C33" s="123" t="s">
        <v>167</v>
      </c>
      <c r="D33" s="103"/>
      <c r="E33" s="103"/>
      <c r="F33" s="103"/>
      <c r="G33" s="103" t="s">
        <v>477</v>
      </c>
      <c r="H33" s="105"/>
      <c r="I33" s="105">
        <f t="shared" ref="I33:I38" si="29">Q33*1.1</f>
        <v>7700</v>
      </c>
      <c r="J33" s="106">
        <v>7500</v>
      </c>
      <c r="K33" s="105"/>
      <c r="L33" s="103">
        <f>Q33*1.15</f>
        <v>8050</v>
      </c>
      <c r="M33" s="106">
        <v>8000</v>
      </c>
      <c r="N33" s="105"/>
      <c r="O33" s="103">
        <f>Q33*1.2</f>
        <v>8400</v>
      </c>
      <c r="P33" s="109">
        <v>8300</v>
      </c>
      <c r="Q33" s="110">
        <v>7000</v>
      </c>
      <c r="R33" s="110">
        <v>1000</v>
      </c>
      <c r="S33" s="103">
        <f t="shared" si="8"/>
        <v>8000</v>
      </c>
      <c r="T33" s="103"/>
      <c r="U33" s="103"/>
      <c r="V33" s="103"/>
      <c r="W33" s="103"/>
      <c r="X33" s="113"/>
      <c r="Y33" s="103"/>
      <c r="Z33" s="113"/>
      <c r="AA33" s="114"/>
      <c r="AB33" s="107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</row>
    <row r="34" spans="1:40">
      <c r="A34" s="118" t="s">
        <v>461</v>
      </c>
      <c r="B34" s="119"/>
      <c r="C34" s="120"/>
      <c r="D34" s="103">
        <v>9</v>
      </c>
      <c r="E34" s="103"/>
      <c r="F34" s="103"/>
      <c r="G34" s="103"/>
      <c r="H34" s="105"/>
      <c r="I34" s="105"/>
      <c r="J34" s="106"/>
      <c r="K34" s="105"/>
      <c r="L34" s="103"/>
      <c r="M34" s="106"/>
      <c r="N34" s="105"/>
      <c r="O34" s="103"/>
      <c r="P34" s="117"/>
      <c r="Q34" s="110"/>
      <c r="R34" s="110"/>
      <c r="S34" s="103">
        <f t="shared" ref="S34:S40" si="30">SUM(Q34:R34)</f>
        <v>0</v>
      </c>
      <c r="T34" s="103">
        <f>SUM(T26:T28)</f>
        <v>9</v>
      </c>
      <c r="U34" s="103"/>
      <c r="V34" s="103"/>
      <c r="W34" s="103"/>
      <c r="X34" s="113">
        <f>SUM(X26:X28)</f>
        <v>47160</v>
      </c>
      <c r="Y34" s="103"/>
      <c r="Z34" s="113">
        <f>SUM(Z26:Z28)</f>
        <v>8532</v>
      </c>
      <c r="AA34" s="114"/>
      <c r="AB34" s="107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</row>
    <row r="35" spans="1:40">
      <c r="A35" s="103">
        <v>1</v>
      </c>
      <c r="B35" s="103" t="s">
        <v>485</v>
      </c>
      <c r="C35" s="103" t="s">
        <v>117</v>
      </c>
      <c r="D35" s="103">
        <v>4</v>
      </c>
      <c r="E35" s="103"/>
      <c r="F35" s="103"/>
      <c r="G35" s="103" t="s">
        <v>211</v>
      </c>
      <c r="H35" s="105"/>
      <c r="I35" s="105">
        <f t="shared" si="29"/>
        <v>3300</v>
      </c>
      <c r="J35" s="106">
        <v>2800</v>
      </c>
      <c r="K35" s="105"/>
      <c r="L35" s="103">
        <f>Q35*1.15</f>
        <v>3450</v>
      </c>
      <c r="M35" s="108">
        <v>3300</v>
      </c>
      <c r="N35" s="105"/>
      <c r="O35" s="103">
        <f>Q35*1.2</f>
        <v>3600</v>
      </c>
      <c r="P35" s="117">
        <v>3600</v>
      </c>
      <c r="Q35" s="110">
        <v>3000</v>
      </c>
      <c r="R35" s="110">
        <v>0</v>
      </c>
      <c r="S35" s="103">
        <f t="shared" si="30"/>
        <v>3000</v>
      </c>
      <c r="T35" s="103">
        <v>4</v>
      </c>
      <c r="U35" s="103">
        <v>2600</v>
      </c>
      <c r="V35" s="111">
        <v>640</v>
      </c>
      <c r="W35" s="112">
        <f t="shared" ref="W35:W38" si="31">U35+V35</f>
        <v>3240</v>
      </c>
      <c r="X35" s="113">
        <f t="shared" ref="X35:X38" si="32">W35*T35</f>
        <v>12960</v>
      </c>
      <c r="Y35" s="103">
        <v>948</v>
      </c>
      <c r="Z35" s="113">
        <f t="shared" ref="Z35:Z38" si="33">Y35*T35</f>
        <v>3792</v>
      </c>
      <c r="AA35" s="114"/>
      <c r="AB35" s="107">
        <v>1740</v>
      </c>
      <c r="AC35" s="103">
        <v>200</v>
      </c>
      <c r="AD35" s="103">
        <v>0</v>
      </c>
      <c r="AE35" s="103">
        <v>640</v>
      </c>
      <c r="AF35" s="103">
        <v>200</v>
      </c>
      <c r="AG35" s="103">
        <v>320</v>
      </c>
      <c r="AH35" s="103">
        <v>0</v>
      </c>
      <c r="AI35" s="103">
        <v>100</v>
      </c>
      <c r="AJ35" s="103">
        <f t="shared" ref="AJ35:AJ38" si="34">AK35-AB35-AC35-AD35-AE35-AF35-AG35-AH35-100</f>
        <v>100</v>
      </c>
      <c r="AK35" s="103">
        <v>3300</v>
      </c>
      <c r="AL35" s="103">
        <f t="shared" ref="AL35:AL38" si="35">AK35*T35</f>
        <v>13200</v>
      </c>
      <c r="AM35" s="103">
        <v>948</v>
      </c>
      <c r="AN35" s="103">
        <f t="shared" ref="AN35:AN38" si="36">AL35+AM35*T35</f>
        <v>16992</v>
      </c>
    </row>
    <row r="36" spans="1:40">
      <c r="A36" s="103">
        <v>2</v>
      </c>
      <c r="B36" s="103"/>
      <c r="C36" s="103" t="s">
        <v>486</v>
      </c>
      <c r="D36" s="103">
        <v>4</v>
      </c>
      <c r="E36" s="103"/>
      <c r="F36" s="103"/>
      <c r="G36" s="103" t="s">
        <v>211</v>
      </c>
      <c r="H36" s="105"/>
      <c r="I36" s="105">
        <f t="shared" si="29"/>
        <v>3300</v>
      </c>
      <c r="J36" s="106">
        <v>2800</v>
      </c>
      <c r="K36" s="105"/>
      <c r="L36" s="103">
        <f>Q36*1.15</f>
        <v>3450</v>
      </c>
      <c r="M36" s="108">
        <v>3300</v>
      </c>
      <c r="N36" s="105"/>
      <c r="O36" s="103">
        <f>Q36*1.2</f>
        <v>3600</v>
      </c>
      <c r="P36" s="117">
        <v>3600</v>
      </c>
      <c r="Q36" s="110">
        <v>3000</v>
      </c>
      <c r="R36" s="110">
        <v>0</v>
      </c>
      <c r="S36" s="103">
        <f t="shared" si="30"/>
        <v>3000</v>
      </c>
      <c r="T36" s="103">
        <v>4</v>
      </c>
      <c r="U36" s="103">
        <v>2800</v>
      </c>
      <c r="V36" s="111">
        <v>640</v>
      </c>
      <c r="W36" s="112">
        <f t="shared" si="31"/>
        <v>3440</v>
      </c>
      <c r="X36" s="113">
        <f t="shared" si="32"/>
        <v>13760</v>
      </c>
      <c r="Y36" s="103">
        <v>948</v>
      </c>
      <c r="Z36" s="113">
        <f t="shared" si="33"/>
        <v>3792</v>
      </c>
      <c r="AA36" s="114"/>
      <c r="AB36" s="107">
        <v>1740</v>
      </c>
      <c r="AC36" s="103">
        <v>200</v>
      </c>
      <c r="AD36" s="103">
        <v>0</v>
      </c>
      <c r="AE36" s="103">
        <v>640</v>
      </c>
      <c r="AF36" s="103">
        <v>200</v>
      </c>
      <c r="AG36" s="103">
        <v>340</v>
      </c>
      <c r="AH36" s="103">
        <v>0</v>
      </c>
      <c r="AI36" s="103">
        <v>100</v>
      </c>
      <c r="AJ36" s="103">
        <f t="shared" si="34"/>
        <v>280</v>
      </c>
      <c r="AK36" s="103">
        <v>3500</v>
      </c>
      <c r="AL36" s="103">
        <f t="shared" si="35"/>
        <v>14000</v>
      </c>
      <c r="AM36" s="103">
        <v>948</v>
      </c>
      <c r="AN36" s="103">
        <f t="shared" si="36"/>
        <v>17792</v>
      </c>
    </row>
    <row r="37" spans="1:40">
      <c r="A37" s="103">
        <v>3</v>
      </c>
      <c r="B37" s="103"/>
      <c r="C37" s="103" t="s">
        <v>119</v>
      </c>
      <c r="D37" s="103">
        <v>4</v>
      </c>
      <c r="E37" s="103"/>
      <c r="F37" s="103"/>
      <c r="G37" s="103" t="s">
        <v>211</v>
      </c>
      <c r="H37" s="105"/>
      <c r="I37" s="105">
        <f t="shared" si="29"/>
        <v>3300</v>
      </c>
      <c r="J37" s="106">
        <v>2800</v>
      </c>
      <c r="K37" s="105"/>
      <c r="L37" s="103">
        <f>Q37*1.15</f>
        <v>3450</v>
      </c>
      <c r="M37" s="108">
        <v>3300</v>
      </c>
      <c r="N37" s="105"/>
      <c r="O37" s="103">
        <f>Q37*1.2</f>
        <v>3600</v>
      </c>
      <c r="P37" s="117">
        <v>3600</v>
      </c>
      <c r="Q37" s="110">
        <v>3000</v>
      </c>
      <c r="R37" s="110">
        <v>0</v>
      </c>
      <c r="S37" s="103">
        <f t="shared" si="30"/>
        <v>3000</v>
      </c>
      <c r="T37" s="103">
        <v>4</v>
      </c>
      <c r="U37" s="103">
        <v>2600</v>
      </c>
      <c r="V37" s="111">
        <v>640</v>
      </c>
      <c r="W37" s="112">
        <f t="shared" si="31"/>
        <v>3240</v>
      </c>
      <c r="X37" s="113">
        <f t="shared" si="32"/>
        <v>12960</v>
      </c>
      <c r="Y37" s="103">
        <v>948</v>
      </c>
      <c r="Z37" s="113">
        <f t="shared" si="33"/>
        <v>3792</v>
      </c>
      <c r="AA37" s="114"/>
      <c r="AB37" s="107">
        <v>1740</v>
      </c>
      <c r="AC37" s="103">
        <v>200</v>
      </c>
      <c r="AD37" s="103">
        <v>0</v>
      </c>
      <c r="AE37" s="103">
        <v>640</v>
      </c>
      <c r="AF37" s="103">
        <v>200</v>
      </c>
      <c r="AG37" s="103">
        <v>320</v>
      </c>
      <c r="AH37" s="103">
        <v>0</v>
      </c>
      <c r="AI37" s="103">
        <v>100</v>
      </c>
      <c r="AJ37" s="103">
        <f t="shared" si="34"/>
        <v>100</v>
      </c>
      <c r="AK37" s="103">
        <v>3300</v>
      </c>
      <c r="AL37" s="103">
        <f t="shared" si="35"/>
        <v>13200</v>
      </c>
      <c r="AM37" s="103">
        <v>948</v>
      </c>
      <c r="AN37" s="103">
        <f t="shared" si="36"/>
        <v>16992</v>
      </c>
    </row>
    <row r="38" spans="1:40">
      <c r="A38" s="103">
        <v>4</v>
      </c>
      <c r="B38" s="103"/>
      <c r="C38" s="103" t="s">
        <v>120</v>
      </c>
      <c r="D38" s="103">
        <v>4</v>
      </c>
      <c r="E38" s="103"/>
      <c r="F38" s="103"/>
      <c r="G38" s="103" t="s">
        <v>477</v>
      </c>
      <c r="H38" s="105">
        <v>3300</v>
      </c>
      <c r="I38" s="105">
        <f t="shared" si="29"/>
        <v>3960</v>
      </c>
      <c r="J38" s="106">
        <v>4000</v>
      </c>
      <c r="K38" s="107">
        <v>3800</v>
      </c>
      <c r="L38" s="103">
        <f t="shared" ref="L38:L43" si="37">Q38*1.15</f>
        <v>4140</v>
      </c>
      <c r="M38" s="106">
        <v>4100</v>
      </c>
      <c r="N38" s="105">
        <v>4300</v>
      </c>
      <c r="O38" s="103">
        <f t="shared" ref="O38:O43" si="38">Q38*1.2</f>
        <v>4320</v>
      </c>
      <c r="P38" s="117">
        <v>4300</v>
      </c>
      <c r="Q38" s="110">
        <v>3600</v>
      </c>
      <c r="R38" s="110">
        <v>0</v>
      </c>
      <c r="S38" s="103">
        <f t="shared" si="30"/>
        <v>3600</v>
      </c>
      <c r="T38" s="103">
        <v>4</v>
      </c>
      <c r="U38" s="103">
        <v>3200</v>
      </c>
      <c r="V38" s="111">
        <v>640</v>
      </c>
      <c r="W38" s="112">
        <f t="shared" si="31"/>
        <v>3840</v>
      </c>
      <c r="X38" s="113">
        <f t="shared" si="32"/>
        <v>15360</v>
      </c>
      <c r="Y38" s="103">
        <v>948</v>
      </c>
      <c r="Z38" s="113">
        <f t="shared" si="33"/>
        <v>3792</v>
      </c>
      <c r="AA38" s="114"/>
      <c r="AB38" s="107">
        <v>1740</v>
      </c>
      <c r="AC38" s="103">
        <v>200</v>
      </c>
      <c r="AD38" s="103">
        <v>0</v>
      </c>
      <c r="AE38" s="103">
        <v>640</v>
      </c>
      <c r="AF38" s="103">
        <v>200</v>
      </c>
      <c r="AG38" s="103">
        <v>380</v>
      </c>
      <c r="AH38" s="103">
        <v>0</v>
      </c>
      <c r="AI38" s="103">
        <v>100</v>
      </c>
      <c r="AJ38" s="103">
        <f t="shared" si="34"/>
        <v>640</v>
      </c>
      <c r="AK38" s="103">
        <v>3900</v>
      </c>
      <c r="AL38" s="103">
        <f t="shared" si="35"/>
        <v>15600</v>
      </c>
      <c r="AM38" s="103">
        <v>948</v>
      </c>
      <c r="AN38" s="103">
        <f t="shared" si="36"/>
        <v>19392</v>
      </c>
    </row>
    <row r="39" spans="1:40">
      <c r="A39" s="118" t="s">
        <v>461</v>
      </c>
      <c r="B39" s="119"/>
      <c r="C39" s="120"/>
      <c r="D39" s="103">
        <f>SUM(D35:D38)</f>
        <v>16</v>
      </c>
      <c r="E39" s="103"/>
      <c r="F39" s="103"/>
      <c r="G39" s="103"/>
      <c r="H39" s="105"/>
      <c r="I39" s="105"/>
      <c r="J39" s="106"/>
      <c r="K39" s="105"/>
      <c r="L39" s="103"/>
      <c r="M39" s="106"/>
      <c r="N39" s="105"/>
      <c r="O39" s="103"/>
      <c r="P39" s="117"/>
      <c r="Q39" s="110"/>
      <c r="R39" s="110"/>
      <c r="S39" s="103">
        <f t="shared" si="30"/>
        <v>0</v>
      </c>
      <c r="T39" s="103">
        <f>SUM(T35:T38)</f>
        <v>16</v>
      </c>
      <c r="U39" s="103"/>
      <c r="V39" s="103"/>
      <c r="W39" s="103"/>
      <c r="X39" s="113">
        <f>SUM(X35:X38)</f>
        <v>55040</v>
      </c>
      <c r="Y39" s="103"/>
      <c r="Z39" s="113">
        <f>SUM(Z35:Z38)</f>
        <v>15168</v>
      </c>
      <c r="AA39" s="114"/>
      <c r="AB39" s="107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</row>
    <row r="40" spans="1:40">
      <c r="A40" s="103">
        <v>1</v>
      </c>
      <c r="B40" s="103" t="s">
        <v>135</v>
      </c>
      <c r="C40" s="103"/>
      <c r="D40" s="103">
        <v>3</v>
      </c>
      <c r="E40" s="103"/>
      <c r="F40" s="103"/>
      <c r="G40" s="103" t="s">
        <v>476</v>
      </c>
      <c r="H40" s="105">
        <v>5500</v>
      </c>
      <c r="I40" s="105">
        <f t="shared" ref="I40:I46" si="39">Q40*1.1</f>
        <v>6050</v>
      </c>
      <c r="J40" s="106">
        <v>6000</v>
      </c>
      <c r="K40" s="107">
        <v>6500</v>
      </c>
      <c r="L40" s="103">
        <f t="shared" si="37"/>
        <v>6325</v>
      </c>
      <c r="M40" s="108">
        <v>6300</v>
      </c>
      <c r="N40" s="107">
        <v>7000</v>
      </c>
      <c r="O40" s="103">
        <f t="shared" si="38"/>
        <v>6600</v>
      </c>
      <c r="P40" s="109">
        <v>6600</v>
      </c>
      <c r="Q40" s="110">
        <v>5500</v>
      </c>
      <c r="R40" s="110">
        <v>400</v>
      </c>
      <c r="S40" s="103">
        <f t="shared" si="30"/>
        <v>5900</v>
      </c>
      <c r="T40" s="103">
        <v>3</v>
      </c>
      <c r="U40" s="103">
        <v>5200</v>
      </c>
      <c r="V40" s="111">
        <v>640</v>
      </c>
      <c r="W40" s="112">
        <f>U40+V40</f>
        <v>5840</v>
      </c>
      <c r="X40" s="113">
        <f>W40*T40</f>
        <v>17520</v>
      </c>
      <c r="Y40" s="103">
        <v>948</v>
      </c>
      <c r="Z40" s="113">
        <f>Y40*T40</f>
        <v>2844</v>
      </c>
      <c r="AA40" s="114"/>
      <c r="AB40" s="107">
        <v>1740</v>
      </c>
      <c r="AC40" s="103">
        <v>1000</v>
      </c>
      <c r="AD40" s="103">
        <v>0</v>
      </c>
      <c r="AE40" s="103">
        <v>640</v>
      </c>
      <c r="AF40" s="103">
        <v>200</v>
      </c>
      <c r="AG40" s="103">
        <v>1200</v>
      </c>
      <c r="AH40" s="103">
        <v>0</v>
      </c>
      <c r="AI40" s="103">
        <v>100</v>
      </c>
      <c r="AJ40" s="103">
        <f>AK40-AB40-AC40-AD40-AE40-AF40-AG40-AH40-100</f>
        <v>1020</v>
      </c>
      <c r="AK40" s="103">
        <v>5900</v>
      </c>
      <c r="AL40" s="103">
        <f>AK40*T40</f>
        <v>17700</v>
      </c>
      <c r="AM40" s="103">
        <v>948</v>
      </c>
      <c r="AN40" s="103">
        <f>AL40+AM40*T40</f>
        <v>20544</v>
      </c>
    </row>
    <row r="41" spans="1:40">
      <c r="A41" s="103">
        <v>2</v>
      </c>
      <c r="B41" s="103" t="s">
        <v>487</v>
      </c>
      <c r="C41" s="103" t="s">
        <v>167</v>
      </c>
      <c r="D41" s="103">
        <v>3</v>
      </c>
      <c r="E41" s="103"/>
      <c r="F41" s="103"/>
      <c r="G41" s="103" t="s">
        <v>476</v>
      </c>
      <c r="H41" s="105">
        <v>4500</v>
      </c>
      <c r="I41" s="105">
        <f t="shared" si="39"/>
        <v>5500</v>
      </c>
      <c r="J41" s="106">
        <v>5500</v>
      </c>
      <c r="K41" s="107">
        <v>5500</v>
      </c>
      <c r="L41" s="103">
        <f t="shared" si="37"/>
        <v>5750</v>
      </c>
      <c r="M41" s="108">
        <v>5800</v>
      </c>
      <c r="N41" s="107">
        <v>6000</v>
      </c>
      <c r="O41" s="103">
        <f t="shared" si="38"/>
        <v>6000</v>
      </c>
      <c r="P41" s="117">
        <v>6000</v>
      </c>
      <c r="Q41" s="110">
        <v>5000</v>
      </c>
      <c r="R41" s="110">
        <v>300</v>
      </c>
      <c r="S41" s="103">
        <f t="shared" ref="S41:S59" si="40">SUM(Q41:R41)</f>
        <v>5300</v>
      </c>
      <c r="T41" s="103">
        <v>3</v>
      </c>
      <c r="U41" s="103">
        <v>4600</v>
      </c>
      <c r="V41" s="111">
        <v>640</v>
      </c>
      <c r="W41" s="112">
        <f>U41+V41</f>
        <v>5240</v>
      </c>
      <c r="X41" s="113">
        <f>W41*T41</f>
        <v>15720</v>
      </c>
      <c r="Y41" s="103">
        <v>948</v>
      </c>
      <c r="Z41" s="113">
        <f>Y41*T41</f>
        <v>2844</v>
      </c>
      <c r="AA41" s="114"/>
      <c r="AB41" s="107">
        <v>1740</v>
      </c>
      <c r="AC41" s="103">
        <v>1000</v>
      </c>
      <c r="AD41" s="103">
        <v>0</v>
      </c>
      <c r="AE41" s="103">
        <v>640</v>
      </c>
      <c r="AF41" s="103">
        <v>200</v>
      </c>
      <c r="AG41" s="103">
        <v>1000</v>
      </c>
      <c r="AH41" s="103">
        <v>0</v>
      </c>
      <c r="AI41" s="103">
        <v>100</v>
      </c>
      <c r="AJ41" s="103">
        <f>AK41-AB41-AC41-AD41-AE41-AF41-AG41-AH41-100</f>
        <v>620</v>
      </c>
      <c r="AK41" s="103">
        <v>5300</v>
      </c>
      <c r="AL41" s="103">
        <f>AK41*T41</f>
        <v>15900</v>
      </c>
      <c r="AM41" s="103">
        <v>948</v>
      </c>
      <c r="AN41" s="103">
        <f>AL41+AM41*T41</f>
        <v>18744</v>
      </c>
    </row>
    <row r="42" spans="1:40">
      <c r="A42" s="103">
        <v>3</v>
      </c>
      <c r="B42" s="103"/>
      <c r="C42" s="103" t="s">
        <v>488</v>
      </c>
      <c r="D42" s="103">
        <v>3</v>
      </c>
      <c r="E42" s="103"/>
      <c r="F42" s="103"/>
      <c r="G42" s="103" t="s">
        <v>477</v>
      </c>
      <c r="H42" s="105">
        <v>4000</v>
      </c>
      <c r="I42" s="105">
        <f t="shared" si="39"/>
        <v>4620</v>
      </c>
      <c r="J42" s="106">
        <v>4600</v>
      </c>
      <c r="K42" s="107">
        <v>5000</v>
      </c>
      <c r="L42" s="103">
        <f t="shared" si="37"/>
        <v>4830</v>
      </c>
      <c r="M42" s="108">
        <v>4800</v>
      </c>
      <c r="N42" s="107">
        <v>5500</v>
      </c>
      <c r="O42" s="103">
        <f t="shared" si="38"/>
        <v>5040</v>
      </c>
      <c r="P42" s="109">
        <v>5000</v>
      </c>
      <c r="Q42" s="110">
        <v>4200</v>
      </c>
      <c r="R42" s="110">
        <v>150</v>
      </c>
      <c r="S42" s="103">
        <f t="shared" si="40"/>
        <v>4350</v>
      </c>
      <c r="T42" s="103">
        <v>3</v>
      </c>
      <c r="U42" s="103">
        <v>3900</v>
      </c>
      <c r="V42" s="111">
        <v>640</v>
      </c>
      <c r="W42" s="112">
        <f>U42+V42</f>
        <v>4540</v>
      </c>
      <c r="X42" s="113">
        <f>W42*T42</f>
        <v>13620</v>
      </c>
      <c r="Y42" s="103">
        <v>948</v>
      </c>
      <c r="Z42" s="113">
        <f>Y42*T42</f>
        <v>2844</v>
      </c>
      <c r="AA42" s="114"/>
      <c r="AB42" s="107">
        <v>1740</v>
      </c>
      <c r="AC42" s="103">
        <v>800</v>
      </c>
      <c r="AD42" s="103">
        <v>0</v>
      </c>
      <c r="AE42" s="103">
        <v>640</v>
      </c>
      <c r="AF42" s="103">
        <v>200</v>
      </c>
      <c r="AG42" s="103">
        <v>450</v>
      </c>
      <c r="AH42" s="103">
        <v>0</v>
      </c>
      <c r="AI42" s="103">
        <v>100</v>
      </c>
      <c r="AJ42" s="103">
        <f>AK42-AB42-AC42-AD42-AE42-AF42-AG42-AH42-100</f>
        <v>670</v>
      </c>
      <c r="AK42" s="103">
        <v>4600</v>
      </c>
      <c r="AL42" s="103">
        <f>AK42*T42</f>
        <v>13800</v>
      </c>
      <c r="AM42" s="103">
        <v>948</v>
      </c>
      <c r="AN42" s="103">
        <f>AL42+AM42*T42</f>
        <v>16644</v>
      </c>
    </row>
    <row r="43" spans="1:40">
      <c r="A43" s="103">
        <v>4</v>
      </c>
      <c r="B43" s="103"/>
      <c r="C43" s="103" t="s">
        <v>489</v>
      </c>
      <c r="D43" s="103">
        <v>3</v>
      </c>
      <c r="E43" s="103"/>
      <c r="F43" s="103"/>
      <c r="G43" s="103" t="s">
        <v>477</v>
      </c>
      <c r="H43" s="105">
        <v>3500</v>
      </c>
      <c r="I43" s="105">
        <f t="shared" si="39"/>
        <v>4620</v>
      </c>
      <c r="J43" s="106">
        <v>4000</v>
      </c>
      <c r="K43" s="107">
        <v>4500</v>
      </c>
      <c r="L43" s="103">
        <f t="shared" si="37"/>
        <v>4830</v>
      </c>
      <c r="M43" s="108">
        <v>4500</v>
      </c>
      <c r="N43" s="107">
        <v>5000</v>
      </c>
      <c r="O43" s="103">
        <f t="shared" si="38"/>
        <v>5040</v>
      </c>
      <c r="P43" s="117">
        <v>5000</v>
      </c>
      <c r="Q43" s="110">
        <v>4200</v>
      </c>
      <c r="R43" s="110"/>
      <c r="S43" s="103">
        <f t="shared" si="40"/>
        <v>4200</v>
      </c>
      <c r="T43" s="103">
        <v>3</v>
      </c>
      <c r="U43" s="103">
        <v>3700</v>
      </c>
      <c r="V43" s="111">
        <v>640</v>
      </c>
      <c r="W43" s="112">
        <f>U43+V43</f>
        <v>4340</v>
      </c>
      <c r="X43" s="113">
        <f>W43*T43</f>
        <v>13020</v>
      </c>
      <c r="Y43" s="103">
        <v>948</v>
      </c>
      <c r="Z43" s="113">
        <f>Y43*T43</f>
        <v>2844</v>
      </c>
      <c r="AA43" s="114"/>
      <c r="AB43" s="107">
        <v>1740</v>
      </c>
      <c r="AC43" s="103">
        <v>800</v>
      </c>
      <c r="AD43" s="103">
        <v>0</v>
      </c>
      <c r="AE43" s="103">
        <v>640</v>
      </c>
      <c r="AF43" s="103">
        <v>200</v>
      </c>
      <c r="AG43" s="103">
        <v>430</v>
      </c>
      <c r="AH43" s="103">
        <v>0</v>
      </c>
      <c r="AI43" s="103">
        <v>100</v>
      </c>
      <c r="AJ43" s="103">
        <f>AK43-AB43-AC43-AD43-AE43-AF43-AG43-AH43-100</f>
        <v>490</v>
      </c>
      <c r="AK43" s="103">
        <v>4400</v>
      </c>
      <c r="AL43" s="103">
        <f>AK43*T43</f>
        <v>13200</v>
      </c>
      <c r="AM43" s="103">
        <v>948</v>
      </c>
      <c r="AN43" s="103">
        <f>AL43+AM43*T43</f>
        <v>16044</v>
      </c>
    </row>
    <row r="44" spans="1:40">
      <c r="A44" s="103"/>
      <c r="B44" s="103"/>
      <c r="C44" s="103"/>
      <c r="D44" s="103"/>
      <c r="E44" s="103"/>
      <c r="F44" s="103"/>
      <c r="G44" s="103"/>
      <c r="H44" s="105"/>
      <c r="I44" s="105"/>
      <c r="J44" s="106"/>
      <c r="K44" s="105"/>
      <c r="L44" s="103"/>
      <c r="M44" s="106"/>
      <c r="N44" s="105"/>
      <c r="O44" s="103"/>
      <c r="P44" s="117"/>
      <c r="Q44" s="110"/>
      <c r="R44" s="110"/>
      <c r="S44" s="103">
        <f t="shared" si="40"/>
        <v>0</v>
      </c>
      <c r="T44" s="103"/>
      <c r="U44" s="103"/>
      <c r="V44" s="111"/>
      <c r="W44" s="112"/>
      <c r="X44" s="113"/>
      <c r="Y44" s="103"/>
      <c r="Z44" s="113"/>
      <c r="AA44" s="114"/>
      <c r="AB44" s="107"/>
      <c r="AC44" s="103"/>
      <c r="AD44" s="103"/>
      <c r="AE44" s="103"/>
      <c r="AF44" s="103"/>
      <c r="AG44" s="103"/>
      <c r="AH44" s="103"/>
      <c r="AI44" s="103"/>
      <c r="AJ44" s="103"/>
      <c r="AK44" s="103"/>
      <c r="AL44" s="103"/>
      <c r="AM44" s="103"/>
      <c r="AN44" s="103"/>
    </row>
    <row r="45" spans="1:40">
      <c r="A45" s="103">
        <v>5</v>
      </c>
      <c r="B45" s="103" t="s">
        <v>490</v>
      </c>
      <c r="C45" s="103" t="s">
        <v>167</v>
      </c>
      <c r="D45" s="103">
        <v>3</v>
      </c>
      <c r="E45" s="103"/>
      <c r="F45" s="103"/>
      <c r="G45" s="103" t="s">
        <v>476</v>
      </c>
      <c r="H45" s="105">
        <v>4500</v>
      </c>
      <c r="I45" s="105">
        <f t="shared" si="39"/>
        <v>4950</v>
      </c>
      <c r="J45" s="106">
        <v>4900</v>
      </c>
      <c r="K45" s="107">
        <v>5500</v>
      </c>
      <c r="L45" s="103">
        <f t="shared" ref="L45:L53" si="41">Q45*1.15</f>
        <v>5175</v>
      </c>
      <c r="M45" s="108">
        <v>5200</v>
      </c>
      <c r="N45" s="107">
        <v>6000</v>
      </c>
      <c r="O45" s="103">
        <f t="shared" ref="O45:O53" si="42">Q45*1.2</f>
        <v>5400</v>
      </c>
      <c r="P45" s="109">
        <v>5600</v>
      </c>
      <c r="Q45" s="110">
        <v>4500</v>
      </c>
      <c r="R45" s="110">
        <v>300</v>
      </c>
      <c r="S45" s="103">
        <f t="shared" si="40"/>
        <v>4800</v>
      </c>
      <c r="T45" s="103">
        <v>3</v>
      </c>
      <c r="U45" s="103">
        <v>4200</v>
      </c>
      <c r="V45" s="111">
        <v>640</v>
      </c>
      <c r="W45" s="112">
        <f t="shared" ref="W45:W55" si="43">U45+V45</f>
        <v>4840</v>
      </c>
      <c r="X45" s="113">
        <f t="shared" ref="X45:X55" si="44">W45*T45</f>
        <v>14520</v>
      </c>
      <c r="Y45" s="103">
        <v>948</v>
      </c>
      <c r="Z45" s="113">
        <f t="shared" ref="Z45:Z55" si="45">Y45*T45</f>
        <v>2844</v>
      </c>
      <c r="AA45" s="114"/>
      <c r="AB45" s="107">
        <v>1740</v>
      </c>
      <c r="AC45" s="103">
        <v>800</v>
      </c>
      <c r="AD45" s="103">
        <v>0</v>
      </c>
      <c r="AE45" s="103">
        <v>640</v>
      </c>
      <c r="AF45" s="103">
        <v>200</v>
      </c>
      <c r="AG45" s="103">
        <v>480</v>
      </c>
      <c r="AH45" s="103">
        <v>0</v>
      </c>
      <c r="AI45" s="103">
        <v>100</v>
      </c>
      <c r="AJ45" s="103">
        <f t="shared" ref="AJ45:AJ55" si="46">AK45-AB45-AC45-AD45-AE45-AF45-AG45-AH45-100</f>
        <v>940</v>
      </c>
      <c r="AK45" s="103">
        <v>4900</v>
      </c>
      <c r="AL45" s="103">
        <f t="shared" ref="AL45:AL55" si="47">AK45*T45</f>
        <v>14700</v>
      </c>
      <c r="AM45" s="103">
        <v>948</v>
      </c>
      <c r="AN45" s="103">
        <f t="shared" ref="AN45:AN55" si="48">AL45+AM45*T45</f>
        <v>17544</v>
      </c>
    </row>
    <row r="46" spans="1:40">
      <c r="A46" s="103">
        <v>6</v>
      </c>
      <c r="B46" s="103"/>
      <c r="C46" s="103" t="s">
        <v>488</v>
      </c>
      <c r="D46" s="103">
        <v>3</v>
      </c>
      <c r="E46" s="103"/>
      <c r="F46" s="103"/>
      <c r="G46" s="103" t="s">
        <v>477</v>
      </c>
      <c r="H46" s="105">
        <v>4000</v>
      </c>
      <c r="I46" s="105">
        <f t="shared" si="39"/>
        <v>4180</v>
      </c>
      <c r="J46" s="106">
        <v>4200</v>
      </c>
      <c r="K46" s="107">
        <v>5000</v>
      </c>
      <c r="L46" s="103">
        <f t="shared" si="41"/>
        <v>4370</v>
      </c>
      <c r="M46" s="108">
        <v>4400</v>
      </c>
      <c r="N46" s="107">
        <v>5500</v>
      </c>
      <c r="O46" s="103">
        <f t="shared" si="42"/>
        <v>4560</v>
      </c>
      <c r="P46" s="109">
        <v>4600</v>
      </c>
      <c r="Q46" s="110">
        <v>3800</v>
      </c>
      <c r="R46" s="110">
        <v>150</v>
      </c>
      <c r="S46" s="103">
        <f t="shared" si="40"/>
        <v>3950</v>
      </c>
      <c r="T46" s="103">
        <v>3</v>
      </c>
      <c r="U46" s="103">
        <v>3400</v>
      </c>
      <c r="V46" s="111">
        <v>640</v>
      </c>
      <c r="W46" s="112">
        <f t="shared" si="43"/>
        <v>4040</v>
      </c>
      <c r="X46" s="113">
        <f t="shared" si="44"/>
        <v>12120</v>
      </c>
      <c r="Y46" s="103">
        <v>948</v>
      </c>
      <c r="Z46" s="113">
        <f t="shared" si="45"/>
        <v>2844</v>
      </c>
      <c r="AA46" s="114"/>
      <c r="AB46" s="107">
        <v>1740</v>
      </c>
      <c r="AC46" s="103">
        <v>800</v>
      </c>
      <c r="AD46" s="103">
        <v>0</v>
      </c>
      <c r="AE46" s="103">
        <v>640</v>
      </c>
      <c r="AF46" s="103">
        <v>200</v>
      </c>
      <c r="AG46" s="103">
        <v>400</v>
      </c>
      <c r="AH46" s="103">
        <v>0</v>
      </c>
      <c r="AI46" s="103">
        <v>100</v>
      </c>
      <c r="AJ46" s="103">
        <f t="shared" si="46"/>
        <v>220</v>
      </c>
      <c r="AK46" s="103">
        <v>4100</v>
      </c>
      <c r="AL46" s="103">
        <f t="shared" si="47"/>
        <v>12300</v>
      </c>
      <c r="AM46" s="103">
        <v>948</v>
      </c>
      <c r="AN46" s="103">
        <f t="shared" si="48"/>
        <v>15144</v>
      </c>
    </row>
    <row r="47" spans="1:40">
      <c r="A47" s="103">
        <v>7</v>
      </c>
      <c r="B47" s="103"/>
      <c r="C47" s="103" t="s">
        <v>491</v>
      </c>
      <c r="D47" s="103">
        <v>3</v>
      </c>
      <c r="E47" s="103"/>
      <c r="F47" s="103"/>
      <c r="G47" s="103" t="s">
        <v>477</v>
      </c>
      <c r="H47" s="105">
        <v>3500</v>
      </c>
      <c r="I47" s="105">
        <f t="shared" ref="I47:I54" si="49">Q47*1.1</f>
        <v>3520</v>
      </c>
      <c r="J47" s="106">
        <v>3500</v>
      </c>
      <c r="K47" s="107">
        <v>4500</v>
      </c>
      <c r="L47" s="103">
        <f t="shared" si="41"/>
        <v>3680</v>
      </c>
      <c r="M47" s="108">
        <v>3700</v>
      </c>
      <c r="N47" s="107">
        <v>5000</v>
      </c>
      <c r="O47" s="103">
        <f t="shared" si="42"/>
        <v>3840</v>
      </c>
      <c r="P47" s="109">
        <v>3900</v>
      </c>
      <c r="Q47" s="110">
        <v>3200</v>
      </c>
      <c r="R47" s="110"/>
      <c r="S47" s="103">
        <f t="shared" si="40"/>
        <v>3200</v>
      </c>
      <c r="T47" s="103">
        <v>3</v>
      </c>
      <c r="U47" s="103">
        <v>2800</v>
      </c>
      <c r="V47" s="111">
        <v>640</v>
      </c>
      <c r="W47" s="112">
        <f t="shared" si="43"/>
        <v>3440</v>
      </c>
      <c r="X47" s="113">
        <f t="shared" si="44"/>
        <v>10320</v>
      </c>
      <c r="Y47" s="103">
        <v>948</v>
      </c>
      <c r="Z47" s="113">
        <f t="shared" si="45"/>
        <v>2844</v>
      </c>
      <c r="AA47" s="114"/>
      <c r="AB47" s="107">
        <v>1740</v>
      </c>
      <c r="AC47" s="103">
        <v>200</v>
      </c>
      <c r="AD47" s="103">
        <v>0</v>
      </c>
      <c r="AE47" s="103">
        <v>640</v>
      </c>
      <c r="AF47" s="103">
        <v>200</v>
      </c>
      <c r="AG47" s="103">
        <v>340</v>
      </c>
      <c r="AH47" s="103">
        <v>0</v>
      </c>
      <c r="AI47" s="103">
        <v>100</v>
      </c>
      <c r="AJ47" s="103">
        <f t="shared" si="46"/>
        <v>280</v>
      </c>
      <c r="AK47" s="103">
        <v>3500</v>
      </c>
      <c r="AL47" s="103">
        <f t="shared" si="47"/>
        <v>10500</v>
      </c>
      <c r="AM47" s="103">
        <v>948</v>
      </c>
      <c r="AN47" s="103">
        <f t="shared" si="48"/>
        <v>13344</v>
      </c>
    </row>
    <row r="48" spans="1:40">
      <c r="A48" s="103">
        <v>8</v>
      </c>
      <c r="B48" s="103" t="s">
        <v>492</v>
      </c>
      <c r="C48" s="103" t="s">
        <v>167</v>
      </c>
      <c r="D48" s="103">
        <v>3</v>
      </c>
      <c r="E48" s="103"/>
      <c r="F48" s="103"/>
      <c r="G48" s="103" t="s">
        <v>476</v>
      </c>
      <c r="H48" s="105">
        <v>4500</v>
      </c>
      <c r="I48" s="105">
        <f t="shared" si="49"/>
        <v>0</v>
      </c>
      <c r="J48" s="106">
        <v>4500</v>
      </c>
      <c r="K48" s="107">
        <v>5500</v>
      </c>
      <c r="L48" s="103">
        <f t="shared" si="41"/>
        <v>0</v>
      </c>
      <c r="M48" s="106">
        <v>5500</v>
      </c>
      <c r="N48" s="107">
        <v>6000</v>
      </c>
      <c r="O48" s="103">
        <f t="shared" si="42"/>
        <v>0</v>
      </c>
      <c r="P48" s="117">
        <v>6000</v>
      </c>
      <c r="Q48" s="110"/>
      <c r="R48" s="110"/>
      <c r="S48" s="103">
        <f t="shared" si="40"/>
        <v>0</v>
      </c>
      <c r="T48" s="103">
        <v>3</v>
      </c>
      <c r="U48" s="103">
        <v>4100</v>
      </c>
      <c r="V48" s="111">
        <v>640</v>
      </c>
      <c r="W48" s="112">
        <f t="shared" si="43"/>
        <v>4740</v>
      </c>
      <c r="X48" s="113">
        <f t="shared" si="44"/>
        <v>14220</v>
      </c>
      <c r="Y48" s="103">
        <v>948</v>
      </c>
      <c r="Z48" s="113">
        <f t="shared" si="45"/>
        <v>2844</v>
      </c>
      <c r="AA48" s="114"/>
      <c r="AB48" s="107">
        <v>1740</v>
      </c>
      <c r="AC48" s="103">
        <v>800</v>
      </c>
      <c r="AD48" s="103">
        <v>0</v>
      </c>
      <c r="AE48" s="103">
        <v>640</v>
      </c>
      <c r="AF48" s="103">
        <v>200</v>
      </c>
      <c r="AG48" s="103">
        <v>470</v>
      </c>
      <c r="AH48" s="103">
        <v>0</v>
      </c>
      <c r="AI48" s="103">
        <v>100</v>
      </c>
      <c r="AJ48" s="103">
        <f t="shared" si="46"/>
        <v>850</v>
      </c>
      <c r="AK48" s="103">
        <v>4800</v>
      </c>
      <c r="AL48" s="103">
        <f t="shared" si="47"/>
        <v>14400</v>
      </c>
      <c r="AM48" s="103">
        <v>948</v>
      </c>
      <c r="AN48" s="103">
        <f t="shared" si="48"/>
        <v>17244</v>
      </c>
    </row>
    <row r="49" spans="1:40">
      <c r="A49" s="103">
        <v>9</v>
      </c>
      <c r="B49" s="103"/>
      <c r="C49" s="103" t="s">
        <v>488</v>
      </c>
      <c r="D49" s="103">
        <v>3</v>
      </c>
      <c r="E49" s="103"/>
      <c r="F49" s="103"/>
      <c r="G49" s="103" t="s">
        <v>477</v>
      </c>
      <c r="H49" s="105">
        <v>4000</v>
      </c>
      <c r="I49" s="105">
        <f t="shared" si="49"/>
        <v>3520</v>
      </c>
      <c r="J49" s="108">
        <v>3500</v>
      </c>
      <c r="K49" s="107">
        <v>5000</v>
      </c>
      <c r="L49" s="103">
        <f t="shared" si="41"/>
        <v>3680</v>
      </c>
      <c r="M49" s="108">
        <v>3700</v>
      </c>
      <c r="N49" s="107">
        <v>5500</v>
      </c>
      <c r="O49" s="103">
        <f t="shared" si="42"/>
        <v>3840</v>
      </c>
      <c r="P49" s="109">
        <v>3900</v>
      </c>
      <c r="Q49" s="110">
        <v>3200</v>
      </c>
      <c r="R49" s="110"/>
      <c r="S49" s="103">
        <f t="shared" si="40"/>
        <v>3200</v>
      </c>
      <c r="T49" s="103">
        <v>3</v>
      </c>
      <c r="U49" s="103">
        <v>3900</v>
      </c>
      <c r="V49" s="111">
        <v>640</v>
      </c>
      <c r="W49" s="112">
        <f t="shared" si="43"/>
        <v>4540</v>
      </c>
      <c r="X49" s="113">
        <f t="shared" si="44"/>
        <v>13620</v>
      </c>
      <c r="Y49" s="103">
        <v>948</v>
      </c>
      <c r="Z49" s="113">
        <f t="shared" si="45"/>
        <v>2844</v>
      </c>
      <c r="AA49" s="114"/>
      <c r="AB49" s="107">
        <v>1740</v>
      </c>
      <c r="AC49" s="103">
        <v>800</v>
      </c>
      <c r="AD49" s="103">
        <v>0</v>
      </c>
      <c r="AE49" s="103">
        <v>640</v>
      </c>
      <c r="AF49" s="103">
        <v>200</v>
      </c>
      <c r="AG49" s="103">
        <v>450</v>
      </c>
      <c r="AH49" s="103">
        <v>0</v>
      </c>
      <c r="AI49" s="103">
        <v>100</v>
      </c>
      <c r="AJ49" s="103">
        <f t="shared" si="46"/>
        <v>670</v>
      </c>
      <c r="AK49" s="103">
        <v>4600</v>
      </c>
      <c r="AL49" s="103">
        <f t="shared" si="47"/>
        <v>13800</v>
      </c>
      <c r="AM49" s="103">
        <v>948</v>
      </c>
      <c r="AN49" s="103">
        <f t="shared" si="48"/>
        <v>16644</v>
      </c>
    </row>
    <row r="50" spans="1:40">
      <c r="A50" s="103">
        <v>10</v>
      </c>
      <c r="B50" s="103" t="s">
        <v>493</v>
      </c>
      <c r="C50" s="116" t="s">
        <v>167</v>
      </c>
      <c r="D50" s="103">
        <v>3</v>
      </c>
      <c r="E50" s="103"/>
      <c r="F50" s="103"/>
      <c r="G50" s="103" t="s">
        <v>476</v>
      </c>
      <c r="H50" s="105">
        <v>3000</v>
      </c>
      <c r="I50" s="105">
        <f t="shared" si="49"/>
        <v>3300</v>
      </c>
      <c r="J50" s="106">
        <v>3300</v>
      </c>
      <c r="K50" s="105">
        <v>3500</v>
      </c>
      <c r="L50" s="103">
        <f t="shared" si="41"/>
        <v>3450</v>
      </c>
      <c r="M50" s="106">
        <v>3500</v>
      </c>
      <c r="N50" s="105">
        <v>4000</v>
      </c>
      <c r="O50" s="103">
        <f t="shared" si="42"/>
        <v>3600</v>
      </c>
      <c r="P50" s="109">
        <v>3700</v>
      </c>
      <c r="Q50" s="110">
        <v>3000</v>
      </c>
      <c r="R50" s="110">
        <v>0</v>
      </c>
      <c r="S50" s="103">
        <f t="shared" si="40"/>
        <v>3000</v>
      </c>
      <c r="T50" s="103">
        <v>3</v>
      </c>
      <c r="U50" s="103">
        <v>2700</v>
      </c>
      <c r="V50" s="111">
        <v>640</v>
      </c>
      <c r="W50" s="112">
        <f t="shared" si="43"/>
        <v>3340</v>
      </c>
      <c r="X50" s="113">
        <f t="shared" si="44"/>
        <v>10020</v>
      </c>
      <c r="Y50" s="103">
        <v>948</v>
      </c>
      <c r="Z50" s="113">
        <f t="shared" si="45"/>
        <v>2844</v>
      </c>
      <c r="AA50" s="114"/>
      <c r="AB50" s="107">
        <v>1740</v>
      </c>
      <c r="AC50" s="103">
        <v>200</v>
      </c>
      <c r="AD50" s="103">
        <v>0</v>
      </c>
      <c r="AE50" s="103">
        <v>640</v>
      </c>
      <c r="AF50" s="103">
        <v>200</v>
      </c>
      <c r="AG50" s="103">
        <v>330</v>
      </c>
      <c r="AH50" s="103">
        <v>0</v>
      </c>
      <c r="AI50" s="103">
        <v>100</v>
      </c>
      <c r="AJ50" s="103">
        <f t="shared" si="46"/>
        <v>190</v>
      </c>
      <c r="AK50" s="103">
        <v>3400</v>
      </c>
      <c r="AL50" s="103">
        <f t="shared" si="47"/>
        <v>10200</v>
      </c>
      <c r="AM50" s="103">
        <v>948</v>
      </c>
      <c r="AN50" s="103">
        <f t="shared" si="48"/>
        <v>13044</v>
      </c>
    </row>
    <row r="51" spans="1:40">
      <c r="A51" s="103">
        <v>11</v>
      </c>
      <c r="B51" s="107"/>
      <c r="C51" s="103" t="s">
        <v>488</v>
      </c>
      <c r="D51" s="103">
        <v>3</v>
      </c>
      <c r="E51" s="103"/>
      <c r="F51" s="103"/>
      <c r="G51" s="103" t="s">
        <v>477</v>
      </c>
      <c r="H51" s="105">
        <v>3000</v>
      </c>
      <c r="I51" s="105">
        <f t="shared" si="49"/>
        <v>0</v>
      </c>
      <c r="J51" s="106">
        <v>3000</v>
      </c>
      <c r="K51" s="105">
        <v>3500</v>
      </c>
      <c r="L51" s="103">
        <f t="shared" si="41"/>
        <v>0</v>
      </c>
      <c r="M51" s="106">
        <v>3500</v>
      </c>
      <c r="N51" s="105">
        <v>4000</v>
      </c>
      <c r="O51" s="103">
        <f t="shared" si="42"/>
        <v>0</v>
      </c>
      <c r="P51" s="117">
        <v>4000</v>
      </c>
      <c r="Q51" s="110"/>
      <c r="R51" s="110"/>
      <c r="S51" s="103">
        <f t="shared" si="40"/>
        <v>0</v>
      </c>
      <c r="T51" s="103">
        <v>3</v>
      </c>
      <c r="U51" s="103">
        <v>3100</v>
      </c>
      <c r="V51" s="111">
        <v>640</v>
      </c>
      <c r="W51" s="112">
        <f t="shared" si="43"/>
        <v>3740</v>
      </c>
      <c r="X51" s="113">
        <f t="shared" si="44"/>
        <v>11220</v>
      </c>
      <c r="Y51" s="103">
        <v>948</v>
      </c>
      <c r="Z51" s="113">
        <f t="shared" si="45"/>
        <v>2844</v>
      </c>
      <c r="AA51" s="114"/>
      <c r="AB51" s="107">
        <v>1740</v>
      </c>
      <c r="AC51" s="103">
        <v>200</v>
      </c>
      <c r="AD51" s="103">
        <v>0</v>
      </c>
      <c r="AE51" s="103">
        <v>640</v>
      </c>
      <c r="AF51" s="103">
        <v>200</v>
      </c>
      <c r="AG51" s="103">
        <v>370</v>
      </c>
      <c r="AH51" s="103">
        <v>0</v>
      </c>
      <c r="AI51" s="103">
        <v>100</v>
      </c>
      <c r="AJ51" s="103">
        <f t="shared" si="46"/>
        <v>550</v>
      </c>
      <c r="AK51" s="103">
        <v>3800</v>
      </c>
      <c r="AL51" s="103">
        <f t="shared" si="47"/>
        <v>11400</v>
      </c>
      <c r="AM51" s="103">
        <v>948</v>
      </c>
      <c r="AN51" s="103">
        <f t="shared" si="48"/>
        <v>14244</v>
      </c>
    </row>
    <row r="52" spans="1:40">
      <c r="A52" s="103">
        <v>12</v>
      </c>
      <c r="B52" s="103"/>
      <c r="C52" s="116" t="s">
        <v>156</v>
      </c>
      <c r="D52" s="103">
        <v>3</v>
      </c>
      <c r="E52" s="103"/>
      <c r="F52" s="103"/>
      <c r="G52" s="103" t="s">
        <v>211</v>
      </c>
      <c r="H52" s="105"/>
      <c r="I52" s="105">
        <f t="shared" si="49"/>
        <v>3630</v>
      </c>
      <c r="J52" s="108">
        <v>3500</v>
      </c>
      <c r="K52" s="105"/>
      <c r="L52" s="103">
        <f t="shared" si="41"/>
        <v>3795</v>
      </c>
      <c r="M52" s="106">
        <v>3800</v>
      </c>
      <c r="N52" s="105"/>
      <c r="O52" s="103">
        <f t="shared" si="42"/>
        <v>3960</v>
      </c>
      <c r="P52" s="117">
        <v>4000</v>
      </c>
      <c r="Q52" s="110">
        <v>3300</v>
      </c>
      <c r="R52" s="110">
        <v>0</v>
      </c>
      <c r="S52" s="103">
        <f t="shared" si="40"/>
        <v>3300</v>
      </c>
      <c r="T52" s="103">
        <v>3</v>
      </c>
      <c r="U52" s="103">
        <v>2900</v>
      </c>
      <c r="V52" s="111">
        <v>640</v>
      </c>
      <c r="W52" s="112">
        <f t="shared" si="43"/>
        <v>3540</v>
      </c>
      <c r="X52" s="113">
        <f t="shared" si="44"/>
        <v>10620</v>
      </c>
      <c r="Y52" s="103">
        <v>948</v>
      </c>
      <c r="Z52" s="113">
        <f t="shared" si="45"/>
        <v>2844</v>
      </c>
      <c r="AA52" s="114"/>
      <c r="AB52" s="107">
        <v>1740</v>
      </c>
      <c r="AC52" s="103">
        <v>200</v>
      </c>
      <c r="AD52" s="103">
        <v>0</v>
      </c>
      <c r="AE52" s="103">
        <v>640</v>
      </c>
      <c r="AF52" s="103">
        <v>200</v>
      </c>
      <c r="AG52" s="103">
        <v>350</v>
      </c>
      <c r="AH52" s="103">
        <v>0</v>
      </c>
      <c r="AI52" s="103">
        <v>100</v>
      </c>
      <c r="AJ52" s="103">
        <f t="shared" si="46"/>
        <v>370</v>
      </c>
      <c r="AK52" s="103">
        <v>3600</v>
      </c>
      <c r="AL52" s="103">
        <f t="shared" si="47"/>
        <v>10800</v>
      </c>
      <c r="AM52" s="103">
        <v>948</v>
      </c>
      <c r="AN52" s="103">
        <f t="shared" si="48"/>
        <v>13644</v>
      </c>
    </row>
    <row r="53" spans="1:40">
      <c r="A53" s="103">
        <v>13</v>
      </c>
      <c r="B53" s="107"/>
      <c r="C53" s="103" t="s">
        <v>157</v>
      </c>
      <c r="D53" s="103">
        <v>3</v>
      </c>
      <c r="E53" s="103"/>
      <c r="F53" s="103"/>
      <c r="G53" s="103" t="s">
        <v>211</v>
      </c>
      <c r="H53" s="105"/>
      <c r="I53" s="105">
        <f t="shared" si="49"/>
        <v>3080</v>
      </c>
      <c r="J53" s="106">
        <v>2800</v>
      </c>
      <c r="K53" s="105"/>
      <c r="L53" s="103">
        <f t="shared" si="41"/>
        <v>3220</v>
      </c>
      <c r="M53" s="106">
        <v>3200</v>
      </c>
      <c r="N53" s="105"/>
      <c r="O53" s="103">
        <f t="shared" si="42"/>
        <v>3360</v>
      </c>
      <c r="P53" s="117">
        <v>3400</v>
      </c>
      <c r="Q53" s="110">
        <v>2800</v>
      </c>
      <c r="R53" s="110">
        <v>0</v>
      </c>
      <c r="S53" s="103">
        <f t="shared" si="40"/>
        <v>2800</v>
      </c>
      <c r="T53" s="103">
        <v>3</v>
      </c>
      <c r="U53" s="103">
        <v>2700</v>
      </c>
      <c r="V53" s="111">
        <v>640</v>
      </c>
      <c r="W53" s="112">
        <f t="shared" si="43"/>
        <v>3340</v>
      </c>
      <c r="X53" s="113">
        <f t="shared" si="44"/>
        <v>10020</v>
      </c>
      <c r="Y53" s="103">
        <v>948</v>
      </c>
      <c r="Z53" s="113">
        <f t="shared" si="45"/>
        <v>2844</v>
      </c>
      <c r="AA53" s="114"/>
      <c r="AB53" s="107">
        <v>1740</v>
      </c>
      <c r="AC53" s="103">
        <v>200</v>
      </c>
      <c r="AD53" s="103">
        <v>0</v>
      </c>
      <c r="AE53" s="103">
        <v>640</v>
      </c>
      <c r="AF53" s="103">
        <v>200</v>
      </c>
      <c r="AG53" s="103">
        <v>330</v>
      </c>
      <c r="AH53" s="103">
        <v>0</v>
      </c>
      <c r="AI53" s="103">
        <v>100</v>
      </c>
      <c r="AJ53" s="103">
        <f t="shared" si="46"/>
        <v>190</v>
      </c>
      <c r="AK53" s="103">
        <v>3400</v>
      </c>
      <c r="AL53" s="103">
        <f t="shared" si="47"/>
        <v>10200</v>
      </c>
      <c r="AM53" s="103">
        <v>948</v>
      </c>
      <c r="AN53" s="103">
        <f t="shared" si="48"/>
        <v>13044</v>
      </c>
    </row>
    <row r="54" spans="1:40">
      <c r="A54" s="103">
        <v>14</v>
      </c>
      <c r="B54" s="124" t="s">
        <v>494</v>
      </c>
      <c r="C54" s="124"/>
      <c r="D54" s="103">
        <v>3</v>
      </c>
      <c r="E54" s="103"/>
      <c r="F54" s="103"/>
      <c r="G54" s="103" t="s">
        <v>477</v>
      </c>
      <c r="H54" s="105">
        <v>2500</v>
      </c>
      <c r="I54" s="105">
        <f t="shared" si="49"/>
        <v>3190</v>
      </c>
      <c r="J54" s="106">
        <v>3200</v>
      </c>
      <c r="K54" s="107">
        <v>3800</v>
      </c>
      <c r="L54" s="103">
        <f t="shared" ref="L54:L58" si="50">Q54*1.15</f>
        <v>3335</v>
      </c>
      <c r="M54" s="108">
        <v>3400</v>
      </c>
      <c r="N54" s="107">
        <v>4000</v>
      </c>
      <c r="O54" s="103">
        <f t="shared" ref="O54:O58" si="51">Q54*1.2</f>
        <v>3480</v>
      </c>
      <c r="P54" s="109">
        <v>3600</v>
      </c>
      <c r="Q54" s="110">
        <v>2900</v>
      </c>
      <c r="R54" s="110">
        <v>100</v>
      </c>
      <c r="S54" s="103">
        <f t="shared" si="40"/>
        <v>3000</v>
      </c>
      <c r="T54" s="103">
        <v>3</v>
      </c>
      <c r="U54" s="103">
        <v>2600</v>
      </c>
      <c r="V54" s="111">
        <v>640</v>
      </c>
      <c r="W54" s="112">
        <f t="shared" si="43"/>
        <v>3240</v>
      </c>
      <c r="X54" s="113">
        <f t="shared" si="44"/>
        <v>9720</v>
      </c>
      <c r="Y54" s="103">
        <v>948</v>
      </c>
      <c r="Z54" s="113">
        <f t="shared" si="45"/>
        <v>2844</v>
      </c>
      <c r="AA54" s="114"/>
      <c r="AB54" s="107">
        <v>1740</v>
      </c>
      <c r="AC54" s="103">
        <v>200</v>
      </c>
      <c r="AD54" s="103">
        <v>0</v>
      </c>
      <c r="AE54" s="103">
        <v>640</v>
      </c>
      <c r="AF54" s="103">
        <v>200</v>
      </c>
      <c r="AG54" s="103">
        <v>320</v>
      </c>
      <c r="AH54" s="103">
        <v>0</v>
      </c>
      <c r="AI54" s="103">
        <v>100</v>
      </c>
      <c r="AJ54" s="103">
        <f t="shared" si="46"/>
        <v>100</v>
      </c>
      <c r="AK54" s="103">
        <v>3300</v>
      </c>
      <c r="AL54" s="103">
        <f t="shared" si="47"/>
        <v>9900</v>
      </c>
      <c r="AM54" s="103">
        <v>948</v>
      </c>
      <c r="AN54" s="103">
        <f t="shared" si="48"/>
        <v>12744</v>
      </c>
    </row>
    <row r="55" spans="1:40">
      <c r="A55" s="103">
        <v>15</v>
      </c>
      <c r="B55" s="103" t="s">
        <v>159</v>
      </c>
      <c r="C55" s="103"/>
      <c r="D55" s="103">
        <v>3</v>
      </c>
      <c r="E55" s="103"/>
      <c r="F55" s="103"/>
      <c r="G55" s="103" t="s">
        <v>477</v>
      </c>
      <c r="H55" s="105">
        <v>2500</v>
      </c>
      <c r="I55" s="105">
        <f t="shared" ref="I55:I58" si="52">Q55*1.1</f>
        <v>3520</v>
      </c>
      <c r="J55" s="106">
        <v>3500</v>
      </c>
      <c r="K55" s="107">
        <v>4000</v>
      </c>
      <c r="L55" s="103">
        <f t="shared" si="50"/>
        <v>3680</v>
      </c>
      <c r="M55" s="108">
        <v>3700</v>
      </c>
      <c r="N55" s="107">
        <v>4500</v>
      </c>
      <c r="O55" s="103">
        <f t="shared" si="51"/>
        <v>3840</v>
      </c>
      <c r="P55" s="109">
        <v>3900</v>
      </c>
      <c r="Q55" s="110">
        <v>3200</v>
      </c>
      <c r="R55" s="110">
        <v>0</v>
      </c>
      <c r="S55" s="103">
        <f t="shared" si="40"/>
        <v>3200</v>
      </c>
      <c r="T55" s="103">
        <v>3</v>
      </c>
      <c r="U55" s="103">
        <v>2800</v>
      </c>
      <c r="V55" s="111">
        <v>640</v>
      </c>
      <c r="W55" s="112">
        <f t="shared" si="43"/>
        <v>3440</v>
      </c>
      <c r="X55" s="113">
        <f t="shared" si="44"/>
        <v>10320</v>
      </c>
      <c r="Y55" s="103">
        <v>948</v>
      </c>
      <c r="Z55" s="113">
        <f t="shared" si="45"/>
        <v>2844</v>
      </c>
      <c r="AA55" s="114"/>
      <c r="AB55" s="107">
        <v>1740</v>
      </c>
      <c r="AC55" s="103">
        <v>200</v>
      </c>
      <c r="AD55" s="103">
        <v>0</v>
      </c>
      <c r="AE55" s="103">
        <v>640</v>
      </c>
      <c r="AF55" s="103">
        <v>200</v>
      </c>
      <c r="AG55" s="103">
        <v>340</v>
      </c>
      <c r="AH55" s="103">
        <v>0</v>
      </c>
      <c r="AI55" s="103">
        <v>100</v>
      </c>
      <c r="AJ55" s="103">
        <f t="shared" si="46"/>
        <v>280</v>
      </c>
      <c r="AK55" s="103">
        <v>3500</v>
      </c>
      <c r="AL55" s="103">
        <f t="shared" si="47"/>
        <v>10500</v>
      </c>
      <c r="AM55" s="103">
        <v>948</v>
      </c>
      <c r="AN55" s="103">
        <f t="shared" si="48"/>
        <v>13344</v>
      </c>
    </row>
    <row r="56" spans="1:40">
      <c r="A56" s="118"/>
      <c r="B56" s="119"/>
      <c r="C56" s="120"/>
      <c r="D56" s="118">
        <v>45</v>
      </c>
      <c r="E56" s="119"/>
      <c r="F56" s="120"/>
      <c r="G56" s="103"/>
      <c r="H56" s="105"/>
      <c r="I56" s="105"/>
      <c r="J56" s="106"/>
      <c r="K56" s="105"/>
      <c r="L56" s="103"/>
      <c r="M56" s="106"/>
      <c r="N56" s="105"/>
      <c r="O56" s="103"/>
      <c r="P56" s="117"/>
      <c r="Q56" s="110"/>
      <c r="R56" s="110"/>
      <c r="S56" s="103">
        <f t="shared" si="40"/>
        <v>0</v>
      </c>
      <c r="T56" s="103">
        <v>45</v>
      </c>
      <c r="U56" s="103"/>
      <c r="V56" s="111"/>
      <c r="W56" s="111"/>
      <c r="X56" s="113">
        <f>SUM(X40:X55)</f>
        <v>186600</v>
      </c>
      <c r="Y56" s="103"/>
      <c r="Z56" s="113">
        <f>SUM(Z40:Z55)</f>
        <v>42660</v>
      </c>
      <c r="AA56" s="114"/>
      <c r="AB56" s="107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</row>
    <row r="57" spans="1:40">
      <c r="A57" s="118">
        <v>1</v>
      </c>
      <c r="B57" s="103" t="s">
        <v>495</v>
      </c>
      <c r="C57" s="120" t="s">
        <v>496</v>
      </c>
      <c r="D57" s="118">
        <v>6</v>
      </c>
      <c r="E57" s="119"/>
      <c r="F57" s="120"/>
      <c r="G57" s="103" t="s">
        <v>211</v>
      </c>
      <c r="H57" s="105"/>
      <c r="I57" s="105">
        <f t="shared" si="52"/>
        <v>2860</v>
      </c>
      <c r="J57" s="106">
        <v>2800</v>
      </c>
      <c r="K57" s="107">
        <v>3800</v>
      </c>
      <c r="L57" s="103">
        <f t="shared" si="50"/>
        <v>2990</v>
      </c>
      <c r="M57" s="108">
        <v>3000</v>
      </c>
      <c r="N57" s="107">
        <v>4000</v>
      </c>
      <c r="O57" s="103">
        <f t="shared" si="51"/>
        <v>3120</v>
      </c>
      <c r="P57" s="109">
        <v>3200</v>
      </c>
      <c r="Q57" s="110">
        <v>2600</v>
      </c>
      <c r="R57" s="110">
        <v>0</v>
      </c>
      <c r="S57" s="103">
        <f t="shared" si="40"/>
        <v>2600</v>
      </c>
      <c r="T57" s="103">
        <v>6</v>
      </c>
      <c r="U57" s="103">
        <v>2600</v>
      </c>
      <c r="V57" s="111">
        <v>640</v>
      </c>
      <c r="W57" s="112">
        <f>U57+V57</f>
        <v>3240</v>
      </c>
      <c r="X57" s="113">
        <f>W57*T57</f>
        <v>19440</v>
      </c>
      <c r="Y57" s="103">
        <v>948</v>
      </c>
      <c r="Z57" s="113">
        <f>Y57*T57</f>
        <v>5688</v>
      </c>
      <c r="AA57" s="114"/>
      <c r="AB57" s="107">
        <v>1740</v>
      </c>
      <c r="AC57" s="103">
        <v>200</v>
      </c>
      <c r="AD57" s="103">
        <v>0</v>
      </c>
      <c r="AE57" s="103">
        <v>640</v>
      </c>
      <c r="AF57" s="103">
        <v>200</v>
      </c>
      <c r="AG57" s="103">
        <v>320</v>
      </c>
      <c r="AH57" s="103">
        <v>0</v>
      </c>
      <c r="AI57" s="103">
        <v>100</v>
      </c>
      <c r="AJ57" s="103">
        <f>AK57-AB57-AC57-AD57-AE57-AF57-AG57-AH57-100</f>
        <v>100</v>
      </c>
      <c r="AK57" s="103">
        <v>3300</v>
      </c>
      <c r="AL57" s="103">
        <f>AK57*T57</f>
        <v>19800</v>
      </c>
      <c r="AM57" s="103">
        <v>948</v>
      </c>
      <c r="AN57" s="103">
        <f>AL57+AM57*T57</f>
        <v>25488</v>
      </c>
    </row>
    <row r="58" spans="1:40">
      <c r="A58" s="118">
        <v>2</v>
      </c>
      <c r="B58" s="103"/>
      <c r="C58" s="120" t="s">
        <v>107</v>
      </c>
      <c r="D58" s="118">
        <v>3</v>
      </c>
      <c r="E58" s="119"/>
      <c r="F58" s="120"/>
      <c r="G58" s="103" t="s">
        <v>211</v>
      </c>
      <c r="H58" s="105"/>
      <c r="I58" s="105">
        <f t="shared" si="52"/>
        <v>2860</v>
      </c>
      <c r="J58" s="106">
        <v>2800</v>
      </c>
      <c r="K58" s="105"/>
      <c r="L58" s="103">
        <f t="shared" si="50"/>
        <v>2990</v>
      </c>
      <c r="M58" s="108">
        <v>3000</v>
      </c>
      <c r="N58" s="105"/>
      <c r="O58" s="103">
        <f t="shared" si="51"/>
        <v>3120</v>
      </c>
      <c r="P58" s="109">
        <v>3200</v>
      </c>
      <c r="Q58" s="110">
        <v>2600</v>
      </c>
      <c r="R58" s="110">
        <v>400</v>
      </c>
      <c r="S58" s="103">
        <f t="shared" si="40"/>
        <v>3000</v>
      </c>
      <c r="T58" s="103">
        <v>3</v>
      </c>
      <c r="U58" s="103">
        <v>2600</v>
      </c>
      <c r="V58" s="111">
        <v>640</v>
      </c>
      <c r="W58" s="112">
        <f>U58+V58</f>
        <v>3240</v>
      </c>
      <c r="X58" s="113">
        <f>W58*T58</f>
        <v>9720</v>
      </c>
      <c r="Y58" s="103">
        <v>948</v>
      </c>
      <c r="Z58" s="113">
        <f>Y58*T58</f>
        <v>2844</v>
      </c>
      <c r="AA58" s="114"/>
      <c r="AB58" s="107">
        <v>1740</v>
      </c>
      <c r="AC58" s="103">
        <v>200</v>
      </c>
      <c r="AD58" s="103">
        <v>0</v>
      </c>
      <c r="AE58" s="103">
        <v>640</v>
      </c>
      <c r="AF58" s="103">
        <v>200</v>
      </c>
      <c r="AG58" s="103">
        <v>320</v>
      </c>
      <c r="AH58" s="103">
        <v>0</v>
      </c>
      <c r="AI58" s="103">
        <v>100</v>
      </c>
      <c r="AJ58" s="103">
        <f>AK58-AB58-AC58-AD58-AE58-AF58-AG58-AH58-100</f>
        <v>100</v>
      </c>
      <c r="AK58" s="103">
        <v>3300</v>
      </c>
      <c r="AL58" s="103">
        <f>AK58*T58</f>
        <v>9900</v>
      </c>
      <c r="AM58" s="103">
        <v>948</v>
      </c>
      <c r="AN58" s="103">
        <f>AL58+AM58*T58</f>
        <v>12744</v>
      </c>
    </row>
    <row r="59" spans="1:40">
      <c r="A59" s="118"/>
      <c r="B59" s="118" t="s">
        <v>461</v>
      </c>
      <c r="C59" s="120"/>
      <c r="D59" s="118">
        <v>9</v>
      </c>
      <c r="E59" s="119"/>
      <c r="F59" s="120"/>
      <c r="G59" s="103"/>
      <c r="H59" s="105"/>
      <c r="I59" s="105"/>
      <c r="J59" s="105"/>
      <c r="K59" s="105"/>
      <c r="L59" s="103"/>
      <c r="M59" s="105"/>
      <c r="N59" s="105"/>
      <c r="O59" s="103"/>
      <c r="P59" s="110"/>
      <c r="Q59" s="110"/>
      <c r="R59" s="110"/>
      <c r="S59" s="103">
        <f t="shared" si="40"/>
        <v>0</v>
      </c>
      <c r="T59" s="103">
        <v>9</v>
      </c>
      <c r="U59" s="103"/>
      <c r="V59" s="111"/>
      <c r="W59" s="111"/>
      <c r="X59" s="113">
        <f>SUM(X57:X58)</f>
        <v>29160</v>
      </c>
      <c r="Y59" s="103"/>
      <c r="Z59" s="113">
        <f>SUM(Z57:Z58)</f>
        <v>8532</v>
      </c>
      <c r="AA59" s="114"/>
      <c r="AB59" s="107"/>
      <c r="AC59" s="103"/>
      <c r="AD59" s="103"/>
      <c r="AE59" s="103"/>
      <c r="AF59" s="103"/>
      <c r="AG59" s="103"/>
      <c r="AH59" s="103"/>
      <c r="AI59" s="103"/>
      <c r="AJ59" s="103"/>
      <c r="AK59" s="103"/>
      <c r="AL59" s="103">
        <f>SUM(AL4:AL58)</f>
        <v>1066040</v>
      </c>
      <c r="AM59" s="103">
        <f>SUM(AM4:AM58)</f>
        <v>39816</v>
      </c>
      <c r="AN59" s="103">
        <f>SUM(AN4:AN58)</f>
        <v>1263224</v>
      </c>
    </row>
    <row r="60" spans="1:40">
      <c r="A60" s="125"/>
      <c r="B60" s="126" t="s">
        <v>497</v>
      </c>
      <c r="C60" s="127"/>
      <c r="D60" s="126">
        <f>D59+D56+D39+D34+D25+D22+D15+E15+F15</f>
        <v>214</v>
      </c>
      <c r="E60" s="128"/>
      <c r="F60" s="127"/>
      <c r="G60" s="129"/>
      <c r="H60" s="103"/>
      <c r="I60" s="103"/>
      <c r="J60" s="103"/>
      <c r="K60" s="103"/>
      <c r="L60" s="103"/>
      <c r="M60" s="103"/>
      <c r="N60" s="103"/>
      <c r="O60" s="103"/>
      <c r="P60" s="110"/>
      <c r="Q60" s="110"/>
      <c r="R60" s="110"/>
      <c r="S60" s="103"/>
      <c r="T60" s="129">
        <f>T59+T56+T39+T34+T25+T22+T15</f>
        <v>208</v>
      </c>
      <c r="U60" s="129"/>
      <c r="V60" s="129"/>
      <c r="W60" s="130"/>
      <c r="X60" s="131">
        <f>X59+X56+X39+X34+X25+X22+X15</f>
        <v>1056920</v>
      </c>
      <c r="Y60" s="129"/>
      <c r="Z60" s="131">
        <f>Z59+Z56+Z39+Z34+Z25+Z22+Z15</f>
        <v>197184</v>
      </c>
      <c r="AA60" s="132">
        <f>X60+Z60</f>
        <v>1254104</v>
      </c>
      <c r="AB60" s="133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</row>
  </sheetData>
  <autoFilter xmlns:etc="http://www.wps.cn/officeDocument/2017/etCustomData" ref="A3:AN60" etc:filterBottomFollowUsedRange="0">
    <extLst/>
  </autoFilter>
  <mergeCells count="84">
    <mergeCell ref="A1:Z1"/>
    <mergeCell ref="AB1:AK1"/>
    <mergeCell ref="Q2:S2"/>
    <mergeCell ref="U2:Z2"/>
    <mergeCell ref="AB2:AC2"/>
    <mergeCell ref="AD2:AE2"/>
    <mergeCell ref="AG2:AH2"/>
    <mergeCell ref="AI2:AJ2"/>
    <mergeCell ref="A15:C15"/>
    <mergeCell ref="D16:F16"/>
    <mergeCell ref="D17:F17"/>
    <mergeCell ref="D18:F18"/>
    <mergeCell ref="D19:F19"/>
    <mergeCell ref="D20:F20"/>
    <mergeCell ref="D21:F21"/>
    <mergeCell ref="A22:C22"/>
    <mergeCell ref="D22:F22"/>
    <mergeCell ref="A25:C25"/>
    <mergeCell ref="D25:F25"/>
    <mergeCell ref="A34:C34"/>
    <mergeCell ref="D34:F34"/>
    <mergeCell ref="D35:F35"/>
    <mergeCell ref="D36:F36"/>
    <mergeCell ref="D37:F37"/>
    <mergeCell ref="D38:F38"/>
    <mergeCell ref="A39:C39"/>
    <mergeCell ref="D39:F39"/>
    <mergeCell ref="B40:C40"/>
    <mergeCell ref="D40:F40"/>
    <mergeCell ref="D41:F41"/>
    <mergeCell ref="D42:F42"/>
    <mergeCell ref="D43:F43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B54:C54"/>
    <mergeCell ref="D54:F54"/>
    <mergeCell ref="B55:C55"/>
    <mergeCell ref="D55:F55"/>
    <mergeCell ref="B56:C56"/>
    <mergeCell ref="D56:F56"/>
    <mergeCell ref="D57:F57"/>
    <mergeCell ref="D58:F58"/>
    <mergeCell ref="B59:C59"/>
    <mergeCell ref="D59:F59"/>
    <mergeCell ref="B60:C60"/>
    <mergeCell ref="D60:F60"/>
    <mergeCell ref="B2:B3"/>
    <mergeCell ref="B4:B14"/>
    <mergeCell ref="B16:B21"/>
    <mergeCell ref="B23:B24"/>
    <mergeCell ref="B26:B33"/>
    <mergeCell ref="B35:B38"/>
    <mergeCell ref="B41:B43"/>
    <mergeCell ref="B45:B47"/>
    <mergeCell ref="B48:B49"/>
    <mergeCell ref="B50:B53"/>
    <mergeCell ref="B57:B58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T2:T3"/>
    <mergeCell ref="AF2:AF3"/>
    <mergeCell ref="AK2:AK3"/>
    <mergeCell ref="AL2:AL3"/>
    <mergeCell ref="AM2:AM3"/>
    <mergeCell ref="AN2:AN3"/>
  </mergeCells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1"/>
  <sheetViews>
    <sheetView zoomScale="140" zoomScaleNormal="140" topLeftCell="A329" workbookViewId="0">
      <selection activeCell="E11" sqref="E11"/>
    </sheetView>
  </sheetViews>
  <sheetFormatPr defaultColWidth="9" defaultRowHeight="14"/>
  <cols>
    <col min="1" max="1" width="5.25454545454545" style="2" customWidth="1"/>
    <col min="2" max="2" width="15.3727272727273" style="3" customWidth="1"/>
    <col min="3" max="3" width="14.2545454545455" style="2" customWidth="1"/>
    <col min="4" max="4" width="12.3727272727273" style="2" customWidth="1"/>
    <col min="5" max="5" width="9.75454545454545" style="2" customWidth="1"/>
    <col min="6" max="6" width="10.6272727272727" style="2" customWidth="1"/>
    <col min="7" max="7" width="9.5" style="4" customWidth="1"/>
    <col min="8" max="9" width="9" style="2" customWidth="1"/>
    <col min="10" max="16384" width="9" style="2"/>
  </cols>
  <sheetData>
    <row r="1" ht="51" customHeight="1" spans="1:9">
      <c r="A1" s="5" t="s">
        <v>501</v>
      </c>
      <c r="B1" s="6"/>
      <c r="C1" s="7"/>
      <c r="D1" s="7"/>
      <c r="E1" s="7"/>
      <c r="F1" s="8"/>
      <c r="G1" s="9"/>
    </row>
    <row r="2" ht="18" customHeight="1" spans="1:9">
      <c r="A2" s="10" t="s">
        <v>1</v>
      </c>
      <c r="B2" s="11" t="s">
        <v>2</v>
      </c>
      <c r="C2" s="11" t="s">
        <v>502</v>
      </c>
      <c r="D2" s="12" t="s">
        <v>503</v>
      </c>
      <c r="E2" s="11" t="s">
        <v>504</v>
      </c>
      <c r="F2" s="11" t="s">
        <v>505</v>
      </c>
      <c r="G2" s="13" t="s">
        <v>506</v>
      </c>
      <c r="I2" s="14" t="s">
        <v>229</v>
      </c>
    </row>
    <row r="3" spans="1:9">
      <c r="A3" s="10"/>
      <c r="B3" s="11"/>
      <c r="C3" s="11"/>
      <c r="D3" s="12"/>
      <c r="E3" s="11"/>
      <c r="F3" s="15" t="s">
        <v>459</v>
      </c>
      <c r="G3" s="16" t="s">
        <v>467</v>
      </c>
      <c r="I3" s="14" t="s">
        <v>507</v>
      </c>
    </row>
    <row r="4" s="1" customFormat="1" ht="18.75" customHeight="1" spans="1:9">
      <c r="A4" s="17">
        <v>8</v>
      </c>
      <c r="B4" s="18" t="s">
        <v>508</v>
      </c>
      <c r="C4" s="19" t="s">
        <v>509</v>
      </c>
      <c r="D4" s="20">
        <v>45017</v>
      </c>
      <c r="E4" s="21" t="s">
        <v>510</v>
      </c>
      <c r="F4" s="22">
        <v>4300</v>
      </c>
      <c r="G4" s="23"/>
      <c r="I4" s="24">
        <f t="shared" ref="I4:I67" si="0">F4+G4</f>
        <v>4300</v>
      </c>
    </row>
    <row r="5" s="1" customFormat="1" ht="18" customHeight="1" spans="1:9">
      <c r="A5" s="17">
        <v>9</v>
      </c>
      <c r="B5" s="18" t="s">
        <v>508</v>
      </c>
      <c r="C5" s="19" t="s">
        <v>76</v>
      </c>
      <c r="D5" s="20">
        <v>45222</v>
      </c>
      <c r="E5" s="25" t="s">
        <v>511</v>
      </c>
      <c r="F5" s="26">
        <v>4000</v>
      </c>
      <c r="G5" s="23"/>
      <c r="I5" s="24">
        <f t="shared" si="0"/>
        <v>4000</v>
      </c>
    </row>
    <row r="6" s="1" customFormat="1" ht="18" customHeight="1" spans="1:9">
      <c r="A6" s="17">
        <v>10</v>
      </c>
      <c r="B6" s="18" t="s">
        <v>508</v>
      </c>
      <c r="C6" s="19" t="s">
        <v>512</v>
      </c>
      <c r="D6" s="20">
        <v>45257</v>
      </c>
      <c r="E6" s="25" t="s">
        <v>513</v>
      </c>
      <c r="F6" s="26">
        <v>3500</v>
      </c>
      <c r="G6" s="23"/>
      <c r="I6" s="24">
        <f t="shared" si="0"/>
        <v>3500</v>
      </c>
    </row>
    <row r="7" s="1" customFormat="1" ht="18" customHeight="1" spans="1:9">
      <c r="A7" s="17">
        <v>11</v>
      </c>
      <c r="B7" s="18" t="s">
        <v>508</v>
      </c>
      <c r="C7" s="19" t="s">
        <v>514</v>
      </c>
      <c r="D7" s="20">
        <v>45306</v>
      </c>
      <c r="E7" s="25" t="s">
        <v>515</v>
      </c>
      <c r="F7" s="26">
        <v>3500</v>
      </c>
      <c r="G7" s="23"/>
      <c r="I7" s="24">
        <f t="shared" si="0"/>
        <v>3500</v>
      </c>
    </row>
    <row r="8" s="1" customFormat="1" ht="18" customHeight="1" spans="1:9">
      <c r="A8" s="17">
        <v>12</v>
      </c>
      <c r="B8" s="18" t="s">
        <v>508</v>
      </c>
      <c r="C8" s="19" t="s">
        <v>78</v>
      </c>
      <c r="D8" s="27">
        <v>45346</v>
      </c>
      <c r="E8" s="25" t="s">
        <v>516</v>
      </c>
      <c r="F8" s="28">
        <v>3000</v>
      </c>
      <c r="G8" s="29"/>
      <c r="I8" s="24">
        <f t="shared" si="0"/>
        <v>3000</v>
      </c>
    </row>
    <row r="9" s="1" customFormat="1" ht="18" customHeight="1" spans="1:9">
      <c r="A9" s="17">
        <v>13</v>
      </c>
      <c r="B9" s="18" t="s">
        <v>508</v>
      </c>
      <c r="C9" s="19" t="s">
        <v>287</v>
      </c>
      <c r="D9" s="20">
        <v>41606</v>
      </c>
      <c r="E9" s="21" t="s">
        <v>517</v>
      </c>
      <c r="F9" s="22">
        <v>3000</v>
      </c>
      <c r="G9" s="23"/>
      <c r="I9" s="24">
        <f t="shared" si="0"/>
        <v>3000</v>
      </c>
    </row>
    <row r="10" s="1" customFormat="1" ht="18" customHeight="1" spans="1:9">
      <c r="A10" s="17">
        <v>14</v>
      </c>
      <c r="B10" s="18" t="s">
        <v>508</v>
      </c>
      <c r="C10" s="19" t="s">
        <v>287</v>
      </c>
      <c r="D10" s="20">
        <v>45118</v>
      </c>
      <c r="E10" s="30" t="s">
        <v>518</v>
      </c>
      <c r="F10" s="22">
        <v>3000</v>
      </c>
      <c r="G10" s="23"/>
      <c r="I10" s="24">
        <f t="shared" si="0"/>
        <v>3000</v>
      </c>
    </row>
    <row r="11" s="1" customFormat="1" ht="18" customHeight="1" spans="1:9">
      <c r="A11" s="17">
        <v>15</v>
      </c>
      <c r="B11" s="18" t="s">
        <v>508</v>
      </c>
      <c r="C11" s="19" t="s">
        <v>519</v>
      </c>
      <c r="D11" s="20">
        <v>43515</v>
      </c>
      <c r="E11" s="21" t="s">
        <v>520</v>
      </c>
      <c r="F11" s="22">
        <v>1700</v>
      </c>
      <c r="G11" s="23"/>
      <c r="I11" s="24">
        <f t="shared" si="0"/>
        <v>1700</v>
      </c>
    </row>
    <row r="12" s="1" customFormat="1" ht="18" customHeight="1" spans="1:9">
      <c r="A12" s="17">
        <v>16</v>
      </c>
      <c r="B12" s="18" t="s">
        <v>508</v>
      </c>
      <c r="C12" s="19" t="s">
        <v>521</v>
      </c>
      <c r="D12" s="20">
        <v>44852</v>
      </c>
      <c r="E12" s="30" t="s">
        <v>522</v>
      </c>
      <c r="F12" s="31">
        <v>3600</v>
      </c>
      <c r="G12" s="23"/>
      <c r="I12" s="24">
        <f t="shared" si="0"/>
        <v>3600</v>
      </c>
    </row>
    <row r="13" s="1" customFormat="1" ht="18" customHeight="1" spans="1:9">
      <c r="A13" s="17">
        <v>17</v>
      </c>
      <c r="B13" s="18" t="s">
        <v>508</v>
      </c>
      <c r="C13" s="19" t="s">
        <v>523</v>
      </c>
      <c r="D13" s="20">
        <v>43902</v>
      </c>
      <c r="E13" s="21" t="s">
        <v>524</v>
      </c>
      <c r="F13" s="22">
        <v>5800</v>
      </c>
      <c r="G13" s="23"/>
      <c r="I13" s="24">
        <f t="shared" si="0"/>
        <v>5800</v>
      </c>
    </row>
    <row r="14" s="1" customFormat="1" ht="18" customHeight="1" spans="1:9">
      <c r="A14" s="17">
        <v>18</v>
      </c>
      <c r="B14" s="18" t="s">
        <v>508</v>
      </c>
      <c r="C14" s="19" t="s">
        <v>525</v>
      </c>
      <c r="D14" s="20">
        <v>42869</v>
      </c>
      <c r="E14" s="25" t="s">
        <v>526</v>
      </c>
      <c r="F14" s="31">
        <v>3500</v>
      </c>
      <c r="G14" s="23"/>
      <c r="I14" s="24">
        <f t="shared" si="0"/>
        <v>3500</v>
      </c>
    </row>
    <row r="15" s="1" customFormat="1" ht="18" customHeight="1" spans="1:9">
      <c r="A15" s="17">
        <v>19</v>
      </c>
      <c r="B15" s="18" t="s">
        <v>508</v>
      </c>
      <c r="C15" s="19" t="s">
        <v>527</v>
      </c>
      <c r="D15" s="20">
        <v>44596</v>
      </c>
      <c r="E15" s="25" t="s">
        <v>528</v>
      </c>
      <c r="F15" s="31">
        <v>2400</v>
      </c>
      <c r="G15" s="23"/>
      <c r="I15" s="24">
        <f t="shared" si="0"/>
        <v>2400</v>
      </c>
    </row>
    <row r="16" s="1" customFormat="1" ht="18" customHeight="1" spans="1:9">
      <c r="A16" s="17">
        <v>20</v>
      </c>
      <c r="B16" s="18" t="s">
        <v>508</v>
      </c>
      <c r="C16" s="19" t="s">
        <v>527</v>
      </c>
      <c r="D16" s="20">
        <v>44540</v>
      </c>
      <c r="E16" s="21" t="s">
        <v>529</v>
      </c>
      <c r="F16" s="31">
        <v>2400</v>
      </c>
      <c r="G16" s="23"/>
      <c r="I16" s="24">
        <f t="shared" si="0"/>
        <v>2400</v>
      </c>
    </row>
    <row r="17" s="1" customFormat="1" ht="18" customHeight="1" spans="1:9">
      <c r="A17" s="17">
        <v>21</v>
      </c>
      <c r="B17" s="18" t="s">
        <v>508</v>
      </c>
      <c r="C17" s="19" t="s">
        <v>530</v>
      </c>
      <c r="D17" s="20">
        <v>43225</v>
      </c>
      <c r="E17" s="17" t="s">
        <v>531</v>
      </c>
      <c r="F17" s="23">
        <v>7000</v>
      </c>
      <c r="G17" s="23"/>
      <c r="I17" s="24">
        <f t="shared" si="0"/>
        <v>7000</v>
      </c>
    </row>
    <row r="18" s="1" customFormat="1" ht="18" customHeight="1" spans="1:9">
      <c r="A18" s="17">
        <v>22</v>
      </c>
      <c r="B18" s="18" t="s">
        <v>508</v>
      </c>
      <c r="C18" s="19" t="s">
        <v>347</v>
      </c>
      <c r="D18" s="20">
        <v>43444</v>
      </c>
      <c r="E18" s="25" t="s">
        <v>532</v>
      </c>
      <c r="F18" s="31">
        <v>2000</v>
      </c>
      <c r="G18" s="23"/>
      <c r="I18" s="24">
        <f t="shared" si="0"/>
        <v>2000</v>
      </c>
    </row>
    <row r="19" s="1" customFormat="1" ht="18" customHeight="1" spans="1:9">
      <c r="A19" s="17">
        <v>23</v>
      </c>
      <c r="B19" s="18" t="s">
        <v>508</v>
      </c>
      <c r="C19" s="19" t="s">
        <v>347</v>
      </c>
      <c r="D19" s="20">
        <v>44616</v>
      </c>
      <c r="E19" s="25" t="s">
        <v>533</v>
      </c>
      <c r="F19" s="31">
        <v>2000</v>
      </c>
      <c r="G19" s="23"/>
      <c r="I19" s="24">
        <f t="shared" si="0"/>
        <v>2000</v>
      </c>
    </row>
    <row r="20" s="1" customFormat="1" ht="18" customHeight="1" spans="1:9">
      <c r="A20" s="17">
        <v>24</v>
      </c>
      <c r="B20" s="18" t="s">
        <v>508</v>
      </c>
      <c r="C20" s="19" t="s">
        <v>347</v>
      </c>
      <c r="D20" s="20">
        <v>44183</v>
      </c>
      <c r="E20" s="25" t="s">
        <v>534</v>
      </c>
      <c r="F20" s="31">
        <v>2000</v>
      </c>
      <c r="G20" s="23"/>
      <c r="I20" s="24">
        <f t="shared" si="0"/>
        <v>2000</v>
      </c>
    </row>
    <row r="21" s="1" customFormat="1" ht="18" customHeight="1" spans="1:9">
      <c r="A21" s="17">
        <v>25</v>
      </c>
      <c r="B21" s="18" t="s">
        <v>508</v>
      </c>
      <c r="C21" s="19" t="s">
        <v>347</v>
      </c>
      <c r="D21" s="20">
        <v>41776</v>
      </c>
      <c r="E21" s="25" t="s">
        <v>535</v>
      </c>
      <c r="F21" s="31">
        <v>2000</v>
      </c>
      <c r="G21" s="23"/>
      <c r="I21" s="24">
        <f t="shared" si="0"/>
        <v>2000</v>
      </c>
    </row>
    <row r="22" s="1" customFormat="1" ht="18" customHeight="1" spans="1:9">
      <c r="A22" s="17">
        <v>26</v>
      </c>
      <c r="B22" s="18" t="s">
        <v>508</v>
      </c>
      <c r="C22" s="19" t="s">
        <v>347</v>
      </c>
      <c r="D22" s="20">
        <v>42740</v>
      </c>
      <c r="E22" s="25" t="s">
        <v>536</v>
      </c>
      <c r="F22" s="31">
        <v>2000</v>
      </c>
      <c r="G22" s="23"/>
      <c r="I22" s="24">
        <f t="shared" si="0"/>
        <v>2000</v>
      </c>
    </row>
    <row r="23" s="1" customFormat="1" ht="18" customHeight="1" spans="1:9">
      <c r="A23" s="17">
        <v>27</v>
      </c>
      <c r="B23" s="18" t="s">
        <v>508</v>
      </c>
      <c r="C23" s="19" t="s">
        <v>347</v>
      </c>
      <c r="D23" s="20">
        <v>42716</v>
      </c>
      <c r="E23" s="32" t="s">
        <v>537</v>
      </c>
      <c r="F23" s="31">
        <v>2000</v>
      </c>
      <c r="G23" s="23"/>
      <c r="I23" s="24">
        <f t="shared" si="0"/>
        <v>2000</v>
      </c>
    </row>
    <row r="24" s="1" customFormat="1" ht="18" customHeight="1" spans="1:9">
      <c r="A24" s="17">
        <v>28</v>
      </c>
      <c r="B24" s="33" t="s">
        <v>538</v>
      </c>
      <c r="C24" s="19" t="s">
        <v>539</v>
      </c>
      <c r="D24" s="20">
        <v>44624</v>
      </c>
      <c r="E24" s="21" t="s">
        <v>540</v>
      </c>
      <c r="F24" s="22">
        <v>6000</v>
      </c>
      <c r="G24" s="23"/>
      <c r="I24" s="24">
        <f t="shared" si="0"/>
        <v>6000</v>
      </c>
    </row>
    <row r="25" s="1" customFormat="1" ht="18" customHeight="1" spans="1:9">
      <c r="A25" s="17">
        <v>29</v>
      </c>
      <c r="B25" s="33" t="s">
        <v>538</v>
      </c>
      <c r="C25" s="19" t="s">
        <v>541</v>
      </c>
      <c r="D25" s="20">
        <v>45034</v>
      </c>
      <c r="E25" s="25" t="s">
        <v>542</v>
      </c>
      <c r="F25" s="31">
        <v>3000</v>
      </c>
      <c r="G25" s="23"/>
      <c r="I25" s="24">
        <f t="shared" si="0"/>
        <v>3000</v>
      </c>
    </row>
    <row r="26" s="1" customFormat="1" ht="18" customHeight="1" spans="1:9">
      <c r="A26" s="17">
        <v>32</v>
      </c>
      <c r="B26" s="34" t="s">
        <v>543</v>
      </c>
      <c r="C26" s="19" t="s">
        <v>544</v>
      </c>
      <c r="D26" s="20">
        <v>44432</v>
      </c>
      <c r="E26" s="25" t="s">
        <v>545</v>
      </c>
      <c r="F26" s="31">
        <v>4500</v>
      </c>
      <c r="G26" s="23"/>
      <c r="I26" s="24">
        <f t="shared" si="0"/>
        <v>4500</v>
      </c>
    </row>
    <row r="27" s="1" customFormat="1" ht="18" customHeight="1" spans="1:9">
      <c r="A27" s="17">
        <v>33</v>
      </c>
      <c r="B27" s="34" t="s">
        <v>543</v>
      </c>
      <c r="C27" s="19" t="s">
        <v>33</v>
      </c>
      <c r="D27" s="20">
        <v>42779</v>
      </c>
      <c r="E27" s="25" t="s">
        <v>546</v>
      </c>
      <c r="F27" s="31">
        <v>3500</v>
      </c>
      <c r="G27" s="23"/>
      <c r="I27" s="24">
        <f t="shared" si="0"/>
        <v>3500</v>
      </c>
    </row>
    <row r="28" s="1" customFormat="1" ht="18" customHeight="1" spans="1:9">
      <c r="A28" s="17">
        <v>34</v>
      </c>
      <c r="B28" s="34" t="s">
        <v>543</v>
      </c>
      <c r="C28" s="19" t="s">
        <v>34</v>
      </c>
      <c r="D28" s="20">
        <v>45189</v>
      </c>
      <c r="E28" s="17" t="s">
        <v>547</v>
      </c>
      <c r="F28" s="22">
        <v>3800</v>
      </c>
      <c r="G28" s="23"/>
      <c r="I28" s="24">
        <f t="shared" si="0"/>
        <v>3800</v>
      </c>
    </row>
    <row r="29" s="1" customFormat="1" ht="18" customHeight="1" spans="1:9">
      <c r="A29" s="17">
        <v>35</v>
      </c>
      <c r="B29" s="34" t="s">
        <v>543</v>
      </c>
      <c r="C29" s="19" t="s">
        <v>548</v>
      </c>
      <c r="D29" s="20">
        <v>45222</v>
      </c>
      <c r="E29" s="17" t="s">
        <v>549</v>
      </c>
      <c r="F29" s="22">
        <v>4500</v>
      </c>
      <c r="G29" s="23"/>
      <c r="I29" s="24">
        <f t="shared" si="0"/>
        <v>4500</v>
      </c>
    </row>
    <row r="30" s="1" customFormat="1" ht="18" customHeight="1" spans="1:9">
      <c r="A30" s="17">
        <v>37</v>
      </c>
      <c r="B30" s="34" t="s">
        <v>543</v>
      </c>
      <c r="C30" s="19" t="s">
        <v>43</v>
      </c>
      <c r="D30" s="20">
        <v>43850</v>
      </c>
      <c r="E30" s="25" t="s">
        <v>550</v>
      </c>
      <c r="F30" s="31">
        <v>2700</v>
      </c>
      <c r="G30" s="23"/>
      <c r="I30" s="24">
        <f t="shared" si="0"/>
        <v>2700</v>
      </c>
    </row>
    <row r="31" s="1" customFormat="1" ht="18" customHeight="1" spans="1:9">
      <c r="A31" s="17">
        <v>38</v>
      </c>
      <c r="B31" s="34" t="s">
        <v>543</v>
      </c>
      <c r="C31" s="19" t="s">
        <v>43</v>
      </c>
      <c r="D31" s="20">
        <v>44701</v>
      </c>
      <c r="E31" s="25" t="s">
        <v>551</v>
      </c>
      <c r="F31" s="31">
        <v>2700</v>
      </c>
      <c r="G31" s="23"/>
      <c r="I31" s="24">
        <f t="shared" si="0"/>
        <v>2700</v>
      </c>
    </row>
    <row r="32" s="1" customFormat="1" ht="18" customHeight="1" spans="1:9">
      <c r="A32" s="17">
        <v>39</v>
      </c>
      <c r="B32" s="34" t="s">
        <v>543</v>
      </c>
      <c r="C32" s="19" t="s">
        <v>43</v>
      </c>
      <c r="D32" s="20">
        <v>42898</v>
      </c>
      <c r="E32" s="17" t="s">
        <v>552</v>
      </c>
      <c r="F32" s="22">
        <v>2700</v>
      </c>
      <c r="G32" s="23"/>
      <c r="I32" s="24">
        <f t="shared" si="0"/>
        <v>2700</v>
      </c>
    </row>
    <row r="33" s="1" customFormat="1" ht="18" customHeight="1" spans="1:9">
      <c r="A33" s="17">
        <v>42</v>
      </c>
      <c r="B33" s="35" t="s">
        <v>553</v>
      </c>
      <c r="C33" s="19" t="s">
        <v>554</v>
      </c>
      <c r="D33" s="20">
        <v>44986</v>
      </c>
      <c r="E33" s="17" t="s">
        <v>555</v>
      </c>
      <c r="F33" s="22">
        <v>4500</v>
      </c>
      <c r="G33" s="23"/>
      <c r="I33" s="24">
        <f t="shared" si="0"/>
        <v>4500</v>
      </c>
    </row>
    <row r="34" s="1" customFormat="1" ht="18" customHeight="1" spans="1:9">
      <c r="A34" s="17">
        <v>43</v>
      </c>
      <c r="B34" s="35" t="s">
        <v>553</v>
      </c>
      <c r="C34" s="19" t="s">
        <v>556</v>
      </c>
      <c r="D34" s="20">
        <v>45069</v>
      </c>
      <c r="E34" s="17" t="s">
        <v>557</v>
      </c>
      <c r="F34" s="22">
        <v>2800</v>
      </c>
      <c r="G34" s="23"/>
      <c r="I34" s="24">
        <f t="shared" si="0"/>
        <v>2800</v>
      </c>
    </row>
    <row r="35" s="1" customFormat="1" ht="18" customHeight="1" spans="1:9">
      <c r="A35" s="17"/>
      <c r="B35" s="35" t="s">
        <v>553</v>
      </c>
      <c r="C35" s="19" t="s">
        <v>554</v>
      </c>
      <c r="D35" s="20">
        <v>45264</v>
      </c>
      <c r="E35" s="17" t="s">
        <v>558</v>
      </c>
      <c r="F35" s="28">
        <v>4500</v>
      </c>
      <c r="G35" s="29"/>
      <c r="I35" s="24">
        <f t="shared" si="0"/>
        <v>4500</v>
      </c>
    </row>
    <row r="36" s="1" customFormat="1" ht="18" customHeight="1" spans="1:9">
      <c r="A36" s="17">
        <v>45</v>
      </c>
      <c r="B36" s="33" t="s">
        <v>559</v>
      </c>
      <c r="C36" s="19" t="s">
        <v>52</v>
      </c>
      <c r="D36" s="20">
        <v>43174</v>
      </c>
      <c r="E36" s="36" t="s">
        <v>58</v>
      </c>
      <c r="F36" s="23">
        <v>4500</v>
      </c>
      <c r="G36" s="23"/>
      <c r="I36" s="24">
        <f t="shared" si="0"/>
        <v>4500</v>
      </c>
    </row>
    <row r="37" s="1" customFormat="1" ht="18" customHeight="1" spans="1:9">
      <c r="A37" s="17">
        <v>46</v>
      </c>
      <c r="B37" s="33" t="s">
        <v>559</v>
      </c>
      <c r="C37" s="19" t="s">
        <v>51</v>
      </c>
      <c r="D37" s="20">
        <v>42955</v>
      </c>
      <c r="E37" s="36" t="s">
        <v>560</v>
      </c>
      <c r="F37" s="23">
        <v>3000</v>
      </c>
      <c r="G37" s="23"/>
      <c r="I37" s="24">
        <f t="shared" si="0"/>
        <v>3000</v>
      </c>
    </row>
    <row r="38" s="1" customFormat="1" ht="18" customHeight="1" spans="1:9">
      <c r="A38" s="17">
        <v>52</v>
      </c>
      <c r="B38" s="33" t="s">
        <v>559</v>
      </c>
      <c r="C38" s="19" t="s">
        <v>561</v>
      </c>
      <c r="D38" s="20">
        <v>45362</v>
      </c>
      <c r="E38" s="17" t="s">
        <v>562</v>
      </c>
      <c r="F38" s="37">
        <v>4000</v>
      </c>
      <c r="G38" s="23"/>
      <c r="I38" s="24">
        <f t="shared" si="0"/>
        <v>4000</v>
      </c>
    </row>
    <row r="39" s="1" customFormat="1" ht="18" customHeight="1" spans="1:9">
      <c r="A39" s="17">
        <v>54</v>
      </c>
      <c r="B39" s="33" t="s">
        <v>559</v>
      </c>
      <c r="C39" s="19" t="s">
        <v>49</v>
      </c>
      <c r="D39" s="20">
        <v>43946</v>
      </c>
      <c r="E39" s="25" t="s">
        <v>563</v>
      </c>
      <c r="F39" s="31">
        <v>3000</v>
      </c>
      <c r="G39" s="23"/>
      <c r="I39" s="24">
        <f t="shared" si="0"/>
        <v>3000</v>
      </c>
    </row>
    <row r="40" s="1" customFormat="1" ht="18" customHeight="1" spans="1:9">
      <c r="A40" s="17">
        <v>55</v>
      </c>
      <c r="B40" s="33" t="s">
        <v>559</v>
      </c>
      <c r="C40" s="19" t="s">
        <v>49</v>
      </c>
      <c r="D40" s="20">
        <v>44256</v>
      </c>
      <c r="E40" s="25" t="s">
        <v>564</v>
      </c>
      <c r="F40" s="31">
        <v>2700</v>
      </c>
      <c r="G40" s="23"/>
      <c r="I40" s="24">
        <f t="shared" si="0"/>
        <v>2700</v>
      </c>
    </row>
    <row r="41" s="1" customFormat="1" ht="18" customHeight="1" spans="1:9">
      <c r="A41" s="17">
        <v>56</v>
      </c>
      <c r="B41" s="33" t="s">
        <v>559</v>
      </c>
      <c r="C41" s="19" t="s">
        <v>49</v>
      </c>
      <c r="D41" s="20">
        <v>43711</v>
      </c>
      <c r="E41" s="21" t="s">
        <v>565</v>
      </c>
      <c r="F41" s="22">
        <v>2700</v>
      </c>
      <c r="G41" s="23"/>
      <c r="I41" s="24">
        <f t="shared" si="0"/>
        <v>2700</v>
      </c>
    </row>
    <row r="42" s="1" customFormat="1" ht="18" customHeight="1" spans="1:9">
      <c r="A42" s="17">
        <v>57</v>
      </c>
      <c r="B42" s="33" t="s">
        <v>559</v>
      </c>
      <c r="C42" s="19" t="s">
        <v>382</v>
      </c>
      <c r="D42" s="20">
        <v>45273</v>
      </c>
      <c r="E42" s="21" t="s">
        <v>566</v>
      </c>
      <c r="F42" s="22">
        <v>5000</v>
      </c>
      <c r="G42" s="23"/>
      <c r="I42" s="24">
        <f t="shared" si="0"/>
        <v>5000</v>
      </c>
    </row>
    <row r="43" s="1" customFormat="1" ht="18" customHeight="1" spans="1:9">
      <c r="A43" s="17">
        <v>58</v>
      </c>
      <c r="B43" s="33" t="s">
        <v>559</v>
      </c>
      <c r="C43" s="19" t="s">
        <v>567</v>
      </c>
      <c r="D43" s="20">
        <v>42291</v>
      </c>
      <c r="E43" s="17" t="s">
        <v>568</v>
      </c>
      <c r="F43" s="23">
        <v>2700</v>
      </c>
      <c r="G43" s="23"/>
      <c r="I43" s="24">
        <f t="shared" si="0"/>
        <v>2700</v>
      </c>
    </row>
    <row r="44" s="1" customFormat="1" ht="18" customHeight="1" spans="1:9">
      <c r="A44" s="17">
        <v>59</v>
      </c>
      <c r="B44" s="33" t="s">
        <v>559</v>
      </c>
      <c r="C44" s="19" t="s">
        <v>569</v>
      </c>
      <c r="D44" s="20">
        <v>42826</v>
      </c>
      <c r="E44" s="17" t="s">
        <v>570</v>
      </c>
      <c r="F44" s="23">
        <v>2700</v>
      </c>
      <c r="G44" s="23"/>
      <c r="I44" s="24">
        <f t="shared" si="0"/>
        <v>2700</v>
      </c>
    </row>
    <row r="45" s="1" customFormat="1" ht="18" customHeight="1" spans="1:9">
      <c r="A45" s="17">
        <v>60</v>
      </c>
      <c r="B45" s="33" t="s">
        <v>559</v>
      </c>
      <c r="C45" s="19" t="s">
        <v>42</v>
      </c>
      <c r="D45" s="20">
        <v>42922</v>
      </c>
      <c r="E45" s="21" t="s">
        <v>571</v>
      </c>
      <c r="F45" s="22">
        <v>3300</v>
      </c>
      <c r="G45" s="23"/>
      <c r="I45" s="24">
        <f t="shared" si="0"/>
        <v>3300</v>
      </c>
    </row>
    <row r="46" s="1" customFormat="1" ht="18" customHeight="1" spans="1:9">
      <c r="A46" s="17">
        <v>61</v>
      </c>
      <c r="B46" s="33" t="s">
        <v>559</v>
      </c>
      <c r="C46" s="19" t="s">
        <v>572</v>
      </c>
      <c r="D46" s="20">
        <v>44205</v>
      </c>
      <c r="E46" s="17" t="s">
        <v>573</v>
      </c>
      <c r="F46" s="23">
        <v>3300</v>
      </c>
      <c r="G46" s="23"/>
      <c r="I46" s="24">
        <f t="shared" si="0"/>
        <v>3300</v>
      </c>
    </row>
    <row r="47" s="1" customFormat="1" ht="18" customHeight="1" spans="1:9">
      <c r="A47" s="17">
        <v>62</v>
      </c>
      <c r="B47" s="33" t="s">
        <v>559</v>
      </c>
      <c r="C47" s="19" t="s">
        <v>569</v>
      </c>
      <c r="D47" s="20">
        <v>44126</v>
      </c>
      <c r="E47" s="17" t="s">
        <v>574</v>
      </c>
      <c r="F47" s="23">
        <v>2700</v>
      </c>
      <c r="G47" s="23"/>
      <c r="I47" s="24">
        <f t="shared" si="0"/>
        <v>2700</v>
      </c>
    </row>
    <row r="48" s="1" customFormat="1" ht="18" customHeight="1" spans="1:9">
      <c r="A48" s="17">
        <v>63</v>
      </c>
      <c r="B48" s="33" t="s">
        <v>559</v>
      </c>
      <c r="C48" s="19" t="s">
        <v>62</v>
      </c>
      <c r="D48" s="20">
        <v>43714</v>
      </c>
      <c r="E48" s="36" t="s">
        <v>575</v>
      </c>
      <c r="F48" s="38">
        <v>3000</v>
      </c>
      <c r="G48" s="23"/>
      <c r="I48" s="24">
        <f t="shared" si="0"/>
        <v>3000</v>
      </c>
    </row>
    <row r="49" s="1" customFormat="1" ht="18" customHeight="1" spans="1:9">
      <c r="A49" s="17">
        <v>64</v>
      </c>
      <c r="B49" s="33" t="s">
        <v>559</v>
      </c>
      <c r="C49" s="19" t="s">
        <v>62</v>
      </c>
      <c r="D49" s="20">
        <v>44682</v>
      </c>
      <c r="E49" s="25" t="s">
        <v>576</v>
      </c>
      <c r="F49" s="31">
        <v>2700</v>
      </c>
      <c r="G49" s="23"/>
      <c r="I49" s="24">
        <f t="shared" si="0"/>
        <v>2700</v>
      </c>
    </row>
    <row r="50" s="1" customFormat="1" ht="18" customHeight="1" spans="1:9">
      <c r="A50" s="17">
        <v>65</v>
      </c>
      <c r="B50" s="33" t="s">
        <v>559</v>
      </c>
      <c r="C50" s="19" t="s">
        <v>577</v>
      </c>
      <c r="D50" s="20">
        <v>41267</v>
      </c>
      <c r="E50" s="36" t="s">
        <v>578</v>
      </c>
      <c r="F50" s="23">
        <v>4000</v>
      </c>
      <c r="G50" s="23"/>
      <c r="I50" s="24">
        <f t="shared" si="0"/>
        <v>4000</v>
      </c>
    </row>
    <row r="51" s="1" customFormat="1" ht="18" customHeight="1" spans="1:9">
      <c r="A51" s="17">
        <v>66</v>
      </c>
      <c r="B51" s="33" t="s">
        <v>559</v>
      </c>
      <c r="C51" s="19" t="s">
        <v>579</v>
      </c>
      <c r="D51" s="20">
        <v>42726</v>
      </c>
      <c r="E51" s="36" t="s">
        <v>580</v>
      </c>
      <c r="F51" s="23">
        <v>3300</v>
      </c>
      <c r="G51" s="23"/>
      <c r="I51" s="24">
        <f t="shared" si="0"/>
        <v>3300</v>
      </c>
    </row>
    <row r="52" s="1" customFormat="1" ht="18" customHeight="1" spans="1:9">
      <c r="A52" s="17">
        <v>67</v>
      </c>
      <c r="B52" s="33" t="s">
        <v>559</v>
      </c>
      <c r="C52" s="19" t="s">
        <v>579</v>
      </c>
      <c r="D52" s="20">
        <v>43326</v>
      </c>
      <c r="E52" s="36" t="s">
        <v>581</v>
      </c>
      <c r="F52" s="38">
        <v>3300</v>
      </c>
      <c r="G52" s="23"/>
      <c r="I52" s="24">
        <f t="shared" si="0"/>
        <v>3300</v>
      </c>
    </row>
    <row r="53" s="1" customFormat="1" ht="18" customHeight="1" spans="1:9">
      <c r="A53" s="17">
        <v>68</v>
      </c>
      <c r="B53" s="33" t="s">
        <v>559</v>
      </c>
      <c r="C53" s="19" t="s">
        <v>579</v>
      </c>
      <c r="D53" s="20">
        <v>44260</v>
      </c>
      <c r="E53" s="36" t="s">
        <v>582</v>
      </c>
      <c r="F53" s="23">
        <v>3300</v>
      </c>
      <c r="G53" s="23"/>
      <c r="I53" s="24">
        <f t="shared" si="0"/>
        <v>3300</v>
      </c>
    </row>
    <row r="54" s="1" customFormat="1" ht="18" customHeight="1" spans="1:9">
      <c r="A54" s="17">
        <v>69</v>
      </c>
      <c r="B54" s="33" t="s">
        <v>559</v>
      </c>
      <c r="C54" s="19" t="s">
        <v>579</v>
      </c>
      <c r="D54" s="20">
        <v>43938</v>
      </c>
      <c r="E54" s="36" t="s">
        <v>583</v>
      </c>
      <c r="F54" s="38">
        <v>3300</v>
      </c>
      <c r="G54" s="23"/>
      <c r="I54" s="24">
        <f t="shared" si="0"/>
        <v>3300</v>
      </c>
    </row>
    <row r="55" s="1" customFormat="1" ht="18" customHeight="1" spans="1:9">
      <c r="A55" s="17">
        <v>70</v>
      </c>
      <c r="B55" s="33" t="s">
        <v>559</v>
      </c>
      <c r="C55" s="19" t="s">
        <v>579</v>
      </c>
      <c r="D55" s="20">
        <v>44799</v>
      </c>
      <c r="E55" s="36" t="s">
        <v>584</v>
      </c>
      <c r="F55" s="23">
        <v>3300</v>
      </c>
      <c r="G55" s="23"/>
      <c r="I55" s="24">
        <f t="shared" si="0"/>
        <v>3300</v>
      </c>
    </row>
    <row r="56" s="1" customFormat="1" ht="18" customHeight="1" spans="1:9">
      <c r="A56" s="17">
        <v>71</v>
      </c>
      <c r="B56" s="33" t="s">
        <v>559</v>
      </c>
      <c r="C56" s="19" t="s">
        <v>579</v>
      </c>
      <c r="D56" s="20">
        <v>43026</v>
      </c>
      <c r="E56" s="36" t="s">
        <v>585</v>
      </c>
      <c r="F56" s="23">
        <v>3300</v>
      </c>
      <c r="G56" s="23"/>
      <c r="I56" s="24">
        <f t="shared" si="0"/>
        <v>3300</v>
      </c>
    </row>
    <row r="57" s="1" customFormat="1" ht="18" customHeight="1" spans="1:9">
      <c r="A57" s="17">
        <v>72</v>
      </c>
      <c r="B57" s="33" t="s">
        <v>559</v>
      </c>
      <c r="C57" s="19" t="s">
        <v>60</v>
      </c>
      <c r="D57" s="20">
        <v>43283</v>
      </c>
      <c r="E57" s="36" t="s">
        <v>586</v>
      </c>
      <c r="F57" s="23">
        <v>3000</v>
      </c>
      <c r="G57" s="23"/>
      <c r="I57" s="24">
        <f t="shared" si="0"/>
        <v>3000</v>
      </c>
    </row>
    <row r="58" s="1" customFormat="1" ht="18" customHeight="1" spans="1:9">
      <c r="A58" s="17">
        <v>73</v>
      </c>
      <c r="B58" s="33" t="s">
        <v>559</v>
      </c>
      <c r="C58" s="19" t="s">
        <v>60</v>
      </c>
      <c r="D58" s="20">
        <v>43516</v>
      </c>
      <c r="E58" s="36" t="s">
        <v>587</v>
      </c>
      <c r="F58" s="38">
        <v>3200</v>
      </c>
      <c r="G58" s="23"/>
      <c r="I58" s="24">
        <f t="shared" si="0"/>
        <v>3200</v>
      </c>
    </row>
    <row r="59" s="1" customFormat="1" ht="18" customHeight="1" spans="1:9">
      <c r="A59" s="17">
        <v>74</v>
      </c>
      <c r="B59" s="33" t="s">
        <v>559</v>
      </c>
      <c r="C59" s="19" t="s">
        <v>61</v>
      </c>
      <c r="D59" s="20">
        <v>44967</v>
      </c>
      <c r="E59" s="36" t="s">
        <v>588</v>
      </c>
      <c r="F59" s="38">
        <v>2700</v>
      </c>
      <c r="G59" s="23"/>
      <c r="I59" s="24">
        <f t="shared" si="0"/>
        <v>2700</v>
      </c>
    </row>
    <row r="60" s="1" customFormat="1" ht="18" customHeight="1" spans="1:9">
      <c r="A60" s="17">
        <v>75</v>
      </c>
      <c r="B60" s="33" t="s">
        <v>559</v>
      </c>
      <c r="C60" s="19" t="s">
        <v>61</v>
      </c>
      <c r="D60" s="20">
        <v>44519</v>
      </c>
      <c r="E60" s="36" t="s">
        <v>589</v>
      </c>
      <c r="F60" s="23">
        <v>2700</v>
      </c>
      <c r="G60" s="23"/>
      <c r="I60" s="24">
        <f t="shared" si="0"/>
        <v>2700</v>
      </c>
    </row>
    <row r="61" s="1" customFormat="1" ht="18" customHeight="1" spans="1:9">
      <c r="A61" s="17">
        <v>76</v>
      </c>
      <c r="B61" s="33" t="s">
        <v>559</v>
      </c>
      <c r="C61" s="19" t="s">
        <v>61</v>
      </c>
      <c r="D61" s="20">
        <v>43636</v>
      </c>
      <c r="E61" s="36" t="s">
        <v>590</v>
      </c>
      <c r="F61" s="38">
        <v>2700</v>
      </c>
      <c r="G61" s="23"/>
      <c r="I61" s="24">
        <f t="shared" si="0"/>
        <v>2700</v>
      </c>
    </row>
    <row r="62" s="1" customFormat="1" ht="18" customHeight="1" spans="1:9">
      <c r="A62" s="17">
        <v>77</v>
      </c>
      <c r="B62" s="33" t="s">
        <v>559</v>
      </c>
      <c r="C62" s="19" t="s">
        <v>591</v>
      </c>
      <c r="D62" s="20">
        <v>43033</v>
      </c>
      <c r="E62" s="36" t="s">
        <v>592</v>
      </c>
      <c r="F62" s="23">
        <v>3300</v>
      </c>
      <c r="G62" s="23"/>
      <c r="I62" s="24">
        <f t="shared" si="0"/>
        <v>3300</v>
      </c>
    </row>
    <row r="63" s="1" customFormat="1" ht="18" customHeight="1" spans="1:9">
      <c r="A63" s="17">
        <v>78</v>
      </c>
      <c r="B63" s="33" t="s">
        <v>559</v>
      </c>
      <c r="C63" s="19" t="s">
        <v>591</v>
      </c>
      <c r="D63" s="20">
        <v>44798</v>
      </c>
      <c r="E63" s="36" t="s">
        <v>593</v>
      </c>
      <c r="F63" s="23">
        <v>3300</v>
      </c>
      <c r="G63" s="23"/>
      <c r="I63" s="24">
        <f t="shared" si="0"/>
        <v>3300</v>
      </c>
    </row>
    <row r="64" s="1" customFormat="1" ht="18" customHeight="1" spans="1:9">
      <c r="A64" s="17">
        <v>79</v>
      </c>
      <c r="B64" s="33" t="s">
        <v>559</v>
      </c>
      <c r="C64" s="19" t="s">
        <v>591</v>
      </c>
      <c r="D64" s="20">
        <v>42980</v>
      </c>
      <c r="E64" s="36" t="s">
        <v>594</v>
      </c>
      <c r="F64" s="38">
        <v>3300</v>
      </c>
      <c r="G64" s="23"/>
      <c r="I64" s="24">
        <f t="shared" si="0"/>
        <v>3300</v>
      </c>
    </row>
    <row r="65" s="1" customFormat="1" ht="18" customHeight="1" spans="1:9">
      <c r="A65" s="17">
        <v>80</v>
      </c>
      <c r="B65" s="33" t="s">
        <v>559</v>
      </c>
      <c r="C65" s="19" t="s">
        <v>591</v>
      </c>
      <c r="D65" s="20">
        <v>44522</v>
      </c>
      <c r="E65" s="36" t="s">
        <v>595</v>
      </c>
      <c r="F65" s="38">
        <v>3300</v>
      </c>
      <c r="G65" s="23"/>
      <c r="I65" s="24">
        <f t="shared" si="0"/>
        <v>3300</v>
      </c>
    </row>
    <row r="66" s="1" customFormat="1" ht="18" customHeight="1" spans="1:9">
      <c r="A66" s="17">
        <v>81</v>
      </c>
      <c r="B66" s="33" t="s">
        <v>559</v>
      </c>
      <c r="C66" s="19" t="s">
        <v>591</v>
      </c>
      <c r="D66" s="20">
        <v>44610</v>
      </c>
      <c r="E66" s="36" t="s">
        <v>596</v>
      </c>
      <c r="F66" s="23">
        <v>3300</v>
      </c>
      <c r="G66" s="23"/>
      <c r="I66" s="24">
        <f t="shared" si="0"/>
        <v>3300</v>
      </c>
    </row>
    <row r="67" s="1" customFormat="1" ht="18" customHeight="1" spans="1:9">
      <c r="A67" s="17">
        <v>82</v>
      </c>
      <c r="B67" s="33" t="s">
        <v>559</v>
      </c>
      <c r="C67" s="19" t="s">
        <v>591</v>
      </c>
      <c r="D67" s="20">
        <v>45207</v>
      </c>
      <c r="E67" s="36" t="s">
        <v>597</v>
      </c>
      <c r="F67" s="23">
        <v>3300</v>
      </c>
      <c r="G67" s="23"/>
      <c r="I67" s="24">
        <f t="shared" si="0"/>
        <v>3300</v>
      </c>
    </row>
    <row r="68" s="1" customFormat="1" ht="18" customHeight="1" spans="1:9">
      <c r="A68" s="17">
        <v>83</v>
      </c>
      <c r="B68" s="33" t="s">
        <v>559</v>
      </c>
      <c r="C68" s="19" t="s">
        <v>63</v>
      </c>
      <c r="D68" s="20">
        <v>45229</v>
      </c>
      <c r="E68" s="36" t="s">
        <v>598</v>
      </c>
      <c r="F68" s="39">
        <v>3300</v>
      </c>
      <c r="G68" s="23"/>
      <c r="I68" s="24">
        <f t="shared" ref="I68:I131" si="1">F68+G68</f>
        <v>3300</v>
      </c>
    </row>
    <row r="69" s="1" customFormat="1" ht="18" customHeight="1" spans="1:9">
      <c r="A69" s="17">
        <v>84</v>
      </c>
      <c r="B69" s="33" t="s">
        <v>559</v>
      </c>
      <c r="C69" s="19" t="s">
        <v>63</v>
      </c>
      <c r="D69" s="20">
        <v>45235</v>
      </c>
      <c r="E69" s="36" t="s">
        <v>599</v>
      </c>
      <c r="F69" s="39">
        <v>3300</v>
      </c>
      <c r="G69" s="23"/>
      <c r="I69" s="24">
        <f t="shared" si="1"/>
        <v>3300</v>
      </c>
    </row>
    <row r="70" s="1" customFormat="1" ht="18" customHeight="1" spans="1:9">
      <c r="A70" s="17">
        <v>85</v>
      </c>
      <c r="B70" s="33" t="s">
        <v>559</v>
      </c>
      <c r="C70" s="19" t="s">
        <v>600</v>
      </c>
      <c r="D70" s="20">
        <v>42802</v>
      </c>
      <c r="E70" s="36" t="s">
        <v>601</v>
      </c>
      <c r="F70" s="23">
        <v>3300</v>
      </c>
      <c r="G70" s="23"/>
      <c r="I70" s="24">
        <f t="shared" si="1"/>
        <v>3300</v>
      </c>
    </row>
    <row r="71" s="1" customFormat="1" ht="18" customHeight="1" spans="1:9">
      <c r="A71" s="17">
        <v>86</v>
      </c>
      <c r="B71" s="33" t="s">
        <v>559</v>
      </c>
      <c r="C71" s="19" t="s">
        <v>602</v>
      </c>
      <c r="D71" s="20">
        <v>43019</v>
      </c>
      <c r="E71" s="36" t="s">
        <v>603</v>
      </c>
      <c r="F71" s="23">
        <v>3000</v>
      </c>
      <c r="G71" s="23"/>
      <c r="I71" s="24">
        <f t="shared" si="1"/>
        <v>3000</v>
      </c>
    </row>
    <row r="72" s="1" customFormat="1" ht="18" customHeight="1" spans="1:9">
      <c r="A72" s="17">
        <v>87</v>
      </c>
      <c r="B72" s="33" t="s">
        <v>559</v>
      </c>
      <c r="C72" s="19" t="s">
        <v>602</v>
      </c>
      <c r="D72" s="20">
        <v>43000</v>
      </c>
      <c r="E72" s="36" t="s">
        <v>604</v>
      </c>
      <c r="F72" s="23">
        <v>3000</v>
      </c>
      <c r="G72" s="23"/>
      <c r="I72" s="24">
        <f t="shared" si="1"/>
        <v>3000</v>
      </c>
    </row>
    <row r="73" s="1" customFormat="1" ht="18" customHeight="1" spans="1:9">
      <c r="A73" s="17">
        <v>88</v>
      </c>
      <c r="B73" s="33" t="s">
        <v>559</v>
      </c>
      <c r="C73" s="19" t="s">
        <v>602</v>
      </c>
      <c r="D73" s="20">
        <v>43719</v>
      </c>
      <c r="E73" s="36" t="s">
        <v>605</v>
      </c>
      <c r="F73" s="23">
        <v>3000</v>
      </c>
      <c r="G73" s="23"/>
      <c r="I73" s="24">
        <f t="shared" si="1"/>
        <v>3000</v>
      </c>
    </row>
    <row r="74" s="1" customFormat="1" ht="18" customHeight="1" spans="1:9">
      <c r="A74" s="17">
        <v>89</v>
      </c>
      <c r="B74" s="33" t="s">
        <v>559</v>
      </c>
      <c r="C74" s="19" t="s">
        <v>602</v>
      </c>
      <c r="D74" s="20">
        <v>42936</v>
      </c>
      <c r="E74" s="36" t="s">
        <v>606</v>
      </c>
      <c r="F74" s="23">
        <v>3000</v>
      </c>
      <c r="G74" s="23"/>
      <c r="I74" s="24">
        <f t="shared" si="1"/>
        <v>3000</v>
      </c>
    </row>
    <row r="75" s="1" customFormat="1" ht="18" customHeight="1" spans="1:9">
      <c r="A75" s="17">
        <v>90</v>
      </c>
      <c r="B75" s="33" t="s">
        <v>559</v>
      </c>
      <c r="C75" s="19" t="s">
        <v>602</v>
      </c>
      <c r="D75" s="20">
        <v>42936</v>
      </c>
      <c r="E75" s="36" t="s">
        <v>607</v>
      </c>
      <c r="F75" s="23">
        <v>3000</v>
      </c>
      <c r="G75" s="23"/>
      <c r="I75" s="24">
        <f t="shared" si="1"/>
        <v>3000</v>
      </c>
    </row>
    <row r="76" s="1" customFormat="1" ht="18" customHeight="1" spans="1:9">
      <c r="A76" s="17">
        <v>91</v>
      </c>
      <c r="B76" s="33" t="s">
        <v>559</v>
      </c>
      <c r="C76" s="19" t="s">
        <v>602</v>
      </c>
      <c r="D76" s="20">
        <v>42988</v>
      </c>
      <c r="E76" s="36" t="s">
        <v>608</v>
      </c>
      <c r="F76" s="23">
        <v>3000</v>
      </c>
      <c r="G76" s="23"/>
      <c r="I76" s="24">
        <f t="shared" si="1"/>
        <v>3000</v>
      </c>
    </row>
    <row r="77" s="1" customFormat="1" ht="18" customHeight="1" spans="1:9">
      <c r="A77" s="17">
        <v>92</v>
      </c>
      <c r="B77" s="33" t="s">
        <v>559</v>
      </c>
      <c r="C77" s="19" t="s">
        <v>602</v>
      </c>
      <c r="D77" s="20">
        <v>42826</v>
      </c>
      <c r="E77" s="36" t="s">
        <v>609</v>
      </c>
      <c r="F77" s="23">
        <v>3000</v>
      </c>
      <c r="G77" s="23"/>
      <c r="I77" s="24">
        <f t="shared" si="1"/>
        <v>3000</v>
      </c>
    </row>
    <row r="78" s="1" customFormat="1" ht="18" customHeight="1" spans="1:9">
      <c r="A78" s="17">
        <v>94</v>
      </c>
      <c r="B78" s="17" t="s">
        <v>610</v>
      </c>
      <c r="C78" s="19" t="s">
        <v>611</v>
      </c>
      <c r="D78" s="20">
        <v>43000</v>
      </c>
      <c r="E78" s="25" t="s">
        <v>612</v>
      </c>
      <c r="F78" s="31">
        <v>3000</v>
      </c>
      <c r="G78" s="23"/>
      <c r="I78" s="24">
        <f t="shared" si="1"/>
        <v>3000</v>
      </c>
    </row>
    <row r="79" s="1" customFormat="1" ht="18" customHeight="1" spans="1:9">
      <c r="A79" s="17">
        <v>95</v>
      </c>
      <c r="B79" s="17" t="s">
        <v>610</v>
      </c>
      <c r="C79" s="19" t="s">
        <v>613</v>
      </c>
      <c r="D79" s="20">
        <v>45202</v>
      </c>
      <c r="E79" s="25" t="s">
        <v>614</v>
      </c>
      <c r="F79" s="31">
        <v>2800</v>
      </c>
      <c r="G79" s="23"/>
      <c r="I79" s="24">
        <f t="shared" si="1"/>
        <v>2800</v>
      </c>
    </row>
    <row r="80" s="1" customFormat="1" ht="18" customHeight="1" spans="1:9">
      <c r="A80" s="17">
        <v>96</v>
      </c>
      <c r="B80" s="17" t="s">
        <v>610</v>
      </c>
      <c r="C80" s="19" t="s">
        <v>101</v>
      </c>
      <c r="D80" s="20">
        <v>45168</v>
      </c>
      <c r="E80" s="40" t="s">
        <v>615</v>
      </c>
      <c r="F80" s="31">
        <v>8000</v>
      </c>
      <c r="G80" s="23"/>
      <c r="I80" s="24">
        <f t="shared" si="1"/>
        <v>8000</v>
      </c>
    </row>
    <row r="81" s="1" customFormat="1" ht="18" customHeight="1" spans="1:9">
      <c r="A81" s="17">
        <v>97</v>
      </c>
      <c r="B81" s="17" t="s">
        <v>610</v>
      </c>
      <c r="C81" s="19" t="s">
        <v>616</v>
      </c>
      <c r="D81" s="20">
        <v>45288</v>
      </c>
      <c r="E81" s="25" t="s">
        <v>617</v>
      </c>
      <c r="F81" s="39">
        <v>2600</v>
      </c>
      <c r="G81" s="23"/>
      <c r="I81" s="24">
        <f t="shared" si="1"/>
        <v>2600</v>
      </c>
    </row>
    <row r="82" s="1" customFormat="1" ht="18" customHeight="1" spans="1:9">
      <c r="A82" s="17">
        <v>98</v>
      </c>
      <c r="B82" s="17" t="s">
        <v>610</v>
      </c>
      <c r="C82" s="19" t="s">
        <v>110</v>
      </c>
      <c r="D82" s="20">
        <v>40854</v>
      </c>
      <c r="E82" s="25" t="s">
        <v>618</v>
      </c>
      <c r="F82" s="31">
        <v>3000</v>
      </c>
      <c r="G82" s="23"/>
      <c r="I82" s="24">
        <f t="shared" si="1"/>
        <v>3000</v>
      </c>
    </row>
    <row r="83" s="1" customFormat="1" ht="18" customHeight="1" spans="1:9">
      <c r="A83" s="17">
        <v>99</v>
      </c>
      <c r="B83" s="17" t="s">
        <v>610</v>
      </c>
      <c r="C83" s="19" t="s">
        <v>110</v>
      </c>
      <c r="D83" s="20">
        <v>44690</v>
      </c>
      <c r="E83" s="25" t="s">
        <v>619</v>
      </c>
      <c r="F83" s="31">
        <v>2800</v>
      </c>
      <c r="G83" s="23"/>
      <c r="I83" s="24">
        <f t="shared" si="1"/>
        <v>2800</v>
      </c>
    </row>
    <row r="84" s="1" customFormat="1" ht="18" customHeight="1" spans="1:9">
      <c r="A84" s="17">
        <v>100</v>
      </c>
      <c r="B84" s="17" t="s">
        <v>610</v>
      </c>
      <c r="C84" s="19" t="s">
        <v>167</v>
      </c>
      <c r="D84" s="20">
        <v>44577</v>
      </c>
      <c r="E84" s="25" t="s">
        <v>620</v>
      </c>
      <c r="F84" s="22">
        <v>3500</v>
      </c>
      <c r="G84" s="23"/>
      <c r="I84" s="24">
        <f t="shared" si="1"/>
        <v>3500</v>
      </c>
    </row>
    <row r="85" s="1" customFormat="1" ht="18" customHeight="1" spans="1:9">
      <c r="A85" s="17">
        <v>101</v>
      </c>
      <c r="B85" s="17" t="s">
        <v>610</v>
      </c>
      <c r="C85" s="19" t="s">
        <v>42</v>
      </c>
      <c r="D85" s="20">
        <v>41291</v>
      </c>
      <c r="E85" s="25" t="s">
        <v>621</v>
      </c>
      <c r="F85" s="31">
        <v>3300</v>
      </c>
      <c r="G85" s="23"/>
      <c r="I85" s="24">
        <f t="shared" si="1"/>
        <v>3300</v>
      </c>
    </row>
    <row r="86" s="1" customFormat="1" ht="18" customHeight="1" spans="1:9">
      <c r="A86" s="17">
        <v>102</v>
      </c>
      <c r="B86" s="17" t="s">
        <v>610</v>
      </c>
      <c r="C86" s="19" t="s">
        <v>42</v>
      </c>
      <c r="D86" s="20">
        <v>44797</v>
      </c>
      <c r="E86" s="25" t="s">
        <v>622</v>
      </c>
      <c r="F86" s="31">
        <v>3300</v>
      </c>
      <c r="G86" s="23"/>
      <c r="I86" s="24">
        <f t="shared" si="1"/>
        <v>3300</v>
      </c>
    </row>
    <row r="87" s="1" customFormat="1" ht="18" customHeight="1" spans="1:9">
      <c r="A87" s="17">
        <v>103</v>
      </c>
      <c r="B87" s="17" t="s">
        <v>610</v>
      </c>
      <c r="C87" s="19" t="s">
        <v>42</v>
      </c>
      <c r="D87" s="20">
        <v>44963</v>
      </c>
      <c r="E87" s="25" t="s">
        <v>623</v>
      </c>
      <c r="F87" s="31">
        <v>3300</v>
      </c>
      <c r="G87" s="23"/>
      <c r="I87" s="24">
        <f t="shared" si="1"/>
        <v>3300</v>
      </c>
    </row>
    <row r="88" s="1" customFormat="1" ht="18" customHeight="1" spans="1:9">
      <c r="A88" s="17">
        <v>104</v>
      </c>
      <c r="B88" s="17" t="s">
        <v>610</v>
      </c>
      <c r="C88" s="19" t="s">
        <v>42</v>
      </c>
      <c r="D88" s="20">
        <v>44971</v>
      </c>
      <c r="E88" s="25" t="s">
        <v>624</v>
      </c>
      <c r="F88" s="31">
        <v>3300</v>
      </c>
      <c r="G88" s="23"/>
      <c r="I88" s="24">
        <f t="shared" si="1"/>
        <v>3300</v>
      </c>
    </row>
    <row r="89" s="1" customFormat="1" ht="18" customHeight="1" spans="1:9">
      <c r="A89" s="17">
        <v>105</v>
      </c>
      <c r="B89" s="17" t="s">
        <v>610</v>
      </c>
      <c r="C89" s="19" t="s">
        <v>496</v>
      </c>
      <c r="D89" s="20">
        <v>43245</v>
      </c>
      <c r="E89" s="25" t="s">
        <v>625</v>
      </c>
      <c r="F89" s="31">
        <v>2800</v>
      </c>
      <c r="G89" s="23"/>
      <c r="I89" s="24">
        <f t="shared" si="1"/>
        <v>2800</v>
      </c>
    </row>
    <row r="90" s="1" customFormat="1" ht="18" customHeight="1" spans="1:9">
      <c r="A90" s="17">
        <v>106</v>
      </c>
      <c r="B90" s="17" t="s">
        <v>610</v>
      </c>
      <c r="C90" s="19" t="s">
        <v>496</v>
      </c>
      <c r="D90" s="20">
        <v>42925</v>
      </c>
      <c r="E90" s="25" t="s">
        <v>626</v>
      </c>
      <c r="F90" s="31">
        <v>2800</v>
      </c>
      <c r="G90" s="23"/>
      <c r="I90" s="24">
        <f t="shared" si="1"/>
        <v>2800</v>
      </c>
    </row>
    <row r="91" s="1" customFormat="1" ht="18" customHeight="1" spans="1:9">
      <c r="A91" s="17">
        <v>107</v>
      </c>
      <c r="B91" s="17" t="s">
        <v>610</v>
      </c>
      <c r="C91" s="19" t="s">
        <v>496</v>
      </c>
      <c r="D91" s="20">
        <v>43560</v>
      </c>
      <c r="E91" s="25" t="s">
        <v>627</v>
      </c>
      <c r="F91" s="31">
        <v>2800</v>
      </c>
      <c r="G91" s="23"/>
      <c r="I91" s="24">
        <f t="shared" si="1"/>
        <v>2800</v>
      </c>
    </row>
    <row r="92" s="1" customFormat="1" ht="18" customHeight="1" spans="1:9">
      <c r="A92" s="17">
        <v>108</v>
      </c>
      <c r="B92" s="17" t="s">
        <v>610</v>
      </c>
      <c r="C92" s="19" t="s">
        <v>628</v>
      </c>
      <c r="D92" s="20">
        <v>44694</v>
      </c>
      <c r="E92" s="25" t="s">
        <v>629</v>
      </c>
      <c r="F92" s="31">
        <v>2800</v>
      </c>
      <c r="G92" s="23"/>
      <c r="I92" s="24">
        <f t="shared" si="1"/>
        <v>2800</v>
      </c>
    </row>
    <row r="93" s="1" customFormat="1" ht="18" customHeight="1" spans="1:9">
      <c r="A93" s="17">
        <v>109</v>
      </c>
      <c r="B93" s="17" t="s">
        <v>610</v>
      </c>
      <c r="C93" s="19" t="s">
        <v>496</v>
      </c>
      <c r="D93" s="20">
        <v>42951</v>
      </c>
      <c r="E93" s="25" t="s">
        <v>630</v>
      </c>
      <c r="F93" s="31">
        <v>2800</v>
      </c>
      <c r="G93" s="23"/>
      <c r="I93" s="24">
        <f t="shared" si="1"/>
        <v>2800</v>
      </c>
    </row>
    <row r="94" s="1" customFormat="1" ht="18" customHeight="1" spans="1:9">
      <c r="A94" s="17">
        <v>110</v>
      </c>
      <c r="B94" s="17" t="s">
        <v>610</v>
      </c>
      <c r="C94" s="19" t="s">
        <v>496</v>
      </c>
      <c r="D94" s="20">
        <v>42480</v>
      </c>
      <c r="E94" s="25" t="s">
        <v>631</v>
      </c>
      <c r="F94" s="31">
        <v>2800</v>
      </c>
      <c r="G94" s="23"/>
      <c r="I94" s="24">
        <f t="shared" si="1"/>
        <v>2800</v>
      </c>
    </row>
    <row r="95" s="1" customFormat="1" ht="18" customHeight="1" spans="1:9">
      <c r="A95" s="17">
        <v>111</v>
      </c>
      <c r="B95" s="17" t="s">
        <v>610</v>
      </c>
      <c r="C95" s="19" t="s">
        <v>496</v>
      </c>
      <c r="D95" s="20">
        <v>44293</v>
      </c>
      <c r="E95" s="25" t="s">
        <v>632</v>
      </c>
      <c r="F95" s="31">
        <v>2800</v>
      </c>
      <c r="G95" s="23"/>
      <c r="I95" s="24">
        <f t="shared" si="1"/>
        <v>2800</v>
      </c>
    </row>
    <row r="96" s="1" customFormat="1" ht="18" customHeight="1" spans="1:9">
      <c r="A96" s="17">
        <v>112</v>
      </c>
      <c r="B96" s="17" t="s">
        <v>610</v>
      </c>
      <c r="C96" s="19" t="s">
        <v>496</v>
      </c>
      <c r="D96" s="20">
        <v>42826</v>
      </c>
      <c r="E96" s="25" t="s">
        <v>633</v>
      </c>
      <c r="F96" s="31">
        <v>2800</v>
      </c>
      <c r="G96" s="23"/>
      <c r="I96" s="24">
        <f t="shared" si="1"/>
        <v>2800</v>
      </c>
    </row>
    <row r="97" s="1" customFormat="1" ht="18" customHeight="1" spans="1:9">
      <c r="A97" s="17">
        <v>113</v>
      </c>
      <c r="B97" s="17" t="s">
        <v>610</v>
      </c>
      <c r="C97" s="19" t="s">
        <v>42</v>
      </c>
      <c r="D97" s="20">
        <v>45343</v>
      </c>
      <c r="E97" s="25" t="s">
        <v>634</v>
      </c>
      <c r="F97" s="31">
        <v>3300</v>
      </c>
      <c r="G97" s="23"/>
      <c r="I97" s="24">
        <f t="shared" si="1"/>
        <v>3300</v>
      </c>
    </row>
    <row r="98" s="1" customFormat="1" ht="18" customHeight="1" spans="1:9">
      <c r="A98" s="17">
        <v>114</v>
      </c>
      <c r="B98" s="17" t="s">
        <v>610</v>
      </c>
      <c r="C98" s="19" t="s">
        <v>102</v>
      </c>
      <c r="D98" s="20">
        <v>41280</v>
      </c>
      <c r="E98" s="25" t="s">
        <v>103</v>
      </c>
      <c r="F98" s="31">
        <v>3500</v>
      </c>
      <c r="G98" s="23"/>
      <c r="I98" s="24">
        <f t="shared" si="1"/>
        <v>3500</v>
      </c>
    </row>
    <row r="99" s="1" customFormat="1" ht="18" customHeight="1" spans="1:9">
      <c r="A99" s="17">
        <v>115</v>
      </c>
      <c r="B99" s="17" t="s">
        <v>610</v>
      </c>
      <c r="C99" s="19" t="s">
        <v>105</v>
      </c>
      <c r="D99" s="20">
        <v>42963</v>
      </c>
      <c r="E99" s="25" t="s">
        <v>635</v>
      </c>
      <c r="F99" s="31">
        <v>2600</v>
      </c>
      <c r="G99" s="41">
        <v>400</v>
      </c>
      <c r="I99" s="24">
        <f t="shared" si="1"/>
        <v>3000</v>
      </c>
    </row>
    <row r="100" s="1" customFormat="1" ht="18" customHeight="1" spans="1:9">
      <c r="A100" s="17">
        <v>116</v>
      </c>
      <c r="B100" s="17" t="s">
        <v>610</v>
      </c>
      <c r="C100" s="19" t="s">
        <v>636</v>
      </c>
      <c r="D100" s="20">
        <v>44604</v>
      </c>
      <c r="E100" s="17" t="s">
        <v>637</v>
      </c>
      <c r="F100" s="31">
        <v>2600</v>
      </c>
      <c r="G100" s="41">
        <v>400</v>
      </c>
      <c r="I100" s="24">
        <f t="shared" si="1"/>
        <v>3000</v>
      </c>
    </row>
    <row r="101" s="1" customFormat="1" ht="18" customHeight="1" spans="1:9">
      <c r="A101" s="17">
        <v>117</v>
      </c>
      <c r="B101" s="17" t="s">
        <v>610</v>
      </c>
      <c r="C101" s="19" t="s">
        <v>105</v>
      </c>
      <c r="D101" s="20">
        <v>44054</v>
      </c>
      <c r="E101" s="17" t="s">
        <v>638</v>
      </c>
      <c r="F101" s="31">
        <v>2600</v>
      </c>
      <c r="G101" s="41">
        <v>400</v>
      </c>
      <c r="I101" s="24">
        <f t="shared" si="1"/>
        <v>3000</v>
      </c>
    </row>
    <row r="102" s="1" customFormat="1" ht="18" customHeight="1" spans="1:9">
      <c r="A102" s="17">
        <v>118</v>
      </c>
      <c r="B102" s="17" t="s">
        <v>610</v>
      </c>
      <c r="C102" s="19" t="s">
        <v>636</v>
      </c>
      <c r="D102" s="20">
        <v>44415</v>
      </c>
      <c r="E102" s="25" t="s">
        <v>639</v>
      </c>
      <c r="F102" s="31">
        <v>2600</v>
      </c>
      <c r="G102" s="41">
        <v>400</v>
      </c>
      <c r="I102" s="24">
        <f t="shared" si="1"/>
        <v>3000</v>
      </c>
    </row>
    <row r="103" s="1" customFormat="1" ht="18" customHeight="1" spans="1:9">
      <c r="A103" s="17">
        <v>119</v>
      </c>
      <c r="B103" s="17" t="s">
        <v>610</v>
      </c>
      <c r="C103" s="19" t="s">
        <v>105</v>
      </c>
      <c r="D103" s="20">
        <v>42944</v>
      </c>
      <c r="E103" s="25" t="s">
        <v>640</v>
      </c>
      <c r="F103" s="31">
        <v>2600</v>
      </c>
      <c r="G103" s="41">
        <v>400</v>
      </c>
      <c r="I103" s="24">
        <f t="shared" si="1"/>
        <v>3000</v>
      </c>
    </row>
    <row r="104" s="1" customFormat="1" ht="18" customHeight="1" spans="1:9">
      <c r="A104" s="17">
        <v>120</v>
      </c>
      <c r="B104" s="17" t="s">
        <v>610</v>
      </c>
      <c r="C104" s="19" t="s">
        <v>636</v>
      </c>
      <c r="D104" s="20">
        <v>44256</v>
      </c>
      <c r="E104" s="17" t="s">
        <v>641</v>
      </c>
      <c r="F104" s="31">
        <v>2600</v>
      </c>
      <c r="G104" s="41">
        <v>400</v>
      </c>
      <c r="I104" s="24">
        <f t="shared" si="1"/>
        <v>3000</v>
      </c>
    </row>
    <row r="105" s="1" customFormat="1" ht="18" customHeight="1" spans="1:9">
      <c r="A105" s="17">
        <v>121</v>
      </c>
      <c r="B105" s="17" t="s">
        <v>610</v>
      </c>
      <c r="C105" s="19" t="s">
        <v>105</v>
      </c>
      <c r="D105" s="20">
        <v>42799</v>
      </c>
      <c r="E105" s="25" t="s">
        <v>642</v>
      </c>
      <c r="F105" s="31">
        <v>2600</v>
      </c>
      <c r="G105" s="41">
        <v>400</v>
      </c>
      <c r="I105" s="24">
        <f t="shared" si="1"/>
        <v>3000</v>
      </c>
    </row>
    <row r="106" s="1" customFormat="1" ht="18" customHeight="1" spans="1:9">
      <c r="A106" s="17">
        <v>122</v>
      </c>
      <c r="B106" s="17" t="s">
        <v>610</v>
      </c>
      <c r="C106" s="19" t="s">
        <v>636</v>
      </c>
      <c r="D106" s="20">
        <v>43754</v>
      </c>
      <c r="E106" s="25" t="s">
        <v>643</v>
      </c>
      <c r="F106" s="31">
        <v>2600</v>
      </c>
      <c r="G106" s="41">
        <v>400</v>
      </c>
      <c r="I106" s="24">
        <f t="shared" si="1"/>
        <v>3000</v>
      </c>
    </row>
    <row r="107" s="1" customFormat="1" ht="18" customHeight="1" spans="1:9">
      <c r="A107" s="17">
        <v>123</v>
      </c>
      <c r="B107" s="17" t="s">
        <v>610</v>
      </c>
      <c r="C107" s="19" t="s">
        <v>105</v>
      </c>
      <c r="D107" s="20">
        <v>42432</v>
      </c>
      <c r="E107" s="25" t="s">
        <v>644</v>
      </c>
      <c r="F107" s="31">
        <v>2600</v>
      </c>
      <c r="G107" s="41">
        <v>400</v>
      </c>
      <c r="I107" s="24">
        <f t="shared" si="1"/>
        <v>3000</v>
      </c>
    </row>
    <row r="108" s="1" customFormat="1" ht="18" customHeight="1" spans="1:9">
      <c r="A108" s="17">
        <v>124</v>
      </c>
      <c r="B108" s="17" t="s">
        <v>610</v>
      </c>
      <c r="C108" s="19" t="s">
        <v>636</v>
      </c>
      <c r="D108" s="20">
        <v>43043</v>
      </c>
      <c r="E108" s="25" t="s">
        <v>645</v>
      </c>
      <c r="F108" s="31">
        <v>2600</v>
      </c>
      <c r="G108" s="41">
        <v>400</v>
      </c>
      <c r="I108" s="24">
        <f t="shared" si="1"/>
        <v>3000</v>
      </c>
    </row>
    <row r="109" s="1" customFormat="1" ht="18" customHeight="1" spans="1:9">
      <c r="A109" s="17">
        <v>125</v>
      </c>
      <c r="B109" s="17" t="s">
        <v>610</v>
      </c>
      <c r="C109" s="19" t="s">
        <v>105</v>
      </c>
      <c r="D109" s="20">
        <v>44512</v>
      </c>
      <c r="E109" s="25" t="s">
        <v>646</v>
      </c>
      <c r="F109" s="31">
        <v>2600</v>
      </c>
      <c r="G109" s="41">
        <v>400</v>
      </c>
      <c r="I109" s="24">
        <f t="shared" si="1"/>
        <v>3000</v>
      </c>
    </row>
    <row r="110" s="1" customFormat="1" ht="18" customHeight="1" spans="1:9">
      <c r="A110" s="17">
        <v>126</v>
      </c>
      <c r="B110" s="17" t="s">
        <v>610</v>
      </c>
      <c r="C110" s="19" t="s">
        <v>636</v>
      </c>
      <c r="D110" s="20">
        <v>44602</v>
      </c>
      <c r="E110" s="25" t="s">
        <v>647</v>
      </c>
      <c r="F110" s="31">
        <v>2600</v>
      </c>
      <c r="G110" s="41">
        <v>400</v>
      </c>
      <c r="I110" s="24">
        <f t="shared" si="1"/>
        <v>3000</v>
      </c>
    </row>
    <row r="111" s="1" customFormat="1" ht="18" customHeight="1" spans="1:9">
      <c r="A111" s="17">
        <v>127</v>
      </c>
      <c r="B111" s="17" t="s">
        <v>610</v>
      </c>
      <c r="C111" s="19" t="s">
        <v>105</v>
      </c>
      <c r="D111" s="20">
        <v>43526</v>
      </c>
      <c r="E111" s="17" t="s">
        <v>648</v>
      </c>
      <c r="F111" s="31">
        <v>2600</v>
      </c>
      <c r="G111" s="41">
        <v>400</v>
      </c>
      <c r="I111" s="24">
        <f t="shared" si="1"/>
        <v>3000</v>
      </c>
    </row>
    <row r="112" s="1" customFormat="1" ht="18" customHeight="1" spans="1:9">
      <c r="A112" s="17">
        <v>128</v>
      </c>
      <c r="B112" s="17" t="s">
        <v>610</v>
      </c>
      <c r="C112" s="19" t="s">
        <v>105</v>
      </c>
      <c r="D112" s="20">
        <v>45288</v>
      </c>
      <c r="E112" s="17" t="s">
        <v>649</v>
      </c>
      <c r="F112" s="31">
        <v>2600</v>
      </c>
      <c r="G112" s="23"/>
      <c r="I112" s="24">
        <f t="shared" si="1"/>
        <v>2600</v>
      </c>
    </row>
    <row r="113" s="1" customFormat="1" ht="18" customHeight="1" spans="1:9">
      <c r="A113" s="17">
        <v>130</v>
      </c>
      <c r="B113" s="17" t="s">
        <v>650</v>
      </c>
      <c r="C113" s="19" t="s">
        <v>651</v>
      </c>
      <c r="D113" s="20">
        <v>45100</v>
      </c>
      <c r="E113" s="40" t="s">
        <v>652</v>
      </c>
      <c r="F113" s="31">
        <v>10000</v>
      </c>
      <c r="G113" s="23"/>
      <c r="I113" s="24">
        <f t="shared" si="1"/>
        <v>10000</v>
      </c>
    </row>
    <row r="114" s="1" customFormat="1" ht="18" customHeight="1" spans="1:9">
      <c r="A114" s="17">
        <v>132</v>
      </c>
      <c r="B114" s="17" t="s">
        <v>650</v>
      </c>
      <c r="C114" s="19" t="s">
        <v>539</v>
      </c>
      <c r="D114" s="20">
        <v>41225</v>
      </c>
      <c r="E114" s="25" t="s">
        <v>653</v>
      </c>
      <c r="F114" s="31">
        <v>7500</v>
      </c>
      <c r="G114" s="23"/>
      <c r="I114" s="24">
        <f t="shared" si="1"/>
        <v>7500</v>
      </c>
    </row>
    <row r="115" s="1" customFormat="1" ht="18" customHeight="1" spans="1:9">
      <c r="A115" s="17">
        <v>134</v>
      </c>
      <c r="B115" s="17" t="s">
        <v>650</v>
      </c>
      <c r="C115" s="19" t="s">
        <v>654</v>
      </c>
      <c r="D115" s="20">
        <v>42849</v>
      </c>
      <c r="E115" s="25" t="s">
        <v>655</v>
      </c>
      <c r="F115" s="31">
        <v>2600</v>
      </c>
      <c r="G115" s="41">
        <v>210</v>
      </c>
      <c r="I115" s="24">
        <f t="shared" si="1"/>
        <v>2810</v>
      </c>
    </row>
    <row r="116" s="1" customFormat="1" ht="18" customHeight="1" spans="1:9">
      <c r="A116" s="17">
        <v>135</v>
      </c>
      <c r="B116" s="17" t="s">
        <v>650</v>
      </c>
      <c r="C116" s="19" t="s">
        <v>138</v>
      </c>
      <c r="D116" s="20">
        <v>41208</v>
      </c>
      <c r="E116" s="25" t="s">
        <v>656</v>
      </c>
      <c r="F116" s="31">
        <v>3500</v>
      </c>
      <c r="G116" s="41">
        <v>100</v>
      </c>
      <c r="I116" s="24">
        <f t="shared" si="1"/>
        <v>3600</v>
      </c>
    </row>
    <row r="117" s="1" customFormat="1" ht="18" customHeight="1" spans="1:9">
      <c r="A117" s="17">
        <v>136</v>
      </c>
      <c r="B117" s="17" t="s">
        <v>650</v>
      </c>
      <c r="C117" s="19" t="s">
        <v>131</v>
      </c>
      <c r="D117" s="20">
        <v>43228</v>
      </c>
      <c r="E117" s="25" t="s">
        <v>657</v>
      </c>
      <c r="F117" s="31">
        <v>4200</v>
      </c>
      <c r="G117" s="41">
        <v>200</v>
      </c>
      <c r="I117" s="24">
        <f t="shared" si="1"/>
        <v>4400</v>
      </c>
    </row>
    <row r="118" s="1" customFormat="1" ht="18" customHeight="1" spans="1:9">
      <c r="A118" s="17">
        <v>137</v>
      </c>
      <c r="B118" s="17" t="s">
        <v>650</v>
      </c>
      <c r="C118" s="19" t="s">
        <v>143</v>
      </c>
      <c r="D118" s="20">
        <v>44205</v>
      </c>
      <c r="E118" s="25" t="s">
        <v>658</v>
      </c>
      <c r="F118" s="31">
        <v>4200</v>
      </c>
      <c r="G118" s="41">
        <v>460</v>
      </c>
      <c r="I118" s="24">
        <f t="shared" si="1"/>
        <v>4660</v>
      </c>
    </row>
    <row r="119" s="1" customFormat="1" ht="18" customHeight="1" spans="1:9">
      <c r="A119" s="17">
        <v>138</v>
      </c>
      <c r="B119" s="17" t="s">
        <v>650</v>
      </c>
      <c r="C119" s="19" t="s">
        <v>659</v>
      </c>
      <c r="D119" s="20">
        <v>41394</v>
      </c>
      <c r="E119" s="25" t="s">
        <v>660</v>
      </c>
      <c r="F119" s="31">
        <v>4200</v>
      </c>
      <c r="G119" s="41">
        <v>250</v>
      </c>
      <c r="I119" s="24">
        <f t="shared" si="1"/>
        <v>4450</v>
      </c>
    </row>
    <row r="120" s="1" customFormat="1" ht="18" customHeight="1" spans="1:9">
      <c r="A120" s="17">
        <v>140</v>
      </c>
      <c r="B120" s="17" t="s">
        <v>650</v>
      </c>
      <c r="C120" s="19" t="s">
        <v>661</v>
      </c>
      <c r="D120" s="20">
        <v>41337</v>
      </c>
      <c r="E120" s="25" t="s">
        <v>662</v>
      </c>
      <c r="F120" s="31">
        <v>4500</v>
      </c>
      <c r="G120" s="41">
        <v>460</v>
      </c>
      <c r="I120" s="24">
        <f t="shared" si="1"/>
        <v>4960</v>
      </c>
    </row>
    <row r="121" s="1" customFormat="1" ht="18" customHeight="1" spans="1:9">
      <c r="A121" s="17">
        <v>141</v>
      </c>
      <c r="B121" s="17" t="s">
        <v>650</v>
      </c>
      <c r="C121" s="19" t="s">
        <v>141</v>
      </c>
      <c r="D121" s="20">
        <v>42495</v>
      </c>
      <c r="E121" s="25" t="s">
        <v>663</v>
      </c>
      <c r="F121" s="31">
        <v>4200</v>
      </c>
      <c r="G121" s="41">
        <v>460</v>
      </c>
      <c r="I121" s="24">
        <f t="shared" si="1"/>
        <v>4660</v>
      </c>
    </row>
    <row r="122" s="1" customFormat="1" ht="18" customHeight="1" spans="1:9">
      <c r="A122" s="17">
        <v>142</v>
      </c>
      <c r="B122" s="17" t="s">
        <v>650</v>
      </c>
      <c r="C122" s="19" t="s">
        <v>141</v>
      </c>
      <c r="D122" s="20">
        <v>43577</v>
      </c>
      <c r="E122" s="25" t="s">
        <v>664</v>
      </c>
      <c r="F122" s="31">
        <v>4200</v>
      </c>
      <c r="G122" s="41">
        <v>460</v>
      </c>
      <c r="I122" s="24">
        <f t="shared" si="1"/>
        <v>4660</v>
      </c>
    </row>
    <row r="123" s="1" customFormat="1" ht="18" customHeight="1" spans="1:9">
      <c r="A123" s="17">
        <v>143</v>
      </c>
      <c r="B123" s="17" t="s">
        <v>650</v>
      </c>
      <c r="C123" s="19" t="s">
        <v>135</v>
      </c>
      <c r="D123" s="20">
        <v>41206</v>
      </c>
      <c r="E123" s="25" t="s">
        <v>665</v>
      </c>
      <c r="F123" s="31">
        <v>5500</v>
      </c>
      <c r="G123" s="41">
        <v>400</v>
      </c>
      <c r="I123" s="24">
        <f t="shared" si="1"/>
        <v>5900</v>
      </c>
    </row>
    <row r="124" s="1" customFormat="1" ht="18" customHeight="1" spans="1:9">
      <c r="A124" s="17">
        <v>145</v>
      </c>
      <c r="B124" s="17" t="s">
        <v>650</v>
      </c>
      <c r="C124" s="19" t="s">
        <v>135</v>
      </c>
      <c r="D124" s="20">
        <v>43117</v>
      </c>
      <c r="E124" s="25" t="s">
        <v>303</v>
      </c>
      <c r="F124" s="42">
        <v>5500</v>
      </c>
      <c r="G124" s="43">
        <v>400</v>
      </c>
      <c r="I124" s="24">
        <f t="shared" si="1"/>
        <v>5900</v>
      </c>
    </row>
    <row r="125" s="1" customFormat="1" ht="18" customHeight="1" spans="1:9">
      <c r="A125" s="17">
        <v>146</v>
      </c>
      <c r="B125" s="17" t="s">
        <v>650</v>
      </c>
      <c r="C125" s="19" t="s">
        <v>666</v>
      </c>
      <c r="D125" s="20">
        <v>41898</v>
      </c>
      <c r="E125" s="25" t="s">
        <v>667</v>
      </c>
      <c r="F125" s="42">
        <v>5000</v>
      </c>
      <c r="G125" s="43">
        <v>300</v>
      </c>
      <c r="I125" s="24">
        <f t="shared" si="1"/>
        <v>5300</v>
      </c>
    </row>
    <row r="126" s="1" customFormat="1" ht="18" customHeight="1" spans="1:9">
      <c r="A126" s="17">
        <v>147</v>
      </c>
      <c r="B126" s="17" t="s">
        <v>650</v>
      </c>
      <c r="C126" s="19" t="s">
        <v>666</v>
      </c>
      <c r="D126" s="20">
        <v>43109</v>
      </c>
      <c r="E126" s="25" t="s">
        <v>668</v>
      </c>
      <c r="F126" s="42">
        <v>5000</v>
      </c>
      <c r="G126" s="43">
        <v>300</v>
      </c>
      <c r="I126" s="24">
        <f t="shared" si="1"/>
        <v>5300</v>
      </c>
    </row>
    <row r="127" s="1" customFormat="1" ht="18" customHeight="1" spans="1:9">
      <c r="A127" s="17">
        <v>148</v>
      </c>
      <c r="B127" s="17" t="s">
        <v>650</v>
      </c>
      <c r="C127" s="19" t="s">
        <v>666</v>
      </c>
      <c r="D127" s="20">
        <v>43411</v>
      </c>
      <c r="E127" s="17" t="s">
        <v>669</v>
      </c>
      <c r="F127" s="31">
        <v>5000</v>
      </c>
      <c r="G127" s="41">
        <v>300</v>
      </c>
      <c r="I127" s="24">
        <f t="shared" si="1"/>
        <v>5300</v>
      </c>
    </row>
    <row r="128" s="1" customFormat="1" ht="18" customHeight="1" spans="1:9">
      <c r="A128" s="17">
        <v>149</v>
      </c>
      <c r="B128" s="17" t="s">
        <v>650</v>
      </c>
      <c r="C128" s="19" t="s">
        <v>670</v>
      </c>
      <c r="D128" s="20">
        <v>45027</v>
      </c>
      <c r="E128" s="17" t="s">
        <v>671</v>
      </c>
      <c r="F128" s="31">
        <v>5000</v>
      </c>
      <c r="G128" s="23"/>
      <c r="I128" s="24">
        <f t="shared" si="1"/>
        <v>5000</v>
      </c>
    </row>
    <row r="129" s="1" customFormat="1" ht="18" customHeight="1" spans="1:9">
      <c r="A129" s="17">
        <v>150</v>
      </c>
      <c r="B129" s="17" t="s">
        <v>650</v>
      </c>
      <c r="C129" s="19" t="s">
        <v>672</v>
      </c>
      <c r="D129" s="20">
        <v>42981</v>
      </c>
      <c r="E129" s="25" t="s">
        <v>673</v>
      </c>
      <c r="F129" s="31">
        <v>4200</v>
      </c>
      <c r="G129" s="41">
        <v>200</v>
      </c>
      <c r="I129" s="24">
        <f t="shared" si="1"/>
        <v>4400</v>
      </c>
    </row>
    <row r="130" s="1" customFormat="1" ht="18" customHeight="1" spans="1:9">
      <c r="A130" s="17">
        <v>151</v>
      </c>
      <c r="B130" s="17" t="s">
        <v>650</v>
      </c>
      <c r="C130" s="19" t="s">
        <v>672</v>
      </c>
      <c r="D130" s="20">
        <v>42780</v>
      </c>
      <c r="E130" s="25" t="s">
        <v>674</v>
      </c>
      <c r="F130" s="31">
        <v>4200</v>
      </c>
      <c r="G130" s="41">
        <v>200</v>
      </c>
      <c r="I130" s="24">
        <f t="shared" si="1"/>
        <v>4400</v>
      </c>
    </row>
    <row r="131" s="1" customFormat="1" ht="18" customHeight="1" spans="1:9">
      <c r="A131" s="17">
        <v>152</v>
      </c>
      <c r="B131" s="17" t="s">
        <v>650</v>
      </c>
      <c r="C131" s="19" t="s">
        <v>672</v>
      </c>
      <c r="D131" s="20">
        <v>44329</v>
      </c>
      <c r="E131" s="25" t="s">
        <v>675</v>
      </c>
      <c r="F131" s="31">
        <v>4200</v>
      </c>
      <c r="G131" s="41">
        <v>150</v>
      </c>
      <c r="I131" s="24">
        <f t="shared" si="1"/>
        <v>4350</v>
      </c>
    </row>
    <row r="132" s="1" customFormat="1" ht="18" customHeight="1" spans="1:9">
      <c r="A132" s="17">
        <v>153</v>
      </c>
      <c r="B132" s="17" t="s">
        <v>650</v>
      </c>
      <c r="C132" s="19" t="s">
        <v>670</v>
      </c>
      <c r="D132" s="20">
        <v>44540</v>
      </c>
      <c r="E132" s="25" t="s">
        <v>676</v>
      </c>
      <c r="F132" s="31">
        <v>4200</v>
      </c>
      <c r="G132" s="41">
        <v>150</v>
      </c>
      <c r="I132" s="24">
        <f t="shared" ref="I132:I195" si="2">F132+G132</f>
        <v>4350</v>
      </c>
    </row>
    <row r="133" s="1" customFormat="1" ht="18" customHeight="1" spans="1:9">
      <c r="A133" s="17">
        <v>154</v>
      </c>
      <c r="B133" s="17" t="s">
        <v>650</v>
      </c>
      <c r="C133" s="19" t="s">
        <v>670</v>
      </c>
      <c r="D133" s="20">
        <v>44966</v>
      </c>
      <c r="E133" s="25" t="s">
        <v>677</v>
      </c>
      <c r="F133" s="31">
        <v>4200</v>
      </c>
      <c r="G133" s="23"/>
      <c r="I133" s="24">
        <f t="shared" si="2"/>
        <v>4200</v>
      </c>
    </row>
    <row r="134" s="1" customFormat="1" ht="18" customHeight="1" spans="1:9">
      <c r="A134" s="17">
        <v>155</v>
      </c>
      <c r="B134" s="17" t="s">
        <v>650</v>
      </c>
      <c r="C134" s="19" t="s">
        <v>407</v>
      </c>
      <c r="D134" s="20">
        <v>42831</v>
      </c>
      <c r="E134" s="25" t="s">
        <v>678</v>
      </c>
      <c r="F134" s="42">
        <v>4500</v>
      </c>
      <c r="G134" s="43">
        <v>300</v>
      </c>
      <c r="I134" s="24">
        <f t="shared" si="2"/>
        <v>4800</v>
      </c>
    </row>
    <row r="135" s="1" customFormat="1" ht="18" customHeight="1" spans="1:9">
      <c r="A135" s="17">
        <v>156</v>
      </c>
      <c r="B135" s="17" t="s">
        <v>650</v>
      </c>
      <c r="C135" s="19" t="s">
        <v>407</v>
      </c>
      <c r="D135" s="20">
        <v>41214</v>
      </c>
      <c r="E135" s="25" t="s">
        <v>679</v>
      </c>
      <c r="F135" s="42">
        <v>4500</v>
      </c>
      <c r="G135" s="43">
        <v>300</v>
      </c>
      <c r="I135" s="24">
        <f t="shared" si="2"/>
        <v>4800</v>
      </c>
    </row>
    <row r="136" s="1" customFormat="1" ht="18" customHeight="1" spans="1:9">
      <c r="A136" s="17">
        <v>157</v>
      </c>
      <c r="B136" s="17" t="s">
        <v>650</v>
      </c>
      <c r="C136" s="19" t="s">
        <v>407</v>
      </c>
      <c r="D136" s="20">
        <v>42831</v>
      </c>
      <c r="E136" s="25" t="s">
        <v>680</v>
      </c>
      <c r="F136" s="42">
        <v>4500</v>
      </c>
      <c r="G136" s="43">
        <v>300</v>
      </c>
      <c r="I136" s="24">
        <f t="shared" si="2"/>
        <v>4800</v>
      </c>
    </row>
    <row r="137" s="1" customFormat="1" ht="18" customHeight="1" spans="1:9">
      <c r="A137" s="17">
        <v>158</v>
      </c>
      <c r="B137" s="17" t="s">
        <v>650</v>
      </c>
      <c r="C137" s="19" t="s">
        <v>407</v>
      </c>
      <c r="D137" s="20">
        <v>41181</v>
      </c>
      <c r="E137" s="25" t="s">
        <v>681</v>
      </c>
      <c r="F137" s="31">
        <v>4500</v>
      </c>
      <c r="G137" s="41">
        <v>300</v>
      </c>
      <c r="I137" s="24">
        <f t="shared" si="2"/>
        <v>4800</v>
      </c>
    </row>
    <row r="138" s="1" customFormat="1" ht="18" customHeight="1" spans="1:9">
      <c r="A138" s="17">
        <v>159</v>
      </c>
      <c r="B138" s="17" t="s">
        <v>650</v>
      </c>
      <c r="C138" s="19" t="s">
        <v>682</v>
      </c>
      <c r="D138" s="20">
        <v>43035</v>
      </c>
      <c r="E138" s="25" t="s">
        <v>683</v>
      </c>
      <c r="F138" s="31">
        <v>3800</v>
      </c>
      <c r="G138" s="41">
        <v>150</v>
      </c>
      <c r="I138" s="24">
        <f t="shared" si="2"/>
        <v>3950</v>
      </c>
    </row>
    <row r="139" s="1" customFormat="1" ht="18" customHeight="1" spans="1:9">
      <c r="A139" s="17">
        <v>160</v>
      </c>
      <c r="B139" s="17" t="s">
        <v>650</v>
      </c>
      <c r="C139" s="19" t="s">
        <v>682</v>
      </c>
      <c r="D139" s="20">
        <v>41474</v>
      </c>
      <c r="E139" s="25" t="s">
        <v>684</v>
      </c>
      <c r="F139" s="31">
        <v>3800</v>
      </c>
      <c r="G139" s="41">
        <v>150</v>
      </c>
      <c r="I139" s="24">
        <f t="shared" si="2"/>
        <v>3950</v>
      </c>
    </row>
    <row r="140" s="1" customFormat="1" ht="18" customHeight="1" spans="1:9">
      <c r="A140" s="17">
        <v>161</v>
      </c>
      <c r="B140" s="17" t="s">
        <v>650</v>
      </c>
      <c r="C140" s="19" t="s">
        <v>682</v>
      </c>
      <c r="D140" s="20">
        <v>43000</v>
      </c>
      <c r="E140" s="25" t="s">
        <v>685</v>
      </c>
      <c r="F140" s="31">
        <v>3800</v>
      </c>
      <c r="G140" s="41">
        <v>150</v>
      </c>
      <c r="I140" s="24">
        <f t="shared" si="2"/>
        <v>3950</v>
      </c>
    </row>
    <row r="141" s="1" customFormat="1" ht="18" customHeight="1" spans="1:9">
      <c r="A141" s="17">
        <v>162</v>
      </c>
      <c r="B141" s="17" t="s">
        <v>650</v>
      </c>
      <c r="C141" s="19" t="s">
        <v>682</v>
      </c>
      <c r="D141" s="20">
        <v>44604</v>
      </c>
      <c r="E141" s="17" t="s">
        <v>686</v>
      </c>
      <c r="F141" s="31">
        <v>3800</v>
      </c>
      <c r="G141" s="41">
        <v>150</v>
      </c>
      <c r="I141" s="24">
        <f t="shared" si="2"/>
        <v>3950</v>
      </c>
    </row>
    <row r="142" s="1" customFormat="1" ht="18" customHeight="1" spans="1:9">
      <c r="A142" s="17">
        <v>163</v>
      </c>
      <c r="B142" s="17" t="s">
        <v>650</v>
      </c>
      <c r="C142" s="19" t="s">
        <v>682</v>
      </c>
      <c r="D142" s="20">
        <v>43000</v>
      </c>
      <c r="E142" s="25" t="s">
        <v>687</v>
      </c>
      <c r="F142" s="31">
        <v>3800</v>
      </c>
      <c r="G142" s="41">
        <v>150</v>
      </c>
      <c r="I142" s="24">
        <f t="shared" si="2"/>
        <v>3950</v>
      </c>
    </row>
    <row r="143" s="1" customFormat="1" ht="18" customHeight="1" spans="1:9">
      <c r="A143" s="17">
        <v>164</v>
      </c>
      <c r="B143" s="17" t="s">
        <v>650</v>
      </c>
      <c r="C143" s="19" t="s">
        <v>688</v>
      </c>
      <c r="D143" s="20">
        <v>44246</v>
      </c>
      <c r="E143" s="25" t="s">
        <v>689</v>
      </c>
      <c r="F143" s="31">
        <v>3200</v>
      </c>
      <c r="G143" s="23"/>
      <c r="I143" s="24">
        <f t="shared" si="2"/>
        <v>3200</v>
      </c>
    </row>
    <row r="144" s="1" customFormat="1" ht="18" customHeight="1" spans="1:9">
      <c r="A144" s="17">
        <v>165</v>
      </c>
      <c r="B144" s="17" t="s">
        <v>650</v>
      </c>
      <c r="C144" s="19" t="s">
        <v>688</v>
      </c>
      <c r="D144" s="20">
        <v>43522</v>
      </c>
      <c r="E144" s="25" t="s">
        <v>690</v>
      </c>
      <c r="F144" s="31">
        <v>3200</v>
      </c>
      <c r="G144" s="23"/>
      <c r="I144" s="24">
        <f t="shared" si="2"/>
        <v>3200</v>
      </c>
    </row>
    <row r="145" s="1" customFormat="1" ht="18" customHeight="1" spans="1:9">
      <c r="A145" s="17">
        <v>166</v>
      </c>
      <c r="B145" s="17" t="s">
        <v>650</v>
      </c>
      <c r="C145" s="19" t="s">
        <v>688</v>
      </c>
      <c r="D145" s="20">
        <v>44351</v>
      </c>
      <c r="E145" s="25" t="s">
        <v>691</v>
      </c>
      <c r="F145" s="31">
        <v>3200</v>
      </c>
      <c r="G145" s="23"/>
      <c r="I145" s="24">
        <f t="shared" si="2"/>
        <v>3200</v>
      </c>
    </row>
    <row r="146" s="1" customFormat="1" ht="18" customHeight="1" spans="1:9">
      <c r="A146" s="17">
        <v>167</v>
      </c>
      <c r="B146" s="17" t="s">
        <v>650</v>
      </c>
      <c r="C146" s="19" t="s">
        <v>688</v>
      </c>
      <c r="D146" s="20">
        <v>42878</v>
      </c>
      <c r="E146" s="25" t="s">
        <v>692</v>
      </c>
      <c r="F146" s="31">
        <v>3200</v>
      </c>
      <c r="G146" s="23"/>
      <c r="I146" s="24">
        <f t="shared" si="2"/>
        <v>3200</v>
      </c>
    </row>
    <row r="147" s="1" customFormat="1" ht="18" customHeight="1" spans="1:9">
      <c r="A147" s="17">
        <v>168</v>
      </c>
      <c r="B147" s="17" t="s">
        <v>650</v>
      </c>
      <c r="C147" s="19" t="s">
        <v>693</v>
      </c>
      <c r="D147" s="20">
        <v>42980</v>
      </c>
      <c r="E147" s="25" t="s">
        <v>694</v>
      </c>
      <c r="F147" s="42">
        <v>4200</v>
      </c>
      <c r="G147" s="43">
        <v>250</v>
      </c>
      <c r="I147" s="24">
        <f t="shared" si="2"/>
        <v>4450</v>
      </c>
    </row>
    <row r="148" s="1" customFormat="1" ht="18" customHeight="1" spans="1:9">
      <c r="A148" s="17">
        <v>169</v>
      </c>
      <c r="B148" s="17" t="s">
        <v>650</v>
      </c>
      <c r="C148" s="19" t="s">
        <v>693</v>
      </c>
      <c r="D148" s="20">
        <v>42980</v>
      </c>
      <c r="E148" s="25" t="s">
        <v>695</v>
      </c>
      <c r="F148" s="42">
        <v>4200</v>
      </c>
      <c r="G148" s="43">
        <v>250</v>
      </c>
      <c r="I148" s="24">
        <f t="shared" si="2"/>
        <v>4450</v>
      </c>
    </row>
    <row r="149" s="1" customFormat="1" ht="18" customHeight="1" spans="1:9">
      <c r="A149" s="17">
        <v>170</v>
      </c>
      <c r="B149" s="17" t="s">
        <v>650</v>
      </c>
      <c r="C149" s="19" t="s">
        <v>693</v>
      </c>
      <c r="D149" s="20">
        <v>42947</v>
      </c>
      <c r="E149" s="32" t="s">
        <v>696</v>
      </c>
      <c r="F149" s="42">
        <v>4200</v>
      </c>
      <c r="G149" s="43">
        <v>250</v>
      </c>
      <c r="I149" s="24">
        <f t="shared" si="2"/>
        <v>4450</v>
      </c>
    </row>
    <row r="150" s="1" customFormat="1" ht="18" customHeight="1" spans="1:9">
      <c r="A150" s="17">
        <v>171</v>
      </c>
      <c r="B150" s="17" t="s">
        <v>650</v>
      </c>
      <c r="C150" s="19" t="s">
        <v>693</v>
      </c>
      <c r="D150" s="20">
        <v>43585</v>
      </c>
      <c r="E150" s="25" t="s">
        <v>697</v>
      </c>
      <c r="F150" s="44">
        <v>3200</v>
      </c>
      <c r="G150" s="45">
        <v>50</v>
      </c>
      <c r="I150" s="24">
        <f t="shared" si="2"/>
        <v>3250</v>
      </c>
    </row>
    <row r="151" s="1" customFormat="1" ht="18" customHeight="1" spans="1:9">
      <c r="A151" s="17">
        <v>173</v>
      </c>
      <c r="B151" s="17" t="s">
        <v>650</v>
      </c>
      <c r="C151" s="19" t="s">
        <v>116</v>
      </c>
      <c r="D151" s="20">
        <v>42440</v>
      </c>
      <c r="E151" s="30" t="s">
        <v>698</v>
      </c>
      <c r="F151" s="31">
        <v>2900</v>
      </c>
      <c r="G151" s="41">
        <v>100</v>
      </c>
      <c r="I151" s="24">
        <f t="shared" si="2"/>
        <v>3000</v>
      </c>
    </row>
    <row r="152" s="1" customFormat="1" ht="18" customHeight="1" spans="1:9">
      <c r="A152" s="17">
        <v>174</v>
      </c>
      <c r="B152" s="17" t="s">
        <v>650</v>
      </c>
      <c r="C152" s="19" t="s">
        <v>116</v>
      </c>
      <c r="D152" s="20">
        <v>43802</v>
      </c>
      <c r="E152" s="25" t="s">
        <v>699</v>
      </c>
      <c r="F152" s="31">
        <v>2900</v>
      </c>
      <c r="G152" s="41">
        <v>100</v>
      </c>
      <c r="I152" s="24">
        <f t="shared" si="2"/>
        <v>3000</v>
      </c>
    </row>
    <row r="153" s="1" customFormat="1" ht="18" customHeight="1" spans="1:9">
      <c r="A153" s="17">
        <v>175</v>
      </c>
      <c r="B153" s="17" t="s">
        <v>650</v>
      </c>
      <c r="C153" s="19" t="s">
        <v>116</v>
      </c>
      <c r="D153" s="20">
        <v>43753</v>
      </c>
      <c r="E153" s="25" t="s">
        <v>700</v>
      </c>
      <c r="F153" s="31">
        <v>2900</v>
      </c>
      <c r="G153" s="41">
        <v>100</v>
      </c>
      <c r="I153" s="24">
        <f t="shared" si="2"/>
        <v>3000</v>
      </c>
    </row>
    <row r="154" s="1" customFormat="1" ht="18" customHeight="1" spans="1:9">
      <c r="A154" s="17">
        <v>176</v>
      </c>
      <c r="B154" s="17" t="s">
        <v>650</v>
      </c>
      <c r="C154" s="19" t="s">
        <v>116</v>
      </c>
      <c r="D154" s="20">
        <v>42970</v>
      </c>
      <c r="E154" s="25" t="s">
        <v>701</v>
      </c>
      <c r="F154" s="31">
        <v>2900</v>
      </c>
      <c r="G154" s="41">
        <v>100</v>
      </c>
      <c r="I154" s="24">
        <f t="shared" si="2"/>
        <v>3000</v>
      </c>
    </row>
    <row r="155" s="1" customFormat="1" ht="18" customHeight="1" spans="1:9">
      <c r="A155" s="17">
        <v>177</v>
      </c>
      <c r="B155" s="17" t="s">
        <v>650</v>
      </c>
      <c r="C155" s="19" t="s">
        <v>702</v>
      </c>
      <c r="D155" s="20">
        <v>44183</v>
      </c>
      <c r="E155" s="25" t="s">
        <v>703</v>
      </c>
      <c r="F155" s="31">
        <v>3200</v>
      </c>
      <c r="G155" s="23"/>
      <c r="I155" s="24">
        <f t="shared" si="2"/>
        <v>3200</v>
      </c>
    </row>
    <row r="156" s="1" customFormat="1" ht="18" customHeight="1" spans="1:9">
      <c r="A156" s="17">
        <v>178</v>
      </c>
      <c r="B156" s="17" t="s">
        <v>650</v>
      </c>
      <c r="C156" s="19" t="s">
        <v>702</v>
      </c>
      <c r="D156" s="20">
        <v>43916</v>
      </c>
      <c r="E156" s="25" t="s">
        <v>704</v>
      </c>
      <c r="F156" s="31">
        <v>3200</v>
      </c>
      <c r="G156" s="23"/>
      <c r="I156" s="24">
        <f t="shared" si="2"/>
        <v>3200</v>
      </c>
    </row>
    <row r="157" s="1" customFormat="1" ht="18" customHeight="1" spans="1:9">
      <c r="A157" s="17">
        <v>179</v>
      </c>
      <c r="B157" s="17" t="s">
        <v>650</v>
      </c>
      <c r="C157" s="19" t="s">
        <v>702</v>
      </c>
      <c r="D157" s="20">
        <v>44314</v>
      </c>
      <c r="E157" s="25" t="s">
        <v>705</v>
      </c>
      <c r="F157" s="31">
        <v>3200</v>
      </c>
      <c r="G157" s="23"/>
      <c r="I157" s="24">
        <f t="shared" si="2"/>
        <v>3200</v>
      </c>
    </row>
    <row r="158" s="1" customFormat="1" ht="18" customHeight="1" spans="1:9">
      <c r="A158" s="17">
        <v>180</v>
      </c>
      <c r="B158" s="17" t="s">
        <v>650</v>
      </c>
      <c r="C158" s="19" t="s">
        <v>706</v>
      </c>
      <c r="D158" s="20">
        <v>45189</v>
      </c>
      <c r="E158" s="25" t="s">
        <v>707</v>
      </c>
      <c r="F158" s="31">
        <v>4200</v>
      </c>
      <c r="G158" s="23"/>
      <c r="I158" s="24">
        <f t="shared" si="2"/>
        <v>4200</v>
      </c>
    </row>
    <row r="159" s="1" customFormat="1" ht="18" customHeight="1" spans="1:9">
      <c r="A159" s="17">
        <v>181</v>
      </c>
      <c r="B159" s="17" t="s">
        <v>650</v>
      </c>
      <c r="C159" s="19" t="s">
        <v>708</v>
      </c>
      <c r="D159" s="20">
        <v>41334</v>
      </c>
      <c r="E159" s="25" t="s">
        <v>709</v>
      </c>
      <c r="F159" s="42">
        <v>3000</v>
      </c>
      <c r="G159" s="23"/>
      <c r="I159" s="24">
        <f t="shared" si="2"/>
        <v>3000</v>
      </c>
    </row>
    <row r="160" s="1" customFormat="1" ht="18" customHeight="1" spans="1:9">
      <c r="A160" s="17">
        <v>182</v>
      </c>
      <c r="B160" s="17" t="s">
        <v>650</v>
      </c>
      <c r="C160" s="19" t="s">
        <v>708</v>
      </c>
      <c r="D160" s="20">
        <v>41214</v>
      </c>
      <c r="E160" s="25" t="s">
        <v>710</v>
      </c>
      <c r="F160" s="42">
        <v>3000</v>
      </c>
      <c r="G160" s="23"/>
      <c r="I160" s="24">
        <f t="shared" si="2"/>
        <v>3000</v>
      </c>
    </row>
    <row r="161" s="1" customFormat="1" ht="18" customHeight="1" spans="1:9">
      <c r="A161" s="17">
        <v>183</v>
      </c>
      <c r="B161" s="17" t="s">
        <v>650</v>
      </c>
      <c r="C161" s="19" t="s">
        <v>708</v>
      </c>
      <c r="D161" s="20">
        <v>42833</v>
      </c>
      <c r="E161" s="25" t="s">
        <v>711</v>
      </c>
      <c r="F161" s="42">
        <v>3000</v>
      </c>
      <c r="G161" s="23"/>
      <c r="I161" s="24">
        <f t="shared" si="2"/>
        <v>3000</v>
      </c>
    </row>
    <row r="162" s="1" customFormat="1" ht="18" customHeight="1" spans="1:9">
      <c r="A162" s="17">
        <v>184</v>
      </c>
      <c r="B162" s="17" t="s">
        <v>650</v>
      </c>
      <c r="C162" s="19" t="s">
        <v>712</v>
      </c>
      <c r="D162" s="20">
        <v>42967</v>
      </c>
      <c r="E162" s="25" t="s">
        <v>713</v>
      </c>
      <c r="F162" s="31">
        <v>2800</v>
      </c>
      <c r="G162" s="23"/>
      <c r="I162" s="24">
        <f t="shared" si="2"/>
        <v>2800</v>
      </c>
    </row>
    <row r="163" s="1" customFormat="1" ht="18" customHeight="1" spans="1:9">
      <c r="A163" s="17">
        <v>185</v>
      </c>
      <c r="B163" s="17" t="s">
        <v>650</v>
      </c>
      <c r="C163" s="19" t="s">
        <v>712</v>
      </c>
      <c r="D163" s="20">
        <v>44027</v>
      </c>
      <c r="E163" s="25" t="s">
        <v>714</v>
      </c>
      <c r="F163" s="31">
        <v>2800</v>
      </c>
      <c r="G163" s="23"/>
      <c r="I163" s="24">
        <f t="shared" si="2"/>
        <v>2800</v>
      </c>
    </row>
    <row r="164" s="1" customFormat="1" ht="18" customHeight="1" spans="1:9">
      <c r="A164" s="17">
        <v>186</v>
      </c>
      <c r="B164" s="17" t="s">
        <v>650</v>
      </c>
      <c r="C164" s="19" t="s">
        <v>708</v>
      </c>
      <c r="D164" s="20">
        <v>43573</v>
      </c>
      <c r="E164" s="25" t="s">
        <v>715</v>
      </c>
      <c r="F164" s="42">
        <v>3000</v>
      </c>
      <c r="G164" s="23"/>
      <c r="I164" s="24">
        <f t="shared" si="2"/>
        <v>3000</v>
      </c>
    </row>
    <row r="165" s="1" customFormat="1" ht="18" customHeight="1" spans="1:9">
      <c r="A165" s="17">
        <v>187</v>
      </c>
      <c r="B165" s="17" t="s">
        <v>650</v>
      </c>
      <c r="C165" s="19" t="s">
        <v>712</v>
      </c>
      <c r="D165" s="20">
        <v>42598</v>
      </c>
      <c r="E165" s="25" t="s">
        <v>716</v>
      </c>
      <c r="F165" s="31">
        <v>2800</v>
      </c>
      <c r="G165" s="23"/>
      <c r="I165" s="24">
        <f t="shared" si="2"/>
        <v>2800</v>
      </c>
    </row>
    <row r="166" s="1" customFormat="1" ht="18" customHeight="1" spans="1:9">
      <c r="A166" s="17">
        <v>188</v>
      </c>
      <c r="B166" s="17" t="s">
        <v>650</v>
      </c>
      <c r="C166" s="19" t="s">
        <v>712</v>
      </c>
      <c r="D166" s="20">
        <v>43163</v>
      </c>
      <c r="E166" s="25" t="s">
        <v>717</v>
      </c>
      <c r="F166" s="31">
        <v>2800</v>
      </c>
      <c r="G166" s="23"/>
      <c r="I166" s="24">
        <f t="shared" si="2"/>
        <v>2800</v>
      </c>
    </row>
    <row r="167" s="1" customFormat="1" ht="18" customHeight="1" spans="1:9">
      <c r="A167" s="17">
        <v>189</v>
      </c>
      <c r="B167" s="17" t="s">
        <v>650</v>
      </c>
      <c r="C167" s="19" t="s">
        <v>712</v>
      </c>
      <c r="D167" s="20">
        <v>44608</v>
      </c>
      <c r="E167" s="25" t="s">
        <v>718</v>
      </c>
      <c r="F167" s="31">
        <v>2800</v>
      </c>
      <c r="G167" s="23"/>
      <c r="I167" s="24">
        <f t="shared" si="2"/>
        <v>2800</v>
      </c>
    </row>
    <row r="168" s="1" customFormat="1" ht="18" customHeight="1" spans="1:9">
      <c r="A168" s="17">
        <v>190</v>
      </c>
      <c r="B168" s="17" t="s">
        <v>650</v>
      </c>
      <c r="C168" s="19" t="s">
        <v>712</v>
      </c>
      <c r="D168" s="20">
        <v>41963</v>
      </c>
      <c r="E168" s="25" t="s">
        <v>719</v>
      </c>
      <c r="F168" s="31">
        <v>2800</v>
      </c>
      <c r="G168" s="23"/>
      <c r="I168" s="24">
        <f t="shared" si="2"/>
        <v>2800</v>
      </c>
    </row>
    <row r="169" s="1" customFormat="1" ht="18" customHeight="1" spans="1:9">
      <c r="A169" s="17"/>
      <c r="B169" s="17" t="s">
        <v>650</v>
      </c>
      <c r="C169" s="19" t="s">
        <v>712</v>
      </c>
      <c r="D169" s="20">
        <v>45353</v>
      </c>
      <c r="E169" s="25" t="s">
        <v>720</v>
      </c>
      <c r="F169" s="31">
        <v>2800</v>
      </c>
      <c r="G169" s="23"/>
      <c r="I169" s="24">
        <f t="shared" si="2"/>
        <v>2800</v>
      </c>
    </row>
    <row r="170" s="1" customFormat="1" ht="18" customHeight="1" spans="1:9">
      <c r="A170" s="17">
        <v>192</v>
      </c>
      <c r="B170" s="17" t="s">
        <v>650</v>
      </c>
      <c r="C170" s="19" t="s">
        <v>721</v>
      </c>
      <c r="D170" s="20">
        <v>43257</v>
      </c>
      <c r="E170" s="17" t="s">
        <v>722</v>
      </c>
      <c r="F170" s="31">
        <v>3200</v>
      </c>
      <c r="G170" s="23"/>
      <c r="I170" s="24">
        <f t="shared" si="2"/>
        <v>3200</v>
      </c>
    </row>
    <row r="171" s="1" customFormat="1" ht="18" customHeight="1" spans="1:9">
      <c r="A171" s="17">
        <v>193</v>
      </c>
      <c r="B171" s="17" t="s">
        <v>650</v>
      </c>
      <c r="C171" s="19" t="s">
        <v>721</v>
      </c>
      <c r="D171" s="20">
        <v>42809</v>
      </c>
      <c r="E171" s="32" t="s">
        <v>723</v>
      </c>
      <c r="F171" s="31">
        <v>3200</v>
      </c>
      <c r="G171" s="23"/>
      <c r="I171" s="24">
        <f t="shared" si="2"/>
        <v>3200</v>
      </c>
    </row>
    <row r="172" s="1" customFormat="1" ht="18" customHeight="1" spans="1:9">
      <c r="A172" s="17">
        <v>194</v>
      </c>
      <c r="B172" s="17" t="s">
        <v>650</v>
      </c>
      <c r="C172" s="19" t="s">
        <v>156</v>
      </c>
      <c r="D172" s="20">
        <v>41627</v>
      </c>
      <c r="E172" s="25" t="s">
        <v>724</v>
      </c>
      <c r="F172" s="31">
        <v>3300</v>
      </c>
      <c r="G172" s="23"/>
      <c r="I172" s="24">
        <f t="shared" si="2"/>
        <v>3300</v>
      </c>
    </row>
    <row r="173" s="1" customFormat="1" ht="18" customHeight="1" spans="1:9">
      <c r="A173" s="17">
        <v>195</v>
      </c>
      <c r="B173" s="17" t="s">
        <v>650</v>
      </c>
      <c r="C173" s="19" t="s">
        <v>156</v>
      </c>
      <c r="D173" s="20">
        <v>43647</v>
      </c>
      <c r="E173" s="32" t="s">
        <v>725</v>
      </c>
      <c r="F173" s="31">
        <v>3300</v>
      </c>
      <c r="G173" s="23"/>
      <c r="I173" s="24">
        <f t="shared" si="2"/>
        <v>3300</v>
      </c>
    </row>
    <row r="174" s="1" customFormat="1" ht="18" customHeight="1" spans="1:9">
      <c r="A174" s="17">
        <v>196</v>
      </c>
      <c r="B174" s="17" t="s">
        <v>650</v>
      </c>
      <c r="C174" s="19" t="s">
        <v>156</v>
      </c>
      <c r="D174" s="20">
        <v>41713</v>
      </c>
      <c r="E174" s="25" t="s">
        <v>726</v>
      </c>
      <c r="F174" s="31">
        <v>3300</v>
      </c>
      <c r="G174" s="23"/>
      <c r="I174" s="24">
        <f t="shared" si="2"/>
        <v>3300</v>
      </c>
    </row>
    <row r="175" s="1" customFormat="1" ht="18" customHeight="1" spans="1:9">
      <c r="A175" s="17">
        <v>197</v>
      </c>
      <c r="B175" s="17" t="s">
        <v>650</v>
      </c>
      <c r="C175" s="19" t="s">
        <v>706</v>
      </c>
      <c r="D175" s="20">
        <v>45349</v>
      </c>
      <c r="E175" s="25" t="s">
        <v>727</v>
      </c>
      <c r="F175" s="31">
        <v>3500</v>
      </c>
      <c r="G175" s="23"/>
      <c r="I175" s="24">
        <f t="shared" si="2"/>
        <v>3500</v>
      </c>
    </row>
    <row r="176" s="1" customFormat="1" ht="18" customHeight="1" spans="1:9">
      <c r="A176" s="17">
        <v>198</v>
      </c>
      <c r="B176" s="17" t="s">
        <v>650</v>
      </c>
      <c r="C176" s="19" t="s">
        <v>659</v>
      </c>
      <c r="D176" s="20">
        <v>45274</v>
      </c>
      <c r="E176" s="36" t="s">
        <v>728</v>
      </c>
      <c r="F176" s="46">
        <v>3500</v>
      </c>
      <c r="G176" s="23"/>
      <c r="I176" s="24">
        <f t="shared" si="2"/>
        <v>3500</v>
      </c>
    </row>
    <row r="177" s="1" customFormat="1" ht="18" customHeight="1" spans="1:9">
      <c r="A177" s="17">
        <v>199</v>
      </c>
      <c r="B177" s="17" t="s">
        <v>729</v>
      </c>
      <c r="C177" s="19" t="s">
        <v>112</v>
      </c>
      <c r="D177" s="20">
        <v>45113</v>
      </c>
      <c r="E177" s="47" t="s">
        <v>730</v>
      </c>
      <c r="F177" s="48">
        <v>9000</v>
      </c>
      <c r="G177" s="23"/>
      <c r="I177" s="24">
        <f t="shared" si="2"/>
        <v>9000</v>
      </c>
    </row>
    <row r="178" s="1" customFormat="1" ht="18" customHeight="1" spans="1:9">
      <c r="A178" s="17">
        <v>201</v>
      </c>
      <c r="B178" s="17" t="s">
        <v>729</v>
      </c>
      <c r="C178" s="19" t="s">
        <v>731</v>
      </c>
      <c r="D178" s="20">
        <v>43691</v>
      </c>
      <c r="E178" s="25" t="s">
        <v>732</v>
      </c>
      <c r="F178" s="31">
        <v>4000</v>
      </c>
      <c r="G178" s="23"/>
      <c r="I178" s="24">
        <f t="shared" si="2"/>
        <v>4000</v>
      </c>
    </row>
    <row r="179" s="1" customFormat="1" ht="18" customHeight="1" spans="1:9">
      <c r="A179" s="17">
        <v>204</v>
      </c>
      <c r="B179" s="17" t="s">
        <v>729</v>
      </c>
      <c r="C179" s="19" t="s">
        <v>141</v>
      </c>
      <c r="D179" s="20">
        <v>44513</v>
      </c>
      <c r="E179" s="17" t="s">
        <v>733</v>
      </c>
      <c r="F179" s="23">
        <v>4500</v>
      </c>
      <c r="G179" s="23"/>
      <c r="I179" s="24">
        <f t="shared" si="2"/>
        <v>4500</v>
      </c>
    </row>
    <row r="180" s="1" customFormat="1" ht="18" customHeight="1" spans="1:9">
      <c r="A180" s="17">
        <v>205</v>
      </c>
      <c r="B180" s="17" t="s">
        <v>729</v>
      </c>
      <c r="C180" s="19" t="s">
        <v>119</v>
      </c>
      <c r="D180" s="20">
        <v>44392</v>
      </c>
      <c r="E180" s="17" t="s">
        <v>734</v>
      </c>
      <c r="F180" s="23">
        <v>3000</v>
      </c>
      <c r="G180" s="23"/>
      <c r="I180" s="24">
        <f t="shared" si="2"/>
        <v>3000</v>
      </c>
    </row>
    <row r="181" s="1" customFormat="1" ht="18" customHeight="1" spans="1:9">
      <c r="A181" s="17">
        <v>206</v>
      </c>
      <c r="B181" s="17" t="s">
        <v>729</v>
      </c>
      <c r="C181" s="19" t="s">
        <v>119</v>
      </c>
      <c r="D181" s="20">
        <v>43168</v>
      </c>
      <c r="E181" s="25" t="s">
        <v>735</v>
      </c>
      <c r="F181" s="31">
        <v>3600</v>
      </c>
      <c r="G181" s="23"/>
      <c r="I181" s="24">
        <f t="shared" si="2"/>
        <v>3600</v>
      </c>
    </row>
    <row r="182" s="1" customFormat="1" ht="18" customHeight="1" spans="1:9">
      <c r="A182" s="17">
        <v>207</v>
      </c>
      <c r="B182" s="17" t="s">
        <v>729</v>
      </c>
      <c r="C182" s="19" t="s">
        <v>119</v>
      </c>
      <c r="D182" s="20">
        <v>42302</v>
      </c>
      <c r="E182" s="17" t="s">
        <v>736</v>
      </c>
      <c r="F182" s="23">
        <v>3000</v>
      </c>
      <c r="G182" s="23"/>
      <c r="I182" s="24">
        <f t="shared" si="2"/>
        <v>3000</v>
      </c>
    </row>
    <row r="183" s="1" customFormat="1" ht="18" customHeight="1" spans="1:9">
      <c r="A183" s="17">
        <v>208</v>
      </c>
      <c r="B183" s="17" t="s">
        <v>729</v>
      </c>
      <c r="C183" s="19" t="s">
        <v>426</v>
      </c>
      <c r="D183" s="20">
        <v>44670</v>
      </c>
      <c r="E183" s="25" t="s">
        <v>737</v>
      </c>
      <c r="F183" s="31">
        <v>3600</v>
      </c>
      <c r="G183" s="23"/>
      <c r="I183" s="24">
        <f t="shared" si="2"/>
        <v>3600</v>
      </c>
    </row>
    <row r="184" s="1" customFormat="1" ht="18" customHeight="1" spans="1:9">
      <c r="A184" s="17">
        <v>209</v>
      </c>
      <c r="B184" s="17" t="s">
        <v>729</v>
      </c>
      <c r="C184" s="19" t="s">
        <v>738</v>
      </c>
      <c r="D184" s="20">
        <v>43160</v>
      </c>
      <c r="E184" s="49" t="s">
        <v>739</v>
      </c>
      <c r="F184" s="42">
        <v>3600</v>
      </c>
      <c r="G184" s="23"/>
      <c r="I184" s="24">
        <f t="shared" si="2"/>
        <v>3600</v>
      </c>
    </row>
    <row r="185" s="1" customFormat="1" ht="18" customHeight="1" spans="1:9">
      <c r="A185" s="17">
        <v>210</v>
      </c>
      <c r="B185" s="17" t="s">
        <v>729</v>
      </c>
      <c r="C185" s="19" t="s">
        <v>738</v>
      </c>
      <c r="D185" s="20">
        <v>43709</v>
      </c>
      <c r="E185" s="49" t="s">
        <v>740</v>
      </c>
      <c r="F185" s="42">
        <v>3600</v>
      </c>
      <c r="G185" s="23"/>
      <c r="I185" s="24">
        <f t="shared" si="2"/>
        <v>3600</v>
      </c>
    </row>
    <row r="186" s="1" customFormat="1" ht="18" customHeight="1" spans="1:9">
      <c r="A186" s="17">
        <v>211</v>
      </c>
      <c r="B186" s="17" t="s">
        <v>729</v>
      </c>
      <c r="C186" s="19" t="s">
        <v>741</v>
      </c>
      <c r="D186" s="20">
        <v>43782</v>
      </c>
      <c r="E186" s="17" t="s">
        <v>742</v>
      </c>
      <c r="F186" s="31">
        <v>3200</v>
      </c>
      <c r="G186" s="23"/>
      <c r="I186" s="24">
        <f t="shared" si="2"/>
        <v>3200</v>
      </c>
    </row>
    <row r="187" s="1" customFormat="1" ht="18" customHeight="1" spans="1:9">
      <c r="A187" s="17">
        <v>212</v>
      </c>
      <c r="B187" s="17" t="s">
        <v>729</v>
      </c>
      <c r="C187" s="19" t="s">
        <v>741</v>
      </c>
      <c r="D187" s="20">
        <v>41368</v>
      </c>
      <c r="E187" s="25" t="s">
        <v>743</v>
      </c>
      <c r="F187" s="31">
        <v>3000</v>
      </c>
      <c r="G187" s="23"/>
      <c r="I187" s="24">
        <f t="shared" si="2"/>
        <v>3000</v>
      </c>
    </row>
    <row r="188" s="1" customFormat="1" ht="18" customHeight="1" spans="1:9">
      <c r="A188" s="17">
        <v>213</v>
      </c>
      <c r="B188" s="17" t="s">
        <v>729</v>
      </c>
      <c r="C188" s="19" t="s">
        <v>744</v>
      </c>
      <c r="D188" s="20">
        <v>43698</v>
      </c>
      <c r="E188" s="49" t="s">
        <v>745</v>
      </c>
      <c r="F188" s="42">
        <v>3000</v>
      </c>
      <c r="G188" s="23"/>
      <c r="I188" s="24">
        <f t="shared" si="2"/>
        <v>3000</v>
      </c>
    </row>
    <row r="189" s="1" customFormat="1" ht="18" customHeight="1" spans="1:9">
      <c r="A189" s="17">
        <v>214</v>
      </c>
      <c r="B189" s="17" t="s">
        <v>729</v>
      </c>
      <c r="C189" s="19" t="s">
        <v>119</v>
      </c>
      <c r="D189" s="20">
        <v>43161</v>
      </c>
      <c r="E189" s="25" t="s">
        <v>746</v>
      </c>
      <c r="F189" s="31">
        <v>3000</v>
      </c>
      <c r="G189" s="23"/>
      <c r="I189" s="24">
        <f t="shared" si="2"/>
        <v>3000</v>
      </c>
    </row>
    <row r="190" s="1" customFormat="1" ht="18" customHeight="1" spans="1:9">
      <c r="A190" s="17">
        <v>215</v>
      </c>
      <c r="B190" s="17" t="s">
        <v>729</v>
      </c>
      <c r="C190" s="19" t="s">
        <v>731</v>
      </c>
      <c r="D190" s="20">
        <v>43962</v>
      </c>
      <c r="E190" s="25" t="s">
        <v>747</v>
      </c>
      <c r="F190" s="31">
        <v>3000</v>
      </c>
      <c r="G190" s="23"/>
      <c r="I190" s="24">
        <f t="shared" si="2"/>
        <v>3000</v>
      </c>
    </row>
    <row r="191" s="1" customFormat="1" ht="18" customHeight="1" spans="1:9">
      <c r="A191" s="17">
        <v>216</v>
      </c>
      <c r="B191" s="17" t="s">
        <v>729</v>
      </c>
      <c r="C191" s="19" t="s">
        <v>744</v>
      </c>
      <c r="D191" s="20">
        <v>43698</v>
      </c>
      <c r="E191" s="25" t="s">
        <v>748</v>
      </c>
      <c r="F191" s="31">
        <v>3000</v>
      </c>
      <c r="G191" s="23"/>
      <c r="I191" s="24">
        <f t="shared" si="2"/>
        <v>3000</v>
      </c>
    </row>
    <row r="192" s="1" customFormat="1" ht="18" customHeight="1" spans="1:9">
      <c r="A192" s="17">
        <v>217</v>
      </c>
      <c r="B192" s="17" t="s">
        <v>729</v>
      </c>
      <c r="C192" s="19" t="s">
        <v>741</v>
      </c>
      <c r="D192" s="20">
        <v>42083</v>
      </c>
      <c r="E192" s="49" t="s">
        <v>749</v>
      </c>
      <c r="F192" s="42">
        <v>3000</v>
      </c>
      <c r="G192" s="23"/>
      <c r="I192" s="24">
        <f t="shared" si="2"/>
        <v>3000</v>
      </c>
    </row>
    <row r="193" s="1" customFormat="1" ht="18" customHeight="1" spans="1:9">
      <c r="A193" s="17">
        <v>218</v>
      </c>
      <c r="B193" s="17" t="s">
        <v>729</v>
      </c>
      <c r="C193" s="19" t="s">
        <v>744</v>
      </c>
      <c r="D193" s="20">
        <v>44330</v>
      </c>
      <c r="E193" s="25" t="s">
        <v>750</v>
      </c>
      <c r="F193" s="31">
        <v>3000</v>
      </c>
      <c r="G193" s="23"/>
      <c r="I193" s="24">
        <f t="shared" si="2"/>
        <v>3000</v>
      </c>
    </row>
    <row r="194" s="1" customFormat="1" ht="18" customHeight="1" spans="1:9">
      <c r="A194" s="17">
        <v>219</v>
      </c>
      <c r="B194" s="17" t="s">
        <v>729</v>
      </c>
      <c r="C194" s="19" t="s">
        <v>751</v>
      </c>
      <c r="D194" s="20">
        <v>43466</v>
      </c>
      <c r="E194" s="25" t="s">
        <v>752</v>
      </c>
      <c r="F194" s="31">
        <v>3000</v>
      </c>
      <c r="G194" s="23"/>
      <c r="I194" s="24">
        <f t="shared" si="2"/>
        <v>3000</v>
      </c>
    </row>
    <row r="195" s="1" customFormat="1" ht="18" customHeight="1" spans="1:9">
      <c r="A195" s="17">
        <v>220</v>
      </c>
      <c r="B195" s="17" t="s">
        <v>729</v>
      </c>
      <c r="C195" s="19" t="s">
        <v>751</v>
      </c>
      <c r="D195" s="20">
        <v>43466</v>
      </c>
      <c r="E195" s="25" t="s">
        <v>753</v>
      </c>
      <c r="F195" s="31">
        <v>3000</v>
      </c>
      <c r="G195" s="23"/>
      <c r="I195" s="24">
        <f t="shared" si="2"/>
        <v>3000</v>
      </c>
    </row>
    <row r="196" s="1" customFormat="1" ht="18" customHeight="1" spans="1:9">
      <c r="A196" s="17">
        <v>221</v>
      </c>
      <c r="B196" s="17" t="s">
        <v>754</v>
      </c>
      <c r="C196" s="19" t="s">
        <v>755</v>
      </c>
      <c r="D196" s="20">
        <v>45342</v>
      </c>
      <c r="E196" s="25" t="s">
        <v>756</v>
      </c>
      <c r="F196" s="31">
        <v>17000</v>
      </c>
      <c r="G196" s="23"/>
      <c r="I196" s="24">
        <f t="shared" ref="I196:I259" si="3">F196+G196</f>
        <v>17000</v>
      </c>
    </row>
    <row r="197" s="1" customFormat="1" ht="18" customHeight="1" spans="1:9">
      <c r="A197" s="17">
        <v>222</v>
      </c>
      <c r="B197" s="17" t="s">
        <v>754</v>
      </c>
      <c r="C197" s="19" t="s">
        <v>757</v>
      </c>
      <c r="D197" s="20">
        <v>43978</v>
      </c>
      <c r="E197" s="36" t="s">
        <v>758</v>
      </c>
      <c r="F197" s="23">
        <v>2500</v>
      </c>
      <c r="G197" s="41">
        <v>1000</v>
      </c>
      <c r="I197" s="24">
        <f t="shared" si="3"/>
        <v>3500</v>
      </c>
    </row>
    <row r="198" s="1" customFormat="1" ht="18" customHeight="1" spans="1:9">
      <c r="A198" s="17">
        <v>224</v>
      </c>
      <c r="B198" s="33" t="s">
        <v>759</v>
      </c>
      <c r="C198" s="19" t="s">
        <v>167</v>
      </c>
      <c r="D198" s="20">
        <v>41193</v>
      </c>
      <c r="E198" s="17" t="s">
        <v>760</v>
      </c>
      <c r="F198" s="23">
        <v>5500</v>
      </c>
      <c r="G198" s="41">
        <v>500</v>
      </c>
      <c r="I198" s="24">
        <f t="shared" si="3"/>
        <v>6000</v>
      </c>
    </row>
    <row r="199" s="1" customFormat="1" ht="18" customHeight="1" spans="1:9">
      <c r="A199" s="17">
        <v>225</v>
      </c>
      <c r="B199" s="33" t="s">
        <v>759</v>
      </c>
      <c r="C199" s="19" t="s">
        <v>167</v>
      </c>
      <c r="D199" s="20">
        <v>41285</v>
      </c>
      <c r="E199" s="17" t="s">
        <v>761</v>
      </c>
      <c r="F199" s="23">
        <v>5500</v>
      </c>
      <c r="G199" s="41">
        <v>500</v>
      </c>
      <c r="I199" s="24">
        <f t="shared" si="3"/>
        <v>6000</v>
      </c>
    </row>
    <row r="200" s="1" customFormat="1" ht="18" customHeight="1" spans="1:9">
      <c r="A200" s="17">
        <v>226</v>
      </c>
      <c r="B200" s="33" t="s">
        <v>759</v>
      </c>
      <c r="C200" s="19" t="s">
        <v>167</v>
      </c>
      <c r="D200" s="20">
        <v>41197</v>
      </c>
      <c r="E200" s="17" t="s">
        <v>762</v>
      </c>
      <c r="F200" s="23">
        <v>5500</v>
      </c>
      <c r="G200" s="41">
        <v>500</v>
      </c>
      <c r="I200" s="24">
        <f t="shared" si="3"/>
        <v>6000</v>
      </c>
    </row>
    <row r="201" s="1" customFormat="1" ht="18" customHeight="1" spans="1:9">
      <c r="A201" s="17">
        <v>227</v>
      </c>
      <c r="B201" s="33" t="s">
        <v>759</v>
      </c>
      <c r="C201" s="19" t="s">
        <v>118</v>
      </c>
      <c r="D201" s="20">
        <v>43008</v>
      </c>
      <c r="E201" s="50" t="s">
        <v>763</v>
      </c>
      <c r="F201" s="23">
        <v>4500</v>
      </c>
      <c r="G201" s="41">
        <v>400</v>
      </c>
      <c r="I201" s="24">
        <f t="shared" si="3"/>
        <v>4900</v>
      </c>
    </row>
    <row r="202" s="1" customFormat="1" ht="18" customHeight="1" spans="1:9">
      <c r="A202" s="17">
        <v>228</v>
      </c>
      <c r="B202" s="33" t="s">
        <v>759</v>
      </c>
      <c r="C202" s="19" t="s">
        <v>118</v>
      </c>
      <c r="D202" s="20">
        <v>41338</v>
      </c>
      <c r="E202" s="17" t="s">
        <v>764</v>
      </c>
      <c r="F202" s="23">
        <v>4500</v>
      </c>
      <c r="G202" s="41">
        <v>400</v>
      </c>
      <c r="I202" s="24">
        <f t="shared" si="3"/>
        <v>4900</v>
      </c>
    </row>
    <row r="203" s="1" customFormat="1" ht="18" customHeight="1" spans="1:9">
      <c r="A203" s="17">
        <v>229</v>
      </c>
      <c r="B203" s="33" t="s">
        <v>759</v>
      </c>
      <c r="C203" s="19" t="s">
        <v>118</v>
      </c>
      <c r="D203" s="20">
        <v>41342</v>
      </c>
      <c r="E203" s="17" t="s">
        <v>765</v>
      </c>
      <c r="F203" s="23">
        <v>4500</v>
      </c>
      <c r="G203" s="41">
        <v>400</v>
      </c>
      <c r="I203" s="24">
        <f t="shared" si="3"/>
        <v>4900</v>
      </c>
    </row>
    <row r="204" s="1" customFormat="1" ht="18" customHeight="1" spans="1:9">
      <c r="A204" s="17">
        <v>230</v>
      </c>
      <c r="B204" s="33" t="s">
        <v>759</v>
      </c>
      <c r="C204" s="19" t="s">
        <v>118</v>
      </c>
      <c r="D204" s="20">
        <v>43515</v>
      </c>
      <c r="E204" s="30" t="s">
        <v>766</v>
      </c>
      <c r="F204" s="38">
        <v>4500</v>
      </c>
      <c r="G204" s="41">
        <v>400</v>
      </c>
      <c r="I204" s="24">
        <f t="shared" si="3"/>
        <v>4900</v>
      </c>
    </row>
    <row r="205" s="1" customFormat="1" ht="18" customHeight="1" spans="1:9">
      <c r="A205" s="17">
        <v>231</v>
      </c>
      <c r="B205" s="33" t="s">
        <v>759</v>
      </c>
      <c r="C205" s="19" t="s">
        <v>767</v>
      </c>
      <c r="D205" s="20">
        <v>43515</v>
      </c>
      <c r="E205" s="30" t="s">
        <v>768</v>
      </c>
      <c r="F205" s="38">
        <v>3800</v>
      </c>
      <c r="G205" s="41">
        <v>100</v>
      </c>
      <c r="I205" s="24">
        <f t="shared" si="3"/>
        <v>3900</v>
      </c>
    </row>
    <row r="206" s="1" customFormat="1" ht="18" customHeight="1" spans="1:9">
      <c r="A206" s="17">
        <v>232</v>
      </c>
      <c r="B206" s="33" t="s">
        <v>759</v>
      </c>
      <c r="C206" s="19" t="s">
        <v>767</v>
      </c>
      <c r="D206" s="20">
        <v>41338</v>
      </c>
      <c r="E206" s="17" t="s">
        <v>769</v>
      </c>
      <c r="F206" s="23">
        <v>3800</v>
      </c>
      <c r="G206" s="41">
        <v>50</v>
      </c>
      <c r="I206" s="24">
        <f t="shared" si="3"/>
        <v>3850</v>
      </c>
    </row>
    <row r="207" s="1" customFormat="1" ht="18" customHeight="1" spans="1:9">
      <c r="A207" s="17">
        <v>233</v>
      </c>
      <c r="B207" s="33" t="s">
        <v>759</v>
      </c>
      <c r="C207" s="19" t="s">
        <v>770</v>
      </c>
      <c r="D207" s="20">
        <v>44616</v>
      </c>
      <c r="E207" s="30" t="s">
        <v>771</v>
      </c>
      <c r="F207" s="38">
        <v>3500</v>
      </c>
      <c r="G207" s="41">
        <v>50</v>
      </c>
      <c r="I207" s="24">
        <f t="shared" si="3"/>
        <v>3550</v>
      </c>
    </row>
    <row r="208" s="1" customFormat="1" ht="18" customHeight="1" spans="1:9">
      <c r="A208" s="17">
        <v>234</v>
      </c>
      <c r="B208" s="33" t="s">
        <v>759</v>
      </c>
      <c r="C208" s="19" t="s">
        <v>211</v>
      </c>
      <c r="D208" s="20">
        <v>44084</v>
      </c>
      <c r="E208" s="30" t="s">
        <v>772</v>
      </c>
      <c r="F208" s="38">
        <v>3000</v>
      </c>
      <c r="G208" s="23"/>
      <c r="I208" s="24">
        <f t="shared" si="3"/>
        <v>3000</v>
      </c>
    </row>
    <row r="209" s="1" customFormat="1" ht="18" customHeight="1" spans="1:9">
      <c r="A209" s="17">
        <v>235</v>
      </c>
      <c r="B209" s="33" t="s">
        <v>759</v>
      </c>
      <c r="C209" s="19" t="s">
        <v>773</v>
      </c>
      <c r="D209" s="20">
        <v>44622</v>
      </c>
      <c r="E209" s="30" t="s">
        <v>774</v>
      </c>
      <c r="F209" s="38">
        <v>3000</v>
      </c>
      <c r="G209" s="23"/>
      <c r="I209" s="24">
        <f t="shared" si="3"/>
        <v>3000</v>
      </c>
    </row>
    <row r="210" s="1" customFormat="1" ht="18" customHeight="1" spans="1:9">
      <c r="A210" s="17">
        <v>236</v>
      </c>
      <c r="B210" s="33" t="s">
        <v>759</v>
      </c>
      <c r="C210" s="19" t="s">
        <v>770</v>
      </c>
      <c r="D210" s="20">
        <v>43515</v>
      </c>
      <c r="E210" s="30" t="s">
        <v>775</v>
      </c>
      <c r="F210" s="38">
        <v>3800</v>
      </c>
      <c r="G210" s="23"/>
      <c r="I210" s="24">
        <f t="shared" si="3"/>
        <v>3800</v>
      </c>
    </row>
    <row r="211" s="1" customFormat="1" ht="18" customHeight="1" spans="1:9">
      <c r="A211" s="17">
        <v>237</v>
      </c>
      <c r="B211" s="33" t="s">
        <v>759</v>
      </c>
      <c r="C211" s="19" t="s">
        <v>770</v>
      </c>
      <c r="D211" s="20">
        <v>43515</v>
      </c>
      <c r="E211" s="30" t="s">
        <v>776</v>
      </c>
      <c r="F211" s="38">
        <v>3500</v>
      </c>
      <c r="G211" s="23"/>
      <c r="I211" s="24">
        <f t="shared" si="3"/>
        <v>3500</v>
      </c>
    </row>
    <row r="212" s="1" customFormat="1" ht="18" customHeight="1" spans="1:9">
      <c r="A212" s="17">
        <v>238</v>
      </c>
      <c r="B212" s="33" t="s">
        <v>759</v>
      </c>
      <c r="C212" s="19" t="s">
        <v>211</v>
      </c>
      <c r="D212" s="20">
        <v>43608</v>
      </c>
      <c r="E212" s="17" t="s">
        <v>777</v>
      </c>
      <c r="F212" s="23">
        <v>3000</v>
      </c>
      <c r="G212" s="23"/>
      <c r="I212" s="24">
        <f t="shared" si="3"/>
        <v>3000</v>
      </c>
    </row>
    <row r="213" s="1" customFormat="1" ht="18" customHeight="1" spans="1:9">
      <c r="A213" s="17">
        <v>239</v>
      </c>
      <c r="B213" s="33" t="s">
        <v>759</v>
      </c>
      <c r="C213" s="19" t="s">
        <v>773</v>
      </c>
      <c r="D213" s="20">
        <v>43930</v>
      </c>
      <c r="E213" s="17" t="s">
        <v>778</v>
      </c>
      <c r="F213" s="23">
        <v>3500</v>
      </c>
      <c r="G213" s="23"/>
      <c r="I213" s="24">
        <f t="shared" si="3"/>
        <v>3500</v>
      </c>
    </row>
    <row r="214" s="1" customFormat="1" ht="18" customHeight="1" spans="1:9">
      <c r="A214" s="17">
        <v>240</v>
      </c>
      <c r="B214" s="33" t="s">
        <v>759</v>
      </c>
      <c r="C214" s="19" t="s">
        <v>779</v>
      </c>
      <c r="D214" s="20">
        <v>43969</v>
      </c>
      <c r="E214" s="17" t="s">
        <v>780</v>
      </c>
      <c r="F214" s="23">
        <v>3300</v>
      </c>
      <c r="G214" s="41">
        <v>150</v>
      </c>
      <c r="I214" s="24">
        <f t="shared" si="3"/>
        <v>3450</v>
      </c>
    </row>
    <row r="215" s="1" customFormat="1" ht="18" customHeight="1" spans="1:9">
      <c r="A215" s="17">
        <v>241</v>
      </c>
      <c r="B215" s="33" t="s">
        <v>759</v>
      </c>
      <c r="C215" s="19" t="s">
        <v>779</v>
      </c>
      <c r="D215" s="20">
        <v>44146</v>
      </c>
      <c r="E215" s="30" t="s">
        <v>781</v>
      </c>
      <c r="F215" s="38">
        <v>3300</v>
      </c>
      <c r="G215" s="41">
        <v>150</v>
      </c>
      <c r="I215" s="24">
        <f t="shared" si="3"/>
        <v>3450</v>
      </c>
    </row>
    <row r="216" s="1" customFormat="1" ht="18" customHeight="1" spans="1:9">
      <c r="A216" s="17">
        <v>242</v>
      </c>
      <c r="B216" s="33" t="s">
        <v>759</v>
      </c>
      <c r="C216" s="19" t="s">
        <v>211</v>
      </c>
      <c r="D216" s="20">
        <v>45237</v>
      </c>
      <c r="E216" s="30" t="s">
        <v>782</v>
      </c>
      <c r="F216" s="38">
        <v>3000</v>
      </c>
      <c r="G216" s="23"/>
      <c r="I216" s="24">
        <f t="shared" si="3"/>
        <v>3000</v>
      </c>
    </row>
    <row r="217" s="1" customFormat="1" ht="18" customHeight="1" spans="1:9">
      <c r="A217" s="17">
        <v>243</v>
      </c>
      <c r="B217" s="33" t="s">
        <v>759</v>
      </c>
      <c r="C217" s="19" t="s">
        <v>779</v>
      </c>
      <c r="D217" s="20">
        <v>45246</v>
      </c>
      <c r="E217" s="30" t="s">
        <v>783</v>
      </c>
      <c r="F217" s="38">
        <v>3300</v>
      </c>
      <c r="G217" s="23"/>
      <c r="I217" s="24">
        <f t="shared" si="3"/>
        <v>3300</v>
      </c>
    </row>
    <row r="218" s="1" customFormat="1" ht="18" customHeight="1" spans="1:9">
      <c r="A218" s="17">
        <v>244</v>
      </c>
      <c r="B218" s="33" t="s">
        <v>759</v>
      </c>
      <c r="C218" s="19" t="s">
        <v>779</v>
      </c>
      <c r="D218" s="20">
        <v>45262</v>
      </c>
      <c r="E218" s="30" t="s">
        <v>784</v>
      </c>
      <c r="F218" s="38">
        <v>3300</v>
      </c>
      <c r="G218" s="23"/>
      <c r="I218" s="24">
        <f t="shared" si="3"/>
        <v>3300</v>
      </c>
    </row>
    <row r="219" s="1" customFormat="1" ht="18" customHeight="1" spans="1:9">
      <c r="A219" s="17">
        <v>245</v>
      </c>
      <c r="B219" s="33" t="s">
        <v>759</v>
      </c>
      <c r="C219" s="19" t="s">
        <v>767</v>
      </c>
      <c r="D219" s="51">
        <v>45235</v>
      </c>
      <c r="E219" s="36" t="s">
        <v>785</v>
      </c>
      <c r="F219" s="39">
        <v>3800</v>
      </c>
      <c r="G219" s="23"/>
      <c r="I219" s="24">
        <f t="shared" si="3"/>
        <v>3800</v>
      </c>
    </row>
    <row r="220" s="1" customFormat="1" ht="18" customHeight="1" spans="1:9">
      <c r="A220" s="17">
        <v>246</v>
      </c>
      <c r="B220" s="33" t="s">
        <v>759</v>
      </c>
      <c r="C220" s="19" t="s">
        <v>773</v>
      </c>
      <c r="D220" s="20">
        <v>44834</v>
      </c>
      <c r="E220" s="36" t="s">
        <v>786</v>
      </c>
      <c r="F220" s="39">
        <v>3000</v>
      </c>
      <c r="G220" s="23"/>
      <c r="I220" s="24">
        <f t="shared" si="3"/>
        <v>3000</v>
      </c>
    </row>
    <row r="221" s="1" customFormat="1" ht="18" customHeight="1" spans="1:9">
      <c r="A221" s="17">
        <v>248</v>
      </c>
      <c r="B221" s="33" t="s">
        <v>787</v>
      </c>
      <c r="C221" s="19" t="s">
        <v>167</v>
      </c>
      <c r="D221" s="20">
        <v>42896</v>
      </c>
      <c r="E221" s="36" t="s">
        <v>788</v>
      </c>
      <c r="F221" s="23">
        <v>7300</v>
      </c>
      <c r="G221" s="41">
        <v>500</v>
      </c>
      <c r="I221" s="24">
        <f t="shared" si="3"/>
        <v>7800</v>
      </c>
    </row>
    <row r="222" s="1" customFormat="1" ht="18" customHeight="1" spans="1:9">
      <c r="A222" s="17">
        <v>249</v>
      </c>
      <c r="B222" s="33" t="s">
        <v>787</v>
      </c>
      <c r="C222" s="19" t="s">
        <v>167</v>
      </c>
      <c r="D222" s="20">
        <v>41137</v>
      </c>
      <c r="E222" s="25" t="s">
        <v>789</v>
      </c>
      <c r="F222" s="31">
        <v>7300</v>
      </c>
      <c r="G222" s="41">
        <v>500</v>
      </c>
      <c r="I222" s="24">
        <f t="shared" si="3"/>
        <v>7800</v>
      </c>
    </row>
    <row r="223" s="1" customFormat="1" ht="18" customHeight="1" spans="1:9">
      <c r="A223" s="17">
        <v>250</v>
      </c>
      <c r="B223" s="33" t="s">
        <v>787</v>
      </c>
      <c r="C223" s="19" t="s">
        <v>167</v>
      </c>
      <c r="D223" s="20">
        <v>43596</v>
      </c>
      <c r="E223" s="25" t="s">
        <v>790</v>
      </c>
      <c r="F223" s="31">
        <v>7300</v>
      </c>
      <c r="G223" s="41">
        <v>500</v>
      </c>
      <c r="I223" s="24">
        <f t="shared" si="3"/>
        <v>7800</v>
      </c>
    </row>
    <row r="224" s="1" customFormat="1" ht="18" customHeight="1" spans="1:9">
      <c r="A224" s="17">
        <v>251</v>
      </c>
      <c r="B224" s="33" t="s">
        <v>787</v>
      </c>
      <c r="C224" s="19" t="s">
        <v>791</v>
      </c>
      <c r="D224" s="20">
        <v>42419</v>
      </c>
      <c r="E224" s="25" t="s">
        <v>792</v>
      </c>
      <c r="F224" s="31">
        <v>5000</v>
      </c>
      <c r="G224" s="41">
        <v>400</v>
      </c>
      <c r="I224" s="24">
        <f t="shared" si="3"/>
        <v>5400</v>
      </c>
    </row>
    <row r="225" s="1" customFormat="1" ht="18" customHeight="1" spans="1:9">
      <c r="A225" s="17">
        <v>252</v>
      </c>
      <c r="B225" s="33" t="s">
        <v>787</v>
      </c>
      <c r="C225" s="19" t="s">
        <v>118</v>
      </c>
      <c r="D225" s="20">
        <v>43532</v>
      </c>
      <c r="E225" s="25" t="s">
        <v>793</v>
      </c>
      <c r="F225" s="31">
        <v>5000</v>
      </c>
      <c r="G225" s="41">
        <v>400</v>
      </c>
      <c r="I225" s="24">
        <f t="shared" si="3"/>
        <v>5400</v>
      </c>
    </row>
    <row r="226" s="1" customFormat="1" ht="18" customHeight="1" spans="1:9">
      <c r="A226" s="17">
        <v>253</v>
      </c>
      <c r="B226" s="33" t="s">
        <v>787</v>
      </c>
      <c r="C226" s="19" t="s">
        <v>118</v>
      </c>
      <c r="D226" s="20">
        <v>43610</v>
      </c>
      <c r="E226" s="25" t="s">
        <v>794</v>
      </c>
      <c r="F226" s="31">
        <v>5000</v>
      </c>
      <c r="G226" s="41">
        <v>400</v>
      </c>
      <c r="I226" s="24">
        <f t="shared" si="3"/>
        <v>5400</v>
      </c>
    </row>
    <row r="227" s="1" customFormat="1" ht="18" customHeight="1" spans="1:9">
      <c r="A227" s="17">
        <v>254</v>
      </c>
      <c r="B227" s="33" t="s">
        <v>787</v>
      </c>
      <c r="C227" s="19" t="s">
        <v>219</v>
      </c>
      <c r="D227" s="20">
        <v>42831</v>
      </c>
      <c r="E227" s="25" t="s">
        <v>795</v>
      </c>
      <c r="F227" s="31">
        <v>4700</v>
      </c>
      <c r="G227" s="41">
        <v>200</v>
      </c>
      <c r="I227" s="24">
        <f t="shared" si="3"/>
        <v>4900</v>
      </c>
    </row>
    <row r="228" s="1" customFormat="1" ht="18" customHeight="1" spans="1:9">
      <c r="A228" s="17">
        <v>255</v>
      </c>
      <c r="B228" s="33" t="s">
        <v>787</v>
      </c>
      <c r="C228" s="19" t="s">
        <v>219</v>
      </c>
      <c r="D228" s="20">
        <v>44449</v>
      </c>
      <c r="E228" s="25" t="s">
        <v>796</v>
      </c>
      <c r="F228" s="31">
        <v>4700</v>
      </c>
      <c r="G228" s="41">
        <v>200</v>
      </c>
      <c r="I228" s="24">
        <f t="shared" si="3"/>
        <v>4900</v>
      </c>
    </row>
    <row r="229" s="1" customFormat="1" ht="18" customHeight="1" spans="1:9">
      <c r="A229" s="17">
        <v>256</v>
      </c>
      <c r="B229" s="33" t="s">
        <v>787</v>
      </c>
      <c r="C229" s="19" t="s">
        <v>220</v>
      </c>
      <c r="D229" s="20">
        <v>44267</v>
      </c>
      <c r="E229" s="25" t="s">
        <v>797</v>
      </c>
      <c r="F229" s="31">
        <v>3600</v>
      </c>
      <c r="G229" s="41">
        <v>130</v>
      </c>
      <c r="I229" s="24">
        <f t="shared" si="3"/>
        <v>3730</v>
      </c>
    </row>
    <row r="230" s="1" customFormat="1" ht="18" customHeight="1" spans="1:9">
      <c r="A230" s="17">
        <v>257</v>
      </c>
      <c r="B230" s="33" t="s">
        <v>787</v>
      </c>
      <c r="C230" s="19" t="s">
        <v>220</v>
      </c>
      <c r="D230" s="20">
        <v>44267</v>
      </c>
      <c r="E230" s="25" t="s">
        <v>798</v>
      </c>
      <c r="F230" s="31">
        <v>3600</v>
      </c>
      <c r="G230" s="41">
        <v>130</v>
      </c>
      <c r="I230" s="24">
        <f t="shared" si="3"/>
        <v>3730</v>
      </c>
    </row>
    <row r="231" s="1" customFormat="1" ht="18" customHeight="1" spans="1:9">
      <c r="A231" s="17">
        <v>258</v>
      </c>
      <c r="B231" s="33" t="s">
        <v>787</v>
      </c>
      <c r="C231" s="19" t="s">
        <v>220</v>
      </c>
      <c r="D231" s="20">
        <v>45045</v>
      </c>
      <c r="E231" s="25" t="s">
        <v>799</v>
      </c>
      <c r="F231" s="31">
        <v>3600</v>
      </c>
      <c r="G231" s="23"/>
      <c r="I231" s="24">
        <f t="shared" si="3"/>
        <v>3600</v>
      </c>
    </row>
    <row r="232" s="1" customFormat="1" ht="18" customHeight="1" spans="1:9">
      <c r="A232" s="17">
        <v>259</v>
      </c>
      <c r="B232" s="33" t="s">
        <v>787</v>
      </c>
      <c r="C232" s="19" t="s">
        <v>800</v>
      </c>
      <c r="D232" s="20">
        <v>43001</v>
      </c>
      <c r="E232" s="52" t="s">
        <v>801</v>
      </c>
      <c r="F232" s="31">
        <v>4000</v>
      </c>
      <c r="G232" s="41">
        <v>350</v>
      </c>
      <c r="I232" s="24">
        <f t="shared" si="3"/>
        <v>4350</v>
      </c>
    </row>
    <row r="233" s="1" customFormat="1" ht="18" customHeight="1" spans="1:9">
      <c r="A233" s="17">
        <v>260</v>
      </c>
      <c r="B233" s="33" t="s">
        <v>787</v>
      </c>
      <c r="C233" s="19" t="s">
        <v>800</v>
      </c>
      <c r="D233" s="20">
        <v>43980</v>
      </c>
      <c r="E233" s="25" t="s">
        <v>802</v>
      </c>
      <c r="F233" s="31">
        <v>4000</v>
      </c>
      <c r="G233" s="41">
        <v>130</v>
      </c>
      <c r="I233" s="24">
        <f t="shared" si="3"/>
        <v>4130</v>
      </c>
    </row>
    <row r="234" s="1" customFormat="1" ht="18" customHeight="1" spans="1:9">
      <c r="A234" s="17">
        <v>261</v>
      </c>
      <c r="B234" s="33" t="s">
        <v>787</v>
      </c>
      <c r="C234" s="19" t="s">
        <v>800</v>
      </c>
      <c r="D234" s="20">
        <v>43595</v>
      </c>
      <c r="E234" s="25" t="s">
        <v>803</v>
      </c>
      <c r="F234" s="31">
        <v>4000</v>
      </c>
      <c r="G234" s="41">
        <v>130</v>
      </c>
      <c r="I234" s="24">
        <f t="shared" si="3"/>
        <v>4130</v>
      </c>
    </row>
    <row r="235" s="1" customFormat="1" ht="18" customHeight="1" spans="1:9">
      <c r="A235" s="17">
        <v>262</v>
      </c>
      <c r="B235" s="33" t="s">
        <v>787</v>
      </c>
      <c r="C235" s="19" t="s">
        <v>804</v>
      </c>
      <c r="D235" s="20">
        <v>43606</v>
      </c>
      <c r="E235" s="25" t="s">
        <v>805</v>
      </c>
      <c r="F235" s="31">
        <v>3600</v>
      </c>
      <c r="G235" s="41">
        <v>130</v>
      </c>
      <c r="I235" s="24">
        <f t="shared" si="3"/>
        <v>3730</v>
      </c>
    </row>
    <row r="236" s="1" customFormat="1" ht="18" customHeight="1" spans="1:9">
      <c r="A236" s="17">
        <v>263</v>
      </c>
      <c r="B236" s="33" t="s">
        <v>787</v>
      </c>
      <c r="C236" s="19" t="s">
        <v>806</v>
      </c>
      <c r="D236" s="20">
        <v>41378</v>
      </c>
      <c r="E236" s="25" t="s">
        <v>807</v>
      </c>
      <c r="F236" s="31">
        <v>3500</v>
      </c>
      <c r="G236" s="41">
        <v>130</v>
      </c>
      <c r="I236" s="24">
        <f t="shared" si="3"/>
        <v>3630</v>
      </c>
    </row>
    <row r="237" s="1" customFormat="1" ht="18" customHeight="1" spans="1:9">
      <c r="A237" s="17">
        <v>264</v>
      </c>
      <c r="B237" s="33" t="s">
        <v>787</v>
      </c>
      <c r="C237" s="19" t="s">
        <v>808</v>
      </c>
      <c r="D237" s="20">
        <v>42080</v>
      </c>
      <c r="E237" s="25" t="s">
        <v>809</v>
      </c>
      <c r="F237" s="31">
        <v>3500</v>
      </c>
      <c r="G237" s="41">
        <v>130</v>
      </c>
      <c r="I237" s="24">
        <f t="shared" si="3"/>
        <v>3630</v>
      </c>
    </row>
    <row r="238" s="1" customFormat="1" ht="18" customHeight="1" spans="1:9">
      <c r="A238" s="17">
        <v>265</v>
      </c>
      <c r="B238" s="33" t="s">
        <v>787</v>
      </c>
      <c r="C238" s="19" t="s">
        <v>806</v>
      </c>
      <c r="D238" s="20">
        <v>43004</v>
      </c>
      <c r="E238" s="25" t="s">
        <v>810</v>
      </c>
      <c r="F238" s="31">
        <v>3500</v>
      </c>
      <c r="G238" s="41">
        <v>130</v>
      </c>
      <c r="I238" s="24">
        <f t="shared" si="3"/>
        <v>3630</v>
      </c>
    </row>
    <row r="239" s="1" customFormat="1" ht="18" customHeight="1" spans="1:9">
      <c r="A239" s="17">
        <v>267</v>
      </c>
      <c r="B239" s="33" t="s">
        <v>787</v>
      </c>
      <c r="C239" s="19" t="s">
        <v>806</v>
      </c>
      <c r="D239" s="20">
        <v>41457</v>
      </c>
      <c r="E239" s="25" t="s">
        <v>811</v>
      </c>
      <c r="F239" s="31">
        <v>3500</v>
      </c>
      <c r="G239" s="41">
        <v>130</v>
      </c>
      <c r="I239" s="24">
        <f t="shared" si="3"/>
        <v>3630</v>
      </c>
    </row>
    <row r="240" s="1" customFormat="1" ht="18" customHeight="1" spans="1:9">
      <c r="A240" s="17">
        <v>268</v>
      </c>
      <c r="B240" s="33" t="s">
        <v>787</v>
      </c>
      <c r="C240" s="19" t="s">
        <v>808</v>
      </c>
      <c r="D240" s="20">
        <v>41334</v>
      </c>
      <c r="E240" s="25" t="s">
        <v>812</v>
      </c>
      <c r="F240" s="31">
        <v>3500</v>
      </c>
      <c r="G240" s="41">
        <v>130</v>
      </c>
      <c r="I240" s="24">
        <f t="shared" si="3"/>
        <v>3630</v>
      </c>
    </row>
    <row r="241" s="1" customFormat="1" ht="18" customHeight="1" spans="1:9">
      <c r="A241" s="17">
        <v>269</v>
      </c>
      <c r="B241" s="33" t="s">
        <v>787</v>
      </c>
      <c r="C241" s="19" t="s">
        <v>813</v>
      </c>
      <c r="D241" s="20">
        <v>41204</v>
      </c>
      <c r="E241" s="25" t="s">
        <v>814</v>
      </c>
      <c r="F241" s="31">
        <v>4500</v>
      </c>
      <c r="G241" s="41">
        <v>380</v>
      </c>
      <c r="I241" s="24">
        <f t="shared" si="3"/>
        <v>4880</v>
      </c>
    </row>
    <row r="242" s="1" customFormat="1" ht="18" customHeight="1" spans="1:9">
      <c r="A242" s="17">
        <v>270</v>
      </c>
      <c r="B242" s="33" t="s">
        <v>787</v>
      </c>
      <c r="C242" s="19" t="s">
        <v>813</v>
      </c>
      <c r="D242" s="20">
        <v>42566</v>
      </c>
      <c r="E242" s="25" t="s">
        <v>815</v>
      </c>
      <c r="F242" s="31">
        <v>4500</v>
      </c>
      <c r="G242" s="41">
        <v>200</v>
      </c>
      <c r="I242" s="24">
        <f t="shared" si="3"/>
        <v>4700</v>
      </c>
    </row>
    <row r="243" s="1" customFormat="1" ht="18" customHeight="1" spans="1:9">
      <c r="A243" s="17">
        <v>271</v>
      </c>
      <c r="B243" s="33" t="s">
        <v>787</v>
      </c>
      <c r="C243" s="19" t="s">
        <v>813</v>
      </c>
      <c r="D243" s="20">
        <v>42605</v>
      </c>
      <c r="E243" s="25" t="s">
        <v>816</v>
      </c>
      <c r="F243" s="31">
        <v>4500</v>
      </c>
      <c r="G243" s="41">
        <v>200</v>
      </c>
      <c r="I243" s="24">
        <f t="shared" si="3"/>
        <v>4700</v>
      </c>
    </row>
    <row r="244" s="1" customFormat="1" ht="18" customHeight="1" spans="1:9">
      <c r="A244" s="17">
        <v>272</v>
      </c>
      <c r="B244" s="33" t="s">
        <v>787</v>
      </c>
      <c r="C244" s="19" t="s">
        <v>813</v>
      </c>
      <c r="D244" s="20">
        <v>42609</v>
      </c>
      <c r="E244" s="25" t="s">
        <v>817</v>
      </c>
      <c r="F244" s="31">
        <v>4500</v>
      </c>
      <c r="G244" s="23"/>
      <c r="I244" s="24">
        <f t="shared" si="3"/>
        <v>4500</v>
      </c>
    </row>
    <row r="245" s="1" customFormat="1" ht="18" customHeight="1" spans="1:9">
      <c r="A245" s="17">
        <v>273</v>
      </c>
      <c r="B245" s="33" t="s">
        <v>787</v>
      </c>
      <c r="C245" s="19" t="s">
        <v>818</v>
      </c>
      <c r="D245" s="20">
        <v>43004</v>
      </c>
      <c r="E245" s="25" t="s">
        <v>819</v>
      </c>
      <c r="F245" s="31">
        <v>3800</v>
      </c>
      <c r="G245" s="41">
        <v>150</v>
      </c>
      <c r="I245" s="24">
        <f t="shared" si="3"/>
        <v>3950</v>
      </c>
    </row>
    <row r="246" s="1" customFormat="1" ht="18" customHeight="1" spans="1:9">
      <c r="A246" s="17">
        <v>274</v>
      </c>
      <c r="B246" s="33" t="s">
        <v>787</v>
      </c>
      <c r="C246" s="19" t="s">
        <v>818</v>
      </c>
      <c r="D246" s="20">
        <v>42893</v>
      </c>
      <c r="E246" s="25" t="s">
        <v>820</v>
      </c>
      <c r="F246" s="31">
        <v>3800</v>
      </c>
      <c r="G246" s="41">
        <v>150</v>
      </c>
      <c r="I246" s="24">
        <f t="shared" si="3"/>
        <v>3950</v>
      </c>
    </row>
    <row r="247" s="1" customFormat="1" ht="18" customHeight="1" spans="1:9">
      <c r="A247" s="17">
        <v>275</v>
      </c>
      <c r="B247" s="33" t="s">
        <v>787</v>
      </c>
      <c r="C247" s="19" t="s">
        <v>818</v>
      </c>
      <c r="D247" s="20">
        <v>42417</v>
      </c>
      <c r="E247" s="25" t="s">
        <v>821</v>
      </c>
      <c r="F247" s="31">
        <v>3800</v>
      </c>
      <c r="G247" s="41">
        <v>150</v>
      </c>
      <c r="I247" s="24">
        <f t="shared" si="3"/>
        <v>3950</v>
      </c>
    </row>
    <row r="248" s="1" customFormat="1" ht="18" customHeight="1" spans="1:9">
      <c r="A248" s="17">
        <v>276</v>
      </c>
      <c r="B248" s="33" t="s">
        <v>787</v>
      </c>
      <c r="C248" s="19" t="s">
        <v>211</v>
      </c>
      <c r="D248" s="20">
        <v>44652</v>
      </c>
      <c r="E248" s="36" t="s">
        <v>822</v>
      </c>
      <c r="F248" s="38">
        <v>3300</v>
      </c>
      <c r="G248" s="23"/>
      <c r="I248" s="24">
        <f t="shared" si="3"/>
        <v>3300</v>
      </c>
    </row>
    <row r="249" s="1" customFormat="1" ht="18.75" customHeight="1" spans="1:9">
      <c r="A249" s="17">
        <v>277</v>
      </c>
      <c r="B249" s="33" t="s">
        <v>787</v>
      </c>
      <c r="C249" s="19" t="s">
        <v>823</v>
      </c>
      <c r="D249" s="20">
        <v>45127</v>
      </c>
      <c r="E249" s="36" t="s">
        <v>824</v>
      </c>
      <c r="F249" s="38">
        <v>3000</v>
      </c>
      <c r="G249" s="23"/>
      <c r="I249" s="24">
        <f t="shared" si="3"/>
        <v>3000</v>
      </c>
    </row>
    <row r="250" s="1" customFormat="1" ht="18" customHeight="1" spans="1:9">
      <c r="A250" s="17">
        <v>278</v>
      </c>
      <c r="B250" s="33" t="s">
        <v>787</v>
      </c>
      <c r="C250" s="19" t="s">
        <v>825</v>
      </c>
      <c r="D250" s="20">
        <v>45113</v>
      </c>
      <c r="E250" s="36" t="s">
        <v>826</v>
      </c>
      <c r="F250" s="38">
        <v>3600</v>
      </c>
      <c r="G250" s="23"/>
      <c r="I250" s="24">
        <f t="shared" si="3"/>
        <v>3600</v>
      </c>
    </row>
    <row r="251" s="1" customFormat="1" ht="18" customHeight="1" spans="1:9">
      <c r="A251" s="17">
        <v>279</v>
      </c>
      <c r="B251" s="33" t="s">
        <v>787</v>
      </c>
      <c r="C251" s="19" t="s">
        <v>226</v>
      </c>
      <c r="D251" s="20">
        <v>45246</v>
      </c>
      <c r="E251" s="36" t="s">
        <v>827</v>
      </c>
      <c r="F251" s="38">
        <v>3000</v>
      </c>
      <c r="G251" s="23"/>
      <c r="I251" s="24">
        <f t="shared" si="3"/>
        <v>3000</v>
      </c>
    </row>
    <row r="252" s="1" customFormat="1" ht="18" customHeight="1" spans="1:9">
      <c r="A252" s="17">
        <v>280</v>
      </c>
      <c r="B252" s="33" t="s">
        <v>787</v>
      </c>
      <c r="C252" s="19" t="s">
        <v>220</v>
      </c>
      <c r="D252" s="20">
        <v>45354</v>
      </c>
      <c r="E252" s="36" t="s">
        <v>828</v>
      </c>
      <c r="F252" s="38">
        <v>4200</v>
      </c>
      <c r="G252" s="23"/>
      <c r="I252" s="24">
        <f t="shared" si="3"/>
        <v>4200</v>
      </c>
    </row>
    <row r="253" s="1" customFormat="1" ht="18" customHeight="1" spans="1:9">
      <c r="A253" s="17">
        <v>281</v>
      </c>
      <c r="B253" s="33" t="s">
        <v>787</v>
      </c>
      <c r="C253" s="19" t="s">
        <v>825</v>
      </c>
      <c r="D253" s="20">
        <v>44481</v>
      </c>
      <c r="E253" s="40" t="s">
        <v>829</v>
      </c>
      <c r="F253" s="23">
        <v>3300</v>
      </c>
      <c r="G253" s="23"/>
      <c r="I253" s="24">
        <f t="shared" si="3"/>
        <v>3300</v>
      </c>
    </row>
    <row r="254" s="1" customFormat="1" ht="18" customHeight="1" spans="1:9">
      <c r="A254" s="17">
        <v>282</v>
      </c>
      <c r="B254" s="33" t="s">
        <v>787</v>
      </c>
      <c r="C254" s="19" t="s">
        <v>804</v>
      </c>
      <c r="D254" s="51">
        <v>44961</v>
      </c>
      <c r="E254" s="25" t="s">
        <v>830</v>
      </c>
      <c r="F254" s="39">
        <v>3600</v>
      </c>
      <c r="G254" s="23"/>
      <c r="I254" s="24">
        <f t="shared" si="3"/>
        <v>3600</v>
      </c>
    </row>
    <row r="255" s="1" customFormat="1" ht="18" customHeight="1" spans="1:9">
      <c r="A255" s="17">
        <v>283</v>
      </c>
      <c r="B255" s="33" t="s">
        <v>787</v>
      </c>
      <c r="C255" s="19" t="s">
        <v>804</v>
      </c>
      <c r="D255" s="51">
        <v>45063</v>
      </c>
      <c r="E255" s="36" t="s">
        <v>831</v>
      </c>
      <c r="F255" s="39">
        <v>3600</v>
      </c>
      <c r="G255" s="23"/>
      <c r="I255" s="24">
        <f t="shared" si="3"/>
        <v>3600</v>
      </c>
    </row>
    <row r="256" s="1" customFormat="1" ht="18" customHeight="1" spans="1:9">
      <c r="A256" s="17">
        <v>284</v>
      </c>
      <c r="B256" s="33" t="s">
        <v>787</v>
      </c>
      <c r="C256" s="19" t="s">
        <v>832</v>
      </c>
      <c r="D256" s="51">
        <v>45035</v>
      </c>
      <c r="E256" s="36" t="s">
        <v>833</v>
      </c>
      <c r="F256" s="39">
        <v>3500</v>
      </c>
      <c r="G256" s="23"/>
      <c r="I256" s="24">
        <f t="shared" si="3"/>
        <v>3500</v>
      </c>
    </row>
    <row r="257" s="1" customFormat="1" ht="18" customHeight="1" spans="1:9">
      <c r="A257" s="17">
        <v>285</v>
      </c>
      <c r="B257" s="33" t="s">
        <v>787</v>
      </c>
      <c r="C257" s="19" t="s">
        <v>825</v>
      </c>
      <c r="D257" s="27">
        <v>45247</v>
      </c>
      <c r="E257" s="36" t="s">
        <v>834</v>
      </c>
      <c r="F257" s="39">
        <v>3300</v>
      </c>
      <c r="G257" s="23"/>
      <c r="I257" s="24">
        <f t="shared" si="3"/>
        <v>3300</v>
      </c>
    </row>
    <row r="258" s="1" customFormat="1" ht="18" customHeight="1" spans="1:9">
      <c r="A258" s="17">
        <v>286</v>
      </c>
      <c r="B258" s="33" t="s">
        <v>787</v>
      </c>
      <c r="C258" s="19" t="s">
        <v>211</v>
      </c>
      <c r="D258" s="20">
        <v>44688</v>
      </c>
      <c r="E258" s="17" t="s">
        <v>835</v>
      </c>
      <c r="F258" s="23">
        <v>3000</v>
      </c>
      <c r="G258" s="23"/>
      <c r="I258" s="24">
        <f t="shared" si="3"/>
        <v>3000</v>
      </c>
    </row>
    <row r="259" s="1" customFormat="1" ht="18" customHeight="1" spans="1:9">
      <c r="A259" s="17">
        <v>287</v>
      </c>
      <c r="B259" s="33" t="s">
        <v>836</v>
      </c>
      <c r="C259" s="19" t="s">
        <v>837</v>
      </c>
      <c r="D259" s="20">
        <v>45130</v>
      </c>
      <c r="E259" s="25" t="s">
        <v>838</v>
      </c>
      <c r="F259" s="53">
        <v>12000</v>
      </c>
      <c r="G259" s="23"/>
      <c r="I259" s="24">
        <f t="shared" si="3"/>
        <v>12000</v>
      </c>
    </row>
    <row r="260" s="1" customFormat="1" ht="18" customHeight="1" spans="1:9">
      <c r="A260" s="17">
        <v>288</v>
      </c>
      <c r="B260" s="33" t="s">
        <v>836</v>
      </c>
      <c r="C260" s="19" t="s">
        <v>167</v>
      </c>
      <c r="D260" s="20">
        <v>42300</v>
      </c>
      <c r="E260" s="25" t="s">
        <v>839</v>
      </c>
      <c r="F260" s="42">
        <v>7500</v>
      </c>
      <c r="G260" s="41">
        <v>500</v>
      </c>
      <c r="I260" s="24">
        <f t="shared" ref="I260:I323" si="4">F260+G260</f>
        <v>8000</v>
      </c>
    </row>
    <row r="261" s="1" customFormat="1" ht="18" customHeight="1" spans="1:9">
      <c r="A261" s="17">
        <v>289</v>
      </c>
      <c r="B261" s="33" t="s">
        <v>836</v>
      </c>
      <c r="C261" s="19" t="s">
        <v>167</v>
      </c>
      <c r="D261" s="20">
        <v>41342</v>
      </c>
      <c r="E261" s="17" t="s">
        <v>840</v>
      </c>
      <c r="F261" s="23">
        <v>7500</v>
      </c>
      <c r="G261" s="41">
        <v>500</v>
      </c>
      <c r="I261" s="24">
        <f t="shared" si="4"/>
        <v>8000</v>
      </c>
    </row>
    <row r="262" s="1" customFormat="1" ht="18" customHeight="1" spans="1:9">
      <c r="A262" s="17">
        <v>290</v>
      </c>
      <c r="B262" s="33" t="s">
        <v>836</v>
      </c>
      <c r="C262" s="19" t="s">
        <v>167</v>
      </c>
      <c r="D262" s="20">
        <v>41281</v>
      </c>
      <c r="E262" s="17" t="s">
        <v>841</v>
      </c>
      <c r="F262" s="31">
        <v>7500</v>
      </c>
      <c r="G262" s="41">
        <v>500</v>
      </c>
      <c r="I262" s="24">
        <f t="shared" si="4"/>
        <v>8000</v>
      </c>
    </row>
    <row r="263" s="1" customFormat="1" ht="18" customHeight="1" spans="1:9">
      <c r="A263" s="17">
        <v>291</v>
      </c>
      <c r="B263" s="33" t="s">
        <v>836</v>
      </c>
      <c r="C263" s="19" t="s">
        <v>118</v>
      </c>
      <c r="D263" s="20">
        <v>42872</v>
      </c>
      <c r="E263" s="25" t="s">
        <v>842</v>
      </c>
      <c r="F263" s="42">
        <v>5500</v>
      </c>
      <c r="G263" s="41">
        <v>400</v>
      </c>
      <c r="I263" s="24">
        <f t="shared" si="4"/>
        <v>5900</v>
      </c>
    </row>
    <row r="264" s="1" customFormat="1" ht="18" customHeight="1" spans="1:9">
      <c r="A264" s="17">
        <v>292</v>
      </c>
      <c r="B264" s="33" t="s">
        <v>836</v>
      </c>
      <c r="C264" s="19" t="s">
        <v>118</v>
      </c>
      <c r="D264" s="20">
        <v>42851</v>
      </c>
      <c r="E264" s="25" t="s">
        <v>843</v>
      </c>
      <c r="F264" s="31">
        <v>5500</v>
      </c>
      <c r="G264" s="41">
        <v>400</v>
      </c>
      <c r="I264" s="24">
        <f t="shared" si="4"/>
        <v>5900</v>
      </c>
    </row>
    <row r="265" s="1" customFormat="1" ht="18" customHeight="1" spans="1:9">
      <c r="A265" s="17">
        <v>293</v>
      </c>
      <c r="B265" s="33" t="s">
        <v>836</v>
      </c>
      <c r="C265" s="19" t="s">
        <v>844</v>
      </c>
      <c r="D265" s="20">
        <v>42960</v>
      </c>
      <c r="E265" s="25" t="s">
        <v>316</v>
      </c>
      <c r="F265" s="31">
        <v>7000</v>
      </c>
      <c r="G265" s="23"/>
      <c r="I265" s="24">
        <f t="shared" si="4"/>
        <v>7000</v>
      </c>
    </row>
    <row r="266" s="1" customFormat="1" ht="18" customHeight="1" spans="1:9">
      <c r="A266" s="17">
        <v>294</v>
      </c>
      <c r="B266" s="33" t="s">
        <v>836</v>
      </c>
      <c r="C266" s="19" t="s">
        <v>118</v>
      </c>
      <c r="D266" s="20">
        <v>42872</v>
      </c>
      <c r="E266" s="17" t="s">
        <v>845</v>
      </c>
      <c r="F266" s="31">
        <v>5500</v>
      </c>
      <c r="G266" s="41">
        <v>300</v>
      </c>
      <c r="I266" s="24">
        <f t="shared" si="4"/>
        <v>5800</v>
      </c>
    </row>
    <row r="267" s="1" customFormat="1" ht="18" customHeight="1" spans="1:9">
      <c r="A267" s="17">
        <v>295</v>
      </c>
      <c r="B267" s="33" t="s">
        <v>836</v>
      </c>
      <c r="C267" s="19" t="s">
        <v>208</v>
      </c>
      <c r="D267" s="20">
        <v>43820</v>
      </c>
      <c r="E267" s="49" t="s">
        <v>846</v>
      </c>
      <c r="F267" s="31">
        <v>4000</v>
      </c>
      <c r="G267" s="41">
        <v>150</v>
      </c>
      <c r="I267" s="24">
        <f t="shared" si="4"/>
        <v>4150</v>
      </c>
    </row>
    <row r="268" s="1" customFormat="1" ht="18" customHeight="1" spans="1:9">
      <c r="A268" s="17">
        <v>296</v>
      </c>
      <c r="B268" s="33" t="s">
        <v>836</v>
      </c>
      <c r="C268" s="19" t="s">
        <v>208</v>
      </c>
      <c r="D268" s="20">
        <v>42868</v>
      </c>
      <c r="E268" s="49" t="s">
        <v>847</v>
      </c>
      <c r="F268" s="31">
        <v>4000</v>
      </c>
      <c r="G268" s="41">
        <v>150</v>
      </c>
      <c r="I268" s="24">
        <f t="shared" si="4"/>
        <v>4150</v>
      </c>
    </row>
    <row r="269" s="1" customFormat="1" ht="18" customHeight="1" spans="1:9">
      <c r="A269" s="17">
        <v>297</v>
      </c>
      <c r="B269" s="33" t="s">
        <v>836</v>
      </c>
      <c r="C269" s="19" t="s">
        <v>208</v>
      </c>
      <c r="D269" s="20">
        <v>43644</v>
      </c>
      <c r="E269" s="54" t="s">
        <v>848</v>
      </c>
      <c r="F269" s="31">
        <v>4000</v>
      </c>
      <c r="G269" s="41">
        <v>150</v>
      </c>
      <c r="I269" s="24">
        <f t="shared" si="4"/>
        <v>4150</v>
      </c>
    </row>
    <row r="270" s="1" customFormat="1" ht="18" customHeight="1" spans="1:9">
      <c r="A270" s="17">
        <v>298</v>
      </c>
      <c r="B270" s="33" t="s">
        <v>836</v>
      </c>
      <c r="C270" s="19" t="s">
        <v>208</v>
      </c>
      <c r="D270" s="20">
        <v>44489</v>
      </c>
      <c r="E270" s="55" t="s">
        <v>849</v>
      </c>
      <c r="F270" s="31">
        <v>4000</v>
      </c>
      <c r="G270" s="41">
        <v>150</v>
      </c>
      <c r="I270" s="24">
        <f t="shared" si="4"/>
        <v>4150</v>
      </c>
    </row>
    <row r="271" s="1" customFormat="1" ht="18" customHeight="1" spans="1:9">
      <c r="A271" s="17">
        <v>299</v>
      </c>
      <c r="B271" s="33" t="s">
        <v>836</v>
      </c>
      <c r="C271" s="19" t="s">
        <v>850</v>
      </c>
      <c r="D271" s="20">
        <v>44328</v>
      </c>
      <c r="E271" s="56" t="s">
        <v>851</v>
      </c>
      <c r="F271" s="42">
        <v>4500</v>
      </c>
      <c r="G271" s="43">
        <v>300</v>
      </c>
      <c r="I271" s="24">
        <f t="shared" si="4"/>
        <v>4800</v>
      </c>
    </row>
    <row r="272" s="1" customFormat="1" ht="18" customHeight="1" spans="1:9">
      <c r="A272" s="17">
        <v>300</v>
      </c>
      <c r="B272" s="33" t="s">
        <v>836</v>
      </c>
      <c r="C272" s="19" t="s">
        <v>850</v>
      </c>
      <c r="D272" s="20">
        <v>43000</v>
      </c>
      <c r="E272" s="25" t="s">
        <v>852</v>
      </c>
      <c r="F272" s="42">
        <v>4500</v>
      </c>
      <c r="G272" s="43">
        <v>300</v>
      </c>
      <c r="I272" s="24">
        <f t="shared" si="4"/>
        <v>4800</v>
      </c>
    </row>
    <row r="273" s="1" customFormat="1" ht="18" customHeight="1" spans="1:9">
      <c r="A273" s="17">
        <v>301</v>
      </c>
      <c r="B273" s="33" t="s">
        <v>836</v>
      </c>
      <c r="C273" s="19" t="s">
        <v>850</v>
      </c>
      <c r="D273" s="20">
        <v>42917</v>
      </c>
      <c r="E273" s="25" t="s">
        <v>853</v>
      </c>
      <c r="F273" s="31">
        <v>5000</v>
      </c>
      <c r="G273" s="41">
        <v>300</v>
      </c>
      <c r="I273" s="24">
        <f t="shared" si="4"/>
        <v>5300</v>
      </c>
    </row>
    <row r="274" s="1" customFormat="1" ht="18" customHeight="1" spans="1:9">
      <c r="A274" s="17">
        <v>302</v>
      </c>
      <c r="B274" s="33" t="s">
        <v>836</v>
      </c>
      <c r="C274" s="19" t="s">
        <v>211</v>
      </c>
      <c r="D274" s="20">
        <v>44087</v>
      </c>
      <c r="E274" s="17" t="s">
        <v>854</v>
      </c>
      <c r="F274" s="31">
        <v>3300</v>
      </c>
      <c r="G274" s="23"/>
      <c r="I274" s="24">
        <f t="shared" si="4"/>
        <v>3300</v>
      </c>
    </row>
    <row r="275" s="1" customFormat="1" ht="18" customHeight="1" spans="1:9">
      <c r="A275" s="17">
        <v>303</v>
      </c>
      <c r="B275" s="33" t="s">
        <v>836</v>
      </c>
      <c r="C275" s="19" t="s">
        <v>855</v>
      </c>
      <c r="D275" s="20">
        <v>43530</v>
      </c>
      <c r="E275" s="56" t="s">
        <v>856</v>
      </c>
      <c r="F275" s="31">
        <v>3300</v>
      </c>
      <c r="G275" s="41">
        <v>50</v>
      </c>
      <c r="I275" s="24">
        <f t="shared" si="4"/>
        <v>3350</v>
      </c>
    </row>
    <row r="276" s="1" customFormat="1" ht="18" customHeight="1" spans="1:9">
      <c r="A276" s="17">
        <v>304</v>
      </c>
      <c r="B276" s="33" t="s">
        <v>836</v>
      </c>
      <c r="C276" s="19" t="s">
        <v>855</v>
      </c>
      <c r="D276" s="20">
        <v>44314</v>
      </c>
      <c r="E276" s="25" t="s">
        <v>857</v>
      </c>
      <c r="F276" s="31">
        <v>3300</v>
      </c>
      <c r="G276" s="41">
        <v>50</v>
      </c>
      <c r="I276" s="24">
        <f t="shared" si="4"/>
        <v>3350</v>
      </c>
    </row>
    <row r="277" s="1" customFormat="1" ht="18" customHeight="1" spans="1:9">
      <c r="A277" s="17">
        <v>305</v>
      </c>
      <c r="B277" s="33" t="s">
        <v>836</v>
      </c>
      <c r="C277" s="19" t="s">
        <v>855</v>
      </c>
      <c r="D277" s="20">
        <v>44100</v>
      </c>
      <c r="E277" s="56" t="s">
        <v>858</v>
      </c>
      <c r="F277" s="31">
        <v>3300</v>
      </c>
      <c r="G277" s="41">
        <v>50</v>
      </c>
      <c r="I277" s="24">
        <f t="shared" si="4"/>
        <v>3350</v>
      </c>
    </row>
    <row r="278" s="1" customFormat="1" ht="18" customHeight="1" spans="1:9">
      <c r="A278" s="17">
        <v>306</v>
      </c>
      <c r="B278" s="33" t="s">
        <v>836</v>
      </c>
      <c r="C278" s="19" t="s">
        <v>855</v>
      </c>
      <c r="D278" s="20">
        <v>44298</v>
      </c>
      <c r="E278" s="25" t="s">
        <v>859</v>
      </c>
      <c r="F278" s="31">
        <v>3300</v>
      </c>
      <c r="G278" s="41">
        <v>50</v>
      </c>
      <c r="I278" s="24">
        <f t="shared" si="4"/>
        <v>3350</v>
      </c>
    </row>
    <row r="279" s="1" customFormat="1" ht="18" customHeight="1" spans="1:9">
      <c r="A279" s="17">
        <v>307</v>
      </c>
      <c r="B279" s="33" t="s">
        <v>836</v>
      </c>
      <c r="C279" s="19" t="s">
        <v>855</v>
      </c>
      <c r="D279" s="20">
        <v>44498</v>
      </c>
      <c r="E279" s="25" t="s">
        <v>860</v>
      </c>
      <c r="F279" s="31">
        <v>3300</v>
      </c>
      <c r="G279" s="41">
        <v>50</v>
      </c>
      <c r="I279" s="24">
        <f t="shared" si="4"/>
        <v>3350</v>
      </c>
    </row>
    <row r="280" s="1" customFormat="1" ht="18" customHeight="1" spans="1:9">
      <c r="A280" s="17">
        <v>308</v>
      </c>
      <c r="B280" s="33" t="s">
        <v>836</v>
      </c>
      <c r="C280" s="19" t="s">
        <v>855</v>
      </c>
      <c r="D280" s="20">
        <v>44131</v>
      </c>
      <c r="E280" s="56" t="s">
        <v>861</v>
      </c>
      <c r="F280" s="31">
        <v>3300</v>
      </c>
      <c r="G280" s="41">
        <v>50</v>
      </c>
      <c r="I280" s="24">
        <f t="shared" si="4"/>
        <v>3350</v>
      </c>
    </row>
    <row r="281" s="1" customFormat="1" ht="18" customHeight="1" spans="1:9">
      <c r="A281" s="17">
        <v>309</v>
      </c>
      <c r="B281" s="33" t="s">
        <v>836</v>
      </c>
      <c r="C281" s="19" t="s">
        <v>855</v>
      </c>
      <c r="D281" s="20">
        <v>45038</v>
      </c>
      <c r="E281" s="56" t="s">
        <v>862</v>
      </c>
      <c r="F281" s="31">
        <v>3300</v>
      </c>
      <c r="G281" s="23"/>
      <c r="I281" s="24">
        <f t="shared" si="4"/>
        <v>3300</v>
      </c>
    </row>
    <row r="282" s="1" customFormat="1" ht="18" customHeight="1" spans="1:9">
      <c r="A282" s="17">
        <v>310</v>
      </c>
      <c r="B282" s="33" t="s">
        <v>836</v>
      </c>
      <c r="C282" s="19" t="s">
        <v>855</v>
      </c>
      <c r="D282" s="20">
        <v>45152</v>
      </c>
      <c r="E282" s="25" t="s">
        <v>863</v>
      </c>
      <c r="F282" s="31">
        <v>3300</v>
      </c>
      <c r="G282" s="23"/>
      <c r="I282" s="24">
        <f t="shared" si="4"/>
        <v>3300</v>
      </c>
    </row>
    <row r="283" s="1" customFormat="1" ht="18" customHeight="1" spans="1:9">
      <c r="A283" s="17">
        <v>311</v>
      </c>
      <c r="B283" s="33" t="s">
        <v>836</v>
      </c>
      <c r="C283" s="19" t="s">
        <v>855</v>
      </c>
      <c r="D283" s="20">
        <v>45177</v>
      </c>
      <c r="E283" s="25" t="s">
        <v>864</v>
      </c>
      <c r="F283" s="31">
        <v>3300</v>
      </c>
      <c r="G283" s="23"/>
      <c r="I283" s="24">
        <f t="shared" si="4"/>
        <v>3300</v>
      </c>
    </row>
    <row r="284" s="1" customFormat="1" ht="18" customHeight="1" spans="1:9">
      <c r="A284" s="17">
        <v>312</v>
      </c>
      <c r="B284" s="33" t="s">
        <v>836</v>
      </c>
      <c r="C284" s="19" t="s">
        <v>855</v>
      </c>
      <c r="D284" s="51">
        <v>45363</v>
      </c>
      <c r="E284" s="36" t="s">
        <v>865</v>
      </c>
      <c r="F284" s="39">
        <v>3000</v>
      </c>
      <c r="G284" s="23"/>
      <c r="I284" s="24">
        <f t="shared" si="4"/>
        <v>3000</v>
      </c>
    </row>
    <row r="285" s="1" customFormat="1" ht="18" customHeight="1" spans="1:9">
      <c r="A285" s="17">
        <v>313</v>
      </c>
      <c r="B285" s="33" t="s">
        <v>866</v>
      </c>
      <c r="C285" s="19" t="s">
        <v>174</v>
      </c>
      <c r="D285" s="20">
        <v>43163</v>
      </c>
      <c r="E285" s="36" t="s">
        <v>867</v>
      </c>
      <c r="F285" s="23">
        <v>14000</v>
      </c>
      <c r="G285" s="23"/>
      <c r="I285" s="24">
        <f t="shared" si="4"/>
        <v>14000</v>
      </c>
    </row>
    <row r="286" s="1" customFormat="1" ht="18" customHeight="1" spans="1:9">
      <c r="A286" s="17">
        <v>315</v>
      </c>
      <c r="B286" s="33" t="s">
        <v>866</v>
      </c>
      <c r="C286" s="19" t="s">
        <v>167</v>
      </c>
      <c r="D286" s="20">
        <v>43028</v>
      </c>
      <c r="E286" s="25" t="s">
        <v>868</v>
      </c>
      <c r="F286" s="42">
        <v>10000</v>
      </c>
      <c r="G286" s="41">
        <v>700</v>
      </c>
      <c r="I286" s="24">
        <f t="shared" si="4"/>
        <v>10700</v>
      </c>
    </row>
    <row r="287" s="1" customFormat="1" ht="18" customHeight="1" spans="1:9">
      <c r="A287" s="17">
        <v>316</v>
      </c>
      <c r="B287" s="33" t="s">
        <v>866</v>
      </c>
      <c r="C287" s="19" t="s">
        <v>167</v>
      </c>
      <c r="D287" s="20">
        <v>42461</v>
      </c>
      <c r="E287" s="25" t="s">
        <v>320</v>
      </c>
      <c r="F287" s="42">
        <v>7300</v>
      </c>
      <c r="G287" s="41">
        <v>700</v>
      </c>
      <c r="I287" s="24">
        <f t="shared" si="4"/>
        <v>8000</v>
      </c>
    </row>
    <row r="288" s="1" customFormat="1" ht="18" customHeight="1" spans="1:9">
      <c r="A288" s="17">
        <v>317</v>
      </c>
      <c r="B288" s="33" t="s">
        <v>866</v>
      </c>
      <c r="C288" s="19" t="s">
        <v>118</v>
      </c>
      <c r="D288" s="20">
        <v>43160</v>
      </c>
      <c r="E288" s="17" t="s">
        <v>869</v>
      </c>
      <c r="F288" s="42">
        <v>6500</v>
      </c>
      <c r="G288" s="41">
        <v>1500</v>
      </c>
      <c r="I288" s="24">
        <f t="shared" si="4"/>
        <v>8000</v>
      </c>
    </row>
    <row r="289" s="1" customFormat="1" ht="18" customHeight="1" spans="1:9">
      <c r="A289" s="17">
        <v>318</v>
      </c>
      <c r="B289" s="33" t="s">
        <v>866</v>
      </c>
      <c r="C289" s="19" t="s">
        <v>118</v>
      </c>
      <c r="D289" s="20">
        <v>44253</v>
      </c>
      <c r="E289" s="57" t="s">
        <v>870</v>
      </c>
      <c r="F289" s="58">
        <v>6500</v>
      </c>
      <c r="G289" s="41">
        <v>1500</v>
      </c>
      <c r="I289" s="24">
        <f t="shared" si="4"/>
        <v>8000</v>
      </c>
    </row>
    <row r="290" s="1" customFormat="1" ht="18" customHeight="1" spans="1:9">
      <c r="A290" s="17">
        <v>319</v>
      </c>
      <c r="B290" s="33" t="s">
        <v>866</v>
      </c>
      <c r="C290" s="19" t="s">
        <v>219</v>
      </c>
      <c r="D290" s="20">
        <v>42983</v>
      </c>
      <c r="E290" s="36" t="s">
        <v>871</v>
      </c>
      <c r="F290" s="45">
        <v>5500</v>
      </c>
      <c r="G290" s="41">
        <v>1200</v>
      </c>
      <c r="I290" s="24">
        <f t="shared" si="4"/>
        <v>6700</v>
      </c>
    </row>
    <row r="291" s="1" customFormat="1" ht="18" customHeight="1" spans="1:9">
      <c r="A291" s="17">
        <v>320</v>
      </c>
      <c r="B291" s="33" t="s">
        <v>866</v>
      </c>
      <c r="C291" s="19" t="s">
        <v>118</v>
      </c>
      <c r="D291" s="20">
        <v>42912</v>
      </c>
      <c r="E291" s="36" t="s">
        <v>872</v>
      </c>
      <c r="F291" s="23">
        <v>6300</v>
      </c>
      <c r="G291" s="41">
        <v>900</v>
      </c>
      <c r="I291" s="24">
        <f t="shared" si="4"/>
        <v>7200</v>
      </c>
    </row>
    <row r="292" s="1" customFormat="1" ht="18" customHeight="1" spans="1:9">
      <c r="A292" s="17">
        <v>321</v>
      </c>
      <c r="B292" s="33" t="s">
        <v>866</v>
      </c>
      <c r="C292" s="19" t="s">
        <v>219</v>
      </c>
      <c r="D292" s="20">
        <v>43027</v>
      </c>
      <c r="E292" s="59" t="s">
        <v>873</v>
      </c>
      <c r="F292" s="44">
        <v>6000</v>
      </c>
      <c r="G292" s="41">
        <v>400</v>
      </c>
      <c r="I292" s="24">
        <f t="shared" si="4"/>
        <v>6400</v>
      </c>
    </row>
    <row r="293" s="1" customFormat="1" ht="18" customHeight="1" spans="1:9">
      <c r="A293" s="17">
        <v>322</v>
      </c>
      <c r="B293" s="33" t="s">
        <v>866</v>
      </c>
      <c r="C293" s="60" t="s">
        <v>220</v>
      </c>
      <c r="D293" s="20">
        <v>43711</v>
      </c>
      <c r="E293" s="57" t="s">
        <v>565</v>
      </c>
      <c r="F293" s="58">
        <v>5000</v>
      </c>
      <c r="G293" s="41">
        <v>300</v>
      </c>
      <c r="I293" s="24">
        <f t="shared" si="4"/>
        <v>5300</v>
      </c>
    </row>
    <row r="294" s="1" customFormat="1" ht="18" customHeight="1" spans="1:9">
      <c r="A294" s="17">
        <v>323</v>
      </c>
      <c r="B294" s="33" t="s">
        <v>866</v>
      </c>
      <c r="C294" s="19" t="s">
        <v>220</v>
      </c>
      <c r="D294" s="20">
        <v>44831</v>
      </c>
      <c r="E294" s="57" t="s">
        <v>874</v>
      </c>
      <c r="F294" s="58">
        <v>5000</v>
      </c>
      <c r="G294" s="41">
        <v>300</v>
      </c>
      <c r="I294" s="24">
        <f t="shared" si="4"/>
        <v>5300</v>
      </c>
    </row>
    <row r="295" s="1" customFormat="1" ht="18" customHeight="1" spans="1:9">
      <c r="A295" s="17">
        <v>324</v>
      </c>
      <c r="B295" s="33" t="s">
        <v>866</v>
      </c>
      <c r="C295" s="19" t="s">
        <v>875</v>
      </c>
      <c r="D295" s="20">
        <v>43642</v>
      </c>
      <c r="E295" s="36" t="s">
        <v>876</v>
      </c>
      <c r="F295" s="23">
        <v>5000</v>
      </c>
      <c r="G295" s="41">
        <v>300</v>
      </c>
      <c r="I295" s="24">
        <f t="shared" si="4"/>
        <v>5300</v>
      </c>
    </row>
    <row r="296" s="1" customFormat="1" ht="18" customHeight="1" spans="1:9">
      <c r="A296" s="17">
        <v>325</v>
      </c>
      <c r="B296" s="33" t="s">
        <v>866</v>
      </c>
      <c r="C296" s="19" t="s">
        <v>877</v>
      </c>
      <c r="D296" s="20">
        <v>42879</v>
      </c>
      <c r="E296" s="40" t="s">
        <v>878</v>
      </c>
      <c r="F296" s="43">
        <v>5000</v>
      </c>
      <c r="G296" s="41">
        <v>300</v>
      </c>
      <c r="I296" s="24">
        <f t="shared" si="4"/>
        <v>5300</v>
      </c>
    </row>
    <row r="297" s="1" customFormat="1" ht="18" customHeight="1" spans="1:9">
      <c r="A297" s="17">
        <v>326</v>
      </c>
      <c r="B297" s="33" t="s">
        <v>866</v>
      </c>
      <c r="C297" s="36" t="s">
        <v>879</v>
      </c>
      <c r="D297" s="20">
        <v>43711</v>
      </c>
      <c r="E297" s="57" t="s">
        <v>565</v>
      </c>
      <c r="F297" s="61">
        <v>5000</v>
      </c>
      <c r="G297" s="41">
        <v>300</v>
      </c>
      <c r="I297" s="24">
        <f t="shared" si="4"/>
        <v>5300</v>
      </c>
    </row>
    <row r="298" s="1" customFormat="1" ht="18" customHeight="1" spans="1:9">
      <c r="A298" s="17">
        <v>327</v>
      </c>
      <c r="B298" s="33" t="s">
        <v>866</v>
      </c>
      <c r="C298" s="19" t="s">
        <v>877</v>
      </c>
      <c r="D298" s="20">
        <v>44976</v>
      </c>
      <c r="E298" s="40" t="s">
        <v>880</v>
      </c>
      <c r="F298" s="23">
        <v>5000</v>
      </c>
      <c r="G298" s="41">
        <v>300</v>
      </c>
      <c r="I298" s="24">
        <f t="shared" si="4"/>
        <v>5300</v>
      </c>
    </row>
    <row r="299" s="1" customFormat="1" ht="18" customHeight="1" spans="1:9">
      <c r="A299" s="17">
        <v>328</v>
      </c>
      <c r="B299" s="33" t="s">
        <v>866</v>
      </c>
      <c r="C299" s="19" t="s">
        <v>881</v>
      </c>
      <c r="D299" s="20">
        <v>44968</v>
      </c>
      <c r="E299" s="36" t="s">
        <v>882</v>
      </c>
      <c r="F299" s="23">
        <v>8000</v>
      </c>
      <c r="G299" s="23"/>
      <c r="I299" s="24">
        <f t="shared" si="4"/>
        <v>8000</v>
      </c>
    </row>
    <row r="300" s="1" customFormat="1" ht="18" customHeight="1" spans="1:9">
      <c r="A300" s="17">
        <v>329</v>
      </c>
      <c r="B300" s="33" t="s">
        <v>866</v>
      </c>
      <c r="C300" s="19" t="s">
        <v>813</v>
      </c>
      <c r="D300" s="20">
        <v>44331</v>
      </c>
      <c r="E300" s="36" t="s">
        <v>883</v>
      </c>
      <c r="F300" s="23">
        <v>5800</v>
      </c>
      <c r="G300" s="41">
        <v>1400</v>
      </c>
      <c r="I300" s="24">
        <f t="shared" si="4"/>
        <v>7200</v>
      </c>
    </row>
    <row r="301" s="1" customFormat="1" ht="18" customHeight="1" spans="1:9">
      <c r="A301" s="17">
        <v>330</v>
      </c>
      <c r="B301" s="33" t="s">
        <v>866</v>
      </c>
      <c r="C301" s="19" t="s">
        <v>813</v>
      </c>
      <c r="D301" s="20">
        <v>43878</v>
      </c>
      <c r="E301" s="36" t="s">
        <v>884</v>
      </c>
      <c r="F301" s="23">
        <v>5800</v>
      </c>
      <c r="G301" s="41">
        <v>1400</v>
      </c>
      <c r="I301" s="24">
        <f t="shared" si="4"/>
        <v>7200</v>
      </c>
    </row>
    <row r="302" s="1" customFormat="1" ht="18" customHeight="1" spans="1:9">
      <c r="A302" s="17">
        <v>331</v>
      </c>
      <c r="B302" s="33" t="s">
        <v>866</v>
      </c>
      <c r="C302" s="19" t="s">
        <v>800</v>
      </c>
      <c r="D302" s="20">
        <v>43167</v>
      </c>
      <c r="E302" s="40" t="s">
        <v>885</v>
      </c>
      <c r="F302" s="23">
        <v>4800</v>
      </c>
      <c r="G302" s="41">
        <v>300</v>
      </c>
      <c r="I302" s="24">
        <f t="shared" si="4"/>
        <v>5100</v>
      </c>
    </row>
    <row r="303" s="1" customFormat="1" ht="18" customHeight="1" spans="1:9">
      <c r="A303" s="17">
        <v>332</v>
      </c>
      <c r="B303" s="33" t="s">
        <v>866</v>
      </c>
      <c r="C303" s="19" t="s">
        <v>226</v>
      </c>
      <c r="D303" s="20">
        <v>43526</v>
      </c>
      <c r="E303" s="25" t="s">
        <v>886</v>
      </c>
      <c r="F303" s="31">
        <v>4000</v>
      </c>
      <c r="G303" s="41">
        <v>300</v>
      </c>
      <c r="I303" s="24">
        <f t="shared" si="4"/>
        <v>4300</v>
      </c>
    </row>
    <row r="304" s="1" customFormat="1" ht="18" customHeight="1" spans="1:9">
      <c r="A304" s="17">
        <v>333</v>
      </c>
      <c r="B304" s="33" t="s">
        <v>866</v>
      </c>
      <c r="C304" s="19" t="s">
        <v>226</v>
      </c>
      <c r="D304" s="20">
        <v>43162</v>
      </c>
      <c r="E304" s="17" t="s">
        <v>887</v>
      </c>
      <c r="F304" s="23">
        <v>4000</v>
      </c>
      <c r="G304" s="41">
        <v>300</v>
      </c>
      <c r="I304" s="24">
        <f t="shared" si="4"/>
        <v>4300</v>
      </c>
    </row>
    <row r="305" s="1" customFormat="1" ht="18" customHeight="1" spans="1:9">
      <c r="A305" s="17">
        <v>334</v>
      </c>
      <c r="B305" s="33" t="s">
        <v>866</v>
      </c>
      <c r="C305" s="19" t="s">
        <v>226</v>
      </c>
      <c r="D305" s="20">
        <v>44168</v>
      </c>
      <c r="E305" s="36" t="s">
        <v>888</v>
      </c>
      <c r="F305" s="23">
        <v>4000</v>
      </c>
      <c r="G305" s="41">
        <v>300</v>
      </c>
      <c r="I305" s="24">
        <f t="shared" si="4"/>
        <v>4300</v>
      </c>
    </row>
    <row r="306" s="1" customFormat="1" ht="18" customHeight="1" spans="1:9">
      <c r="A306" s="17">
        <v>335</v>
      </c>
      <c r="B306" s="33" t="s">
        <v>866</v>
      </c>
      <c r="C306" s="19" t="s">
        <v>889</v>
      </c>
      <c r="D306" s="20">
        <v>44601</v>
      </c>
      <c r="E306" s="57" t="s">
        <v>890</v>
      </c>
      <c r="F306" s="38">
        <v>3500</v>
      </c>
      <c r="G306" s="23"/>
      <c r="I306" s="24">
        <f t="shared" si="4"/>
        <v>3500</v>
      </c>
    </row>
    <row r="307" s="1" customFormat="1" ht="18" customHeight="1" spans="1:9">
      <c r="A307" s="17">
        <v>336</v>
      </c>
      <c r="B307" s="33" t="s">
        <v>866</v>
      </c>
      <c r="C307" s="19" t="s">
        <v>226</v>
      </c>
      <c r="D307" s="20">
        <v>44823</v>
      </c>
      <c r="E307" s="36" t="s">
        <v>891</v>
      </c>
      <c r="F307" s="23">
        <v>3500</v>
      </c>
      <c r="G307" s="41">
        <v>50</v>
      </c>
      <c r="I307" s="24">
        <f t="shared" si="4"/>
        <v>3550</v>
      </c>
    </row>
    <row r="308" s="1" customFormat="1" ht="18" customHeight="1" spans="1:9">
      <c r="A308" s="17">
        <v>337</v>
      </c>
      <c r="B308" s="33" t="s">
        <v>866</v>
      </c>
      <c r="C308" s="19" t="s">
        <v>226</v>
      </c>
      <c r="D308" s="20">
        <v>44971</v>
      </c>
      <c r="E308" s="57" t="s">
        <v>892</v>
      </c>
      <c r="F308" s="38">
        <v>3500</v>
      </c>
      <c r="G308" s="23"/>
      <c r="I308" s="24">
        <f t="shared" si="4"/>
        <v>3500</v>
      </c>
    </row>
    <row r="309" s="1" customFormat="1" ht="18" customHeight="1" spans="1:9">
      <c r="A309" s="17">
        <v>338</v>
      </c>
      <c r="B309" s="33" t="s">
        <v>866</v>
      </c>
      <c r="C309" s="19" t="s">
        <v>226</v>
      </c>
      <c r="D309" s="20">
        <v>44897</v>
      </c>
      <c r="E309" s="40" t="s">
        <v>893</v>
      </c>
      <c r="F309" s="38">
        <v>3500</v>
      </c>
      <c r="G309" s="41">
        <v>50</v>
      </c>
      <c r="I309" s="24">
        <f t="shared" si="4"/>
        <v>3550</v>
      </c>
    </row>
    <row r="310" s="1" customFormat="1" ht="18" customHeight="1" spans="1:9">
      <c r="A310" s="17">
        <v>339</v>
      </c>
      <c r="B310" s="33" t="s">
        <v>866</v>
      </c>
      <c r="C310" s="19" t="s">
        <v>211</v>
      </c>
      <c r="D310" s="20">
        <v>45020</v>
      </c>
      <c r="E310" s="40" t="s">
        <v>894</v>
      </c>
      <c r="F310" s="38">
        <v>3500</v>
      </c>
      <c r="G310" s="23"/>
      <c r="I310" s="24">
        <f t="shared" si="4"/>
        <v>3500</v>
      </c>
    </row>
    <row r="311" s="1" customFormat="1" ht="18" customHeight="1" spans="1:9">
      <c r="A311" s="17">
        <v>340</v>
      </c>
      <c r="B311" s="33" t="s">
        <v>866</v>
      </c>
      <c r="C311" s="19" t="s">
        <v>895</v>
      </c>
      <c r="D311" s="20">
        <v>44666</v>
      </c>
      <c r="E311" s="40" t="s">
        <v>896</v>
      </c>
      <c r="F311" s="38">
        <v>4000</v>
      </c>
      <c r="G311" s="41">
        <v>250</v>
      </c>
      <c r="I311" s="24">
        <f t="shared" si="4"/>
        <v>4250</v>
      </c>
    </row>
    <row r="312" s="1" customFormat="1" ht="18" customHeight="1" spans="1:9">
      <c r="A312" s="17">
        <v>341</v>
      </c>
      <c r="B312" s="33" t="s">
        <v>866</v>
      </c>
      <c r="C312" s="19" t="s">
        <v>220</v>
      </c>
      <c r="D312" s="20">
        <v>43515</v>
      </c>
      <c r="E312" s="40" t="s">
        <v>897</v>
      </c>
      <c r="F312" s="31">
        <v>5000</v>
      </c>
      <c r="G312" s="23"/>
      <c r="I312" s="24">
        <f t="shared" si="4"/>
        <v>5000</v>
      </c>
    </row>
    <row r="313" s="1" customFormat="1" ht="18" customHeight="1" spans="1:9">
      <c r="A313" s="17">
        <v>342</v>
      </c>
      <c r="B313" s="33" t="s">
        <v>866</v>
      </c>
      <c r="C313" s="19" t="s">
        <v>895</v>
      </c>
      <c r="D313" s="20">
        <v>45052</v>
      </c>
      <c r="E313" s="25" t="s">
        <v>898</v>
      </c>
      <c r="F313" s="31">
        <v>4000</v>
      </c>
      <c r="G313" s="23"/>
      <c r="I313" s="24">
        <f t="shared" si="4"/>
        <v>4000</v>
      </c>
    </row>
    <row r="314" s="1" customFormat="1" ht="18" customHeight="1" spans="1:9">
      <c r="A314" s="17">
        <v>343</v>
      </c>
      <c r="B314" s="33" t="s">
        <v>866</v>
      </c>
      <c r="C314" s="19" t="s">
        <v>875</v>
      </c>
      <c r="D314" s="20">
        <v>43515</v>
      </c>
      <c r="E314" s="25" t="s">
        <v>899</v>
      </c>
      <c r="F314" s="31">
        <v>5000</v>
      </c>
      <c r="G314" s="41">
        <v>300</v>
      </c>
      <c r="I314" s="24">
        <f t="shared" si="4"/>
        <v>5300</v>
      </c>
    </row>
    <row r="315" s="1" customFormat="1" ht="18" customHeight="1" spans="1:9">
      <c r="A315" s="17">
        <v>344</v>
      </c>
      <c r="B315" s="33" t="s">
        <v>866</v>
      </c>
      <c r="C315" s="19" t="s">
        <v>875</v>
      </c>
      <c r="D315" s="20">
        <v>43909</v>
      </c>
      <c r="E315" s="25" t="s">
        <v>900</v>
      </c>
      <c r="F315" s="31">
        <v>5000</v>
      </c>
      <c r="G315" s="41">
        <v>1300</v>
      </c>
      <c r="I315" s="24">
        <f t="shared" si="4"/>
        <v>6300</v>
      </c>
    </row>
    <row r="316" s="1" customFormat="1" ht="18" customHeight="1" spans="1:9">
      <c r="A316" s="17">
        <v>345</v>
      </c>
      <c r="B316" s="33" t="s">
        <v>866</v>
      </c>
      <c r="C316" s="19" t="s">
        <v>228</v>
      </c>
      <c r="D316" s="20">
        <v>42976</v>
      </c>
      <c r="E316" s="40" t="s">
        <v>901</v>
      </c>
      <c r="F316" s="58">
        <v>3000</v>
      </c>
      <c r="G316" s="23"/>
      <c r="I316" s="24">
        <f t="shared" si="4"/>
        <v>3000</v>
      </c>
    </row>
    <row r="317" s="1" customFormat="1" ht="18" customHeight="1" spans="1:9">
      <c r="A317" s="17">
        <v>346</v>
      </c>
      <c r="B317" s="33" t="s">
        <v>866</v>
      </c>
      <c r="C317" s="19" t="s">
        <v>228</v>
      </c>
      <c r="D317" s="20">
        <v>44567</v>
      </c>
      <c r="E317" s="40" t="s">
        <v>902</v>
      </c>
      <c r="F317" s="58">
        <v>3000</v>
      </c>
      <c r="G317" s="23"/>
      <c r="I317" s="24">
        <f t="shared" si="4"/>
        <v>3000</v>
      </c>
    </row>
    <row r="318" s="1" customFormat="1" ht="18" customHeight="1" spans="1:9">
      <c r="A318" s="17">
        <v>347</v>
      </c>
      <c r="B318" s="33" t="s">
        <v>866</v>
      </c>
      <c r="C318" s="19" t="s">
        <v>228</v>
      </c>
      <c r="D318" s="20">
        <v>42976</v>
      </c>
      <c r="E318" s="40" t="s">
        <v>903</v>
      </c>
      <c r="F318" s="58">
        <v>3000</v>
      </c>
      <c r="G318" s="23"/>
      <c r="I318" s="24">
        <f t="shared" si="4"/>
        <v>3000</v>
      </c>
    </row>
    <row r="319" s="1" customFormat="1" ht="18" customHeight="1" spans="1:9">
      <c r="A319" s="17">
        <v>348</v>
      </c>
      <c r="B319" s="33" t="s">
        <v>866</v>
      </c>
      <c r="C319" s="19" t="s">
        <v>813</v>
      </c>
      <c r="D319" s="20">
        <v>45108</v>
      </c>
      <c r="E319" s="40" t="s">
        <v>904</v>
      </c>
      <c r="F319" s="38">
        <v>5000</v>
      </c>
      <c r="G319" s="23"/>
      <c r="I319" s="24">
        <f t="shared" si="4"/>
        <v>5000</v>
      </c>
    </row>
    <row r="320" s="1" customFormat="1" ht="18" customHeight="1" spans="1:9">
      <c r="A320" s="17">
        <v>349</v>
      </c>
      <c r="B320" s="33" t="s">
        <v>866</v>
      </c>
      <c r="C320" s="19" t="s">
        <v>813</v>
      </c>
      <c r="D320" s="20">
        <v>45134</v>
      </c>
      <c r="E320" s="40" t="s">
        <v>905</v>
      </c>
      <c r="F320" s="38">
        <v>6100</v>
      </c>
      <c r="G320" s="23"/>
      <c r="I320" s="24">
        <f t="shared" si="4"/>
        <v>6100</v>
      </c>
    </row>
    <row r="321" s="1" customFormat="1" ht="18" customHeight="1" spans="1:9">
      <c r="A321" s="17">
        <v>350</v>
      </c>
      <c r="B321" s="33" t="s">
        <v>866</v>
      </c>
      <c r="C321" s="19" t="s">
        <v>220</v>
      </c>
      <c r="D321" s="20">
        <v>45229</v>
      </c>
      <c r="E321" s="40" t="s">
        <v>906</v>
      </c>
      <c r="F321" s="38">
        <v>4500</v>
      </c>
      <c r="G321" s="23"/>
      <c r="I321" s="24">
        <f t="shared" si="4"/>
        <v>4500</v>
      </c>
    </row>
    <row r="322" s="1" customFormat="1" ht="18" customHeight="1" spans="1:9">
      <c r="A322" s="17">
        <v>351</v>
      </c>
      <c r="B322" s="33" t="s">
        <v>866</v>
      </c>
      <c r="C322" s="19" t="s">
        <v>895</v>
      </c>
      <c r="D322" s="20">
        <v>45149</v>
      </c>
      <c r="E322" s="40" t="s">
        <v>907</v>
      </c>
      <c r="F322" s="38">
        <v>4000</v>
      </c>
      <c r="G322" s="23"/>
      <c r="I322" s="24">
        <f t="shared" si="4"/>
        <v>4000</v>
      </c>
    </row>
    <row r="323" s="1" customFormat="1" ht="18" customHeight="1" spans="1:9">
      <c r="A323" s="17">
        <v>352</v>
      </c>
      <c r="B323" s="33" t="s">
        <v>866</v>
      </c>
      <c r="C323" s="19" t="s">
        <v>800</v>
      </c>
      <c r="D323" s="20">
        <v>45274</v>
      </c>
      <c r="E323" s="40" t="s">
        <v>908</v>
      </c>
      <c r="F323" s="38">
        <v>4500</v>
      </c>
      <c r="G323" s="23"/>
      <c r="I323" s="24">
        <f t="shared" si="4"/>
        <v>4500</v>
      </c>
    </row>
    <row r="324" s="1" customFormat="1" ht="18" customHeight="1" spans="1:9">
      <c r="A324" s="17">
        <v>353</v>
      </c>
      <c r="B324" s="33" t="s">
        <v>866</v>
      </c>
      <c r="C324" s="19" t="s">
        <v>211</v>
      </c>
      <c r="D324" s="20">
        <v>45360</v>
      </c>
      <c r="E324" s="40" t="s">
        <v>909</v>
      </c>
      <c r="F324" s="38">
        <v>3000</v>
      </c>
      <c r="G324" s="23"/>
      <c r="I324" s="24">
        <f t="shared" ref="I324:I367" si="5">F324+G324</f>
        <v>3000</v>
      </c>
    </row>
    <row r="325" s="1" customFormat="1" ht="18" customHeight="1" spans="1:9">
      <c r="A325" s="17">
        <v>354</v>
      </c>
      <c r="B325" s="33" t="s">
        <v>866</v>
      </c>
      <c r="C325" s="19" t="s">
        <v>167</v>
      </c>
      <c r="D325" s="51">
        <v>45008</v>
      </c>
      <c r="E325" s="36" t="s">
        <v>910</v>
      </c>
      <c r="F325" s="39">
        <v>10000</v>
      </c>
      <c r="G325" s="23"/>
      <c r="I325" s="24">
        <f t="shared" si="5"/>
        <v>10000</v>
      </c>
    </row>
    <row r="326" s="1" customFormat="1" ht="18" customHeight="1" spans="1:9">
      <c r="A326" s="17">
        <v>355</v>
      </c>
      <c r="B326" s="33" t="s">
        <v>866</v>
      </c>
      <c r="C326" s="19" t="s">
        <v>211</v>
      </c>
      <c r="D326" s="51">
        <v>45379</v>
      </c>
      <c r="E326" s="36" t="s">
        <v>911</v>
      </c>
      <c r="F326" s="39">
        <v>3000</v>
      </c>
      <c r="G326" s="23"/>
      <c r="I326" s="24">
        <f t="shared" si="5"/>
        <v>3000</v>
      </c>
    </row>
    <row r="327" s="1" customFormat="1" ht="18" customHeight="1" spans="1:9">
      <c r="A327" s="17">
        <v>356</v>
      </c>
      <c r="B327" s="33" t="s">
        <v>866</v>
      </c>
      <c r="C327" s="19" t="s">
        <v>211</v>
      </c>
      <c r="D327" s="51">
        <v>45369</v>
      </c>
      <c r="E327" s="36" t="s">
        <v>912</v>
      </c>
      <c r="F327" s="39">
        <v>3000</v>
      </c>
      <c r="G327" s="23"/>
      <c r="I327" s="24">
        <f t="shared" si="5"/>
        <v>3000</v>
      </c>
    </row>
    <row r="328" s="1" customFormat="1" ht="18" customHeight="1" spans="1:9">
      <c r="A328" s="17">
        <v>357</v>
      </c>
      <c r="B328" s="33" t="s">
        <v>866</v>
      </c>
      <c r="C328" s="19" t="s">
        <v>211</v>
      </c>
      <c r="D328" s="51">
        <v>45344</v>
      </c>
      <c r="E328" s="36" t="s">
        <v>913</v>
      </c>
      <c r="F328" s="39">
        <v>3000</v>
      </c>
      <c r="G328" s="23"/>
      <c r="I328" s="24">
        <f t="shared" si="5"/>
        <v>3000</v>
      </c>
    </row>
    <row r="329" s="1" customFormat="1" ht="18" customHeight="1" spans="1:9">
      <c r="A329" s="17">
        <v>358</v>
      </c>
      <c r="B329" s="33" t="s">
        <v>866</v>
      </c>
      <c r="C329" s="19" t="s">
        <v>211</v>
      </c>
      <c r="D329" s="62"/>
      <c r="E329" s="36" t="s">
        <v>914</v>
      </c>
      <c r="F329" s="39">
        <v>3000</v>
      </c>
      <c r="G329" s="63"/>
      <c r="I329" s="24">
        <f t="shared" si="5"/>
        <v>3000</v>
      </c>
    </row>
    <row r="330" s="1" customFormat="1" ht="18" customHeight="1" spans="1:9">
      <c r="A330" s="17">
        <v>359</v>
      </c>
      <c r="B330" s="17" t="s">
        <v>915</v>
      </c>
      <c r="C330" s="19" t="s">
        <v>174</v>
      </c>
      <c r="D330" s="20">
        <v>45083</v>
      </c>
      <c r="E330" s="25" t="s">
        <v>916</v>
      </c>
      <c r="F330" s="31">
        <v>13000</v>
      </c>
      <c r="G330" s="23"/>
      <c r="I330" s="24">
        <f t="shared" si="5"/>
        <v>13000</v>
      </c>
    </row>
    <row r="331" s="1" customFormat="1" ht="18" customHeight="1" spans="1:9">
      <c r="A331" s="17">
        <v>362</v>
      </c>
      <c r="B331" s="17" t="s">
        <v>915</v>
      </c>
      <c r="C331" s="19" t="s">
        <v>917</v>
      </c>
      <c r="D331" s="20">
        <v>40760</v>
      </c>
      <c r="E331" s="25" t="s">
        <v>918</v>
      </c>
      <c r="F331" s="31">
        <v>7000</v>
      </c>
      <c r="G331" s="41">
        <v>1000</v>
      </c>
      <c r="I331" s="24">
        <f t="shared" si="5"/>
        <v>8000</v>
      </c>
    </row>
    <row r="332" s="1" customFormat="1" ht="18" customHeight="1" spans="1:9">
      <c r="A332" s="17">
        <v>363</v>
      </c>
      <c r="B332" s="17" t="s">
        <v>915</v>
      </c>
      <c r="C332" s="19" t="s">
        <v>919</v>
      </c>
      <c r="D332" s="20">
        <v>41039</v>
      </c>
      <c r="E332" s="25" t="s">
        <v>920</v>
      </c>
      <c r="F332" s="31">
        <v>5000</v>
      </c>
      <c r="G332" s="41">
        <v>500</v>
      </c>
      <c r="I332" s="24">
        <f t="shared" si="5"/>
        <v>5500</v>
      </c>
    </row>
    <row r="333" s="1" customFormat="1" ht="18" customHeight="1" spans="1:9">
      <c r="A333" s="17">
        <v>364</v>
      </c>
      <c r="B333" s="17" t="s">
        <v>915</v>
      </c>
      <c r="C333" s="19" t="s">
        <v>426</v>
      </c>
      <c r="D333" s="20">
        <v>44859</v>
      </c>
      <c r="E333" s="25" t="s">
        <v>921</v>
      </c>
      <c r="F333" s="42">
        <v>4000</v>
      </c>
      <c r="G333" s="43"/>
      <c r="I333" s="24">
        <f t="shared" si="5"/>
        <v>4000</v>
      </c>
    </row>
    <row r="334" s="1" customFormat="1" ht="18" customHeight="1" spans="1:9">
      <c r="A334" s="17">
        <v>365</v>
      </c>
      <c r="B334" s="17" t="s">
        <v>915</v>
      </c>
      <c r="C334" s="19" t="s">
        <v>426</v>
      </c>
      <c r="D334" s="20">
        <v>44670</v>
      </c>
      <c r="E334" s="25" t="s">
        <v>737</v>
      </c>
      <c r="F334" s="42">
        <v>4000</v>
      </c>
      <c r="G334" s="43">
        <v>200</v>
      </c>
      <c r="I334" s="24">
        <f t="shared" si="5"/>
        <v>4200</v>
      </c>
    </row>
    <row r="335" s="1" customFormat="1" ht="18" customHeight="1" spans="1:9">
      <c r="A335" s="17">
        <v>366</v>
      </c>
      <c r="B335" s="17" t="s">
        <v>915</v>
      </c>
      <c r="C335" s="19" t="s">
        <v>919</v>
      </c>
      <c r="D335" s="20">
        <v>42964</v>
      </c>
      <c r="E335" s="25" t="s">
        <v>922</v>
      </c>
      <c r="F335" s="31">
        <v>4500</v>
      </c>
      <c r="G335" s="41">
        <v>600</v>
      </c>
      <c r="I335" s="24">
        <f t="shared" si="5"/>
        <v>5100</v>
      </c>
    </row>
    <row r="336" s="1" customFormat="1" ht="18" customHeight="1" spans="1:9">
      <c r="A336" s="17">
        <v>367</v>
      </c>
      <c r="B336" s="17" t="s">
        <v>915</v>
      </c>
      <c r="C336" s="19" t="s">
        <v>426</v>
      </c>
      <c r="D336" s="20">
        <v>43980</v>
      </c>
      <c r="E336" s="25" t="s">
        <v>923</v>
      </c>
      <c r="F336" s="31">
        <v>4000</v>
      </c>
      <c r="G336" s="41">
        <v>500</v>
      </c>
      <c r="I336" s="24">
        <f t="shared" si="5"/>
        <v>4500</v>
      </c>
    </row>
    <row r="337" s="1" customFormat="1" ht="18" customHeight="1" spans="1:9">
      <c r="A337" s="17">
        <v>369</v>
      </c>
      <c r="B337" s="17" t="s">
        <v>924</v>
      </c>
      <c r="C337" s="19" t="s">
        <v>426</v>
      </c>
      <c r="D337" s="20">
        <v>43167</v>
      </c>
      <c r="E337" s="25" t="s">
        <v>925</v>
      </c>
      <c r="F337" s="31">
        <v>4000</v>
      </c>
      <c r="G337" s="41">
        <v>300</v>
      </c>
      <c r="I337" s="24">
        <f t="shared" si="5"/>
        <v>4300</v>
      </c>
    </row>
    <row r="338" s="1" customFormat="1" ht="18" customHeight="1" spans="1:9">
      <c r="A338" s="17">
        <v>370</v>
      </c>
      <c r="B338" s="17" t="s">
        <v>924</v>
      </c>
      <c r="C338" s="19" t="s">
        <v>926</v>
      </c>
      <c r="D338" s="20">
        <v>42968</v>
      </c>
      <c r="E338" s="25" t="s">
        <v>927</v>
      </c>
      <c r="F338" s="44">
        <v>5000</v>
      </c>
      <c r="G338" s="45">
        <v>400</v>
      </c>
      <c r="I338" s="24">
        <f t="shared" si="5"/>
        <v>5400</v>
      </c>
    </row>
    <row r="339" s="1" customFormat="1" ht="18" customHeight="1" spans="1:9">
      <c r="A339" s="17">
        <v>371</v>
      </c>
      <c r="B339" s="17" t="s">
        <v>924</v>
      </c>
      <c r="C339" s="19" t="s">
        <v>426</v>
      </c>
      <c r="D339" s="20">
        <v>43207</v>
      </c>
      <c r="E339" s="25" t="s">
        <v>928</v>
      </c>
      <c r="F339" s="42">
        <v>4000</v>
      </c>
      <c r="G339" s="43">
        <v>500</v>
      </c>
      <c r="I339" s="24">
        <f t="shared" si="5"/>
        <v>4500</v>
      </c>
    </row>
    <row r="340" s="1" customFormat="1" ht="18" customHeight="1" spans="1:9">
      <c r="A340" s="17">
        <v>372</v>
      </c>
      <c r="B340" s="17" t="s">
        <v>924</v>
      </c>
      <c r="C340" s="19" t="s">
        <v>426</v>
      </c>
      <c r="D340" s="20">
        <v>44672</v>
      </c>
      <c r="E340" s="25" t="s">
        <v>929</v>
      </c>
      <c r="F340" s="31">
        <v>4500</v>
      </c>
      <c r="G340" s="41">
        <v>200</v>
      </c>
      <c r="I340" s="24">
        <f t="shared" si="5"/>
        <v>4700</v>
      </c>
    </row>
    <row r="341" s="1" customFormat="1" ht="18" customHeight="1" spans="1:9">
      <c r="A341" s="17">
        <v>373</v>
      </c>
      <c r="B341" s="17" t="s">
        <v>924</v>
      </c>
      <c r="C341" s="19" t="s">
        <v>426</v>
      </c>
      <c r="D341" s="20">
        <v>44409</v>
      </c>
      <c r="E341" s="25" t="s">
        <v>930</v>
      </c>
      <c r="F341" s="31">
        <v>4000</v>
      </c>
      <c r="G341" s="41">
        <v>200</v>
      </c>
      <c r="I341" s="24">
        <f t="shared" si="5"/>
        <v>4200</v>
      </c>
    </row>
    <row r="342" s="1" customFormat="1" ht="18" customHeight="1" spans="1:9">
      <c r="A342" s="17">
        <v>374</v>
      </c>
      <c r="B342" s="17" t="s">
        <v>924</v>
      </c>
      <c r="C342" s="19" t="s">
        <v>426</v>
      </c>
      <c r="D342" s="20">
        <v>43026</v>
      </c>
      <c r="E342" s="25" t="s">
        <v>931</v>
      </c>
      <c r="F342" s="31">
        <v>4500</v>
      </c>
      <c r="G342" s="41">
        <v>600</v>
      </c>
      <c r="I342" s="24">
        <f t="shared" si="5"/>
        <v>5100</v>
      </c>
    </row>
    <row r="343" s="1" customFormat="1" ht="18" customHeight="1" spans="1:9">
      <c r="A343" s="17">
        <v>375</v>
      </c>
      <c r="B343" s="17" t="s">
        <v>924</v>
      </c>
      <c r="C343" s="19" t="s">
        <v>426</v>
      </c>
      <c r="D343" s="20">
        <v>43980</v>
      </c>
      <c r="E343" s="25" t="s">
        <v>932</v>
      </c>
      <c r="F343" s="31">
        <v>4500</v>
      </c>
      <c r="G343" s="41">
        <v>500</v>
      </c>
      <c r="I343" s="24">
        <f t="shared" si="5"/>
        <v>5000</v>
      </c>
    </row>
    <row r="344" s="1" customFormat="1" ht="18" customHeight="1" spans="1:9">
      <c r="A344" s="17">
        <v>376</v>
      </c>
      <c r="B344" s="17" t="s">
        <v>933</v>
      </c>
      <c r="C344" s="19" t="s">
        <v>174</v>
      </c>
      <c r="D344" s="20">
        <v>43617</v>
      </c>
      <c r="E344" s="25" t="s">
        <v>934</v>
      </c>
      <c r="F344" s="31">
        <v>18000</v>
      </c>
      <c r="G344" s="23"/>
      <c r="I344" s="24">
        <f t="shared" si="5"/>
        <v>18000</v>
      </c>
    </row>
    <row r="345" s="1" customFormat="1" ht="18" customHeight="1" spans="1:9">
      <c r="A345" s="17">
        <v>378</v>
      </c>
      <c r="B345" s="17" t="s">
        <v>933</v>
      </c>
      <c r="C345" s="19" t="s">
        <v>141</v>
      </c>
      <c r="D345" s="20">
        <v>43004</v>
      </c>
      <c r="E345" s="25" t="s">
        <v>935</v>
      </c>
      <c r="F345" s="44">
        <v>4500</v>
      </c>
      <c r="G345" s="45">
        <v>1000</v>
      </c>
      <c r="I345" s="24">
        <f t="shared" si="5"/>
        <v>5500</v>
      </c>
    </row>
    <row r="346" s="1" customFormat="1" ht="18" customHeight="1" spans="1:9">
      <c r="A346" s="17">
        <v>379</v>
      </c>
      <c r="B346" s="17" t="s">
        <v>933</v>
      </c>
      <c r="C346" s="19" t="s">
        <v>936</v>
      </c>
      <c r="D346" s="20">
        <v>42613</v>
      </c>
      <c r="E346" s="25" t="s">
        <v>937</v>
      </c>
      <c r="F346" s="31">
        <v>4500</v>
      </c>
      <c r="G346" s="41">
        <v>1100</v>
      </c>
      <c r="I346" s="24">
        <f t="shared" si="5"/>
        <v>5600</v>
      </c>
    </row>
    <row r="347" s="1" customFormat="1" ht="18" customHeight="1" spans="1:9">
      <c r="A347" s="17">
        <v>380</v>
      </c>
      <c r="B347" s="17" t="s">
        <v>933</v>
      </c>
      <c r="C347" s="19" t="s">
        <v>936</v>
      </c>
      <c r="D347" s="20">
        <v>42717</v>
      </c>
      <c r="E347" s="25" t="s">
        <v>938</v>
      </c>
      <c r="F347" s="31">
        <v>4600</v>
      </c>
      <c r="G347" s="41">
        <v>1100</v>
      </c>
      <c r="I347" s="24">
        <f t="shared" si="5"/>
        <v>5700</v>
      </c>
    </row>
    <row r="348" s="1" customFormat="1" ht="18" customHeight="1" spans="1:9">
      <c r="A348" s="17">
        <v>381</v>
      </c>
      <c r="B348" s="17" t="s">
        <v>933</v>
      </c>
      <c r="C348" s="19" t="s">
        <v>936</v>
      </c>
      <c r="D348" s="20">
        <v>43160</v>
      </c>
      <c r="E348" s="25" t="s">
        <v>939</v>
      </c>
      <c r="F348" s="31">
        <v>4500</v>
      </c>
      <c r="G348" s="41">
        <v>900</v>
      </c>
      <c r="I348" s="24">
        <f t="shared" si="5"/>
        <v>5400</v>
      </c>
    </row>
    <row r="349" s="1" customFormat="1" ht="18" customHeight="1" spans="1:9">
      <c r="A349" s="17">
        <v>382</v>
      </c>
      <c r="B349" s="17" t="s">
        <v>933</v>
      </c>
      <c r="C349" s="19" t="s">
        <v>139</v>
      </c>
      <c r="D349" s="20">
        <v>40668</v>
      </c>
      <c r="E349" s="25" t="s">
        <v>940</v>
      </c>
      <c r="F349" s="31">
        <v>7000</v>
      </c>
      <c r="G349" s="41">
        <v>1000</v>
      </c>
      <c r="I349" s="24">
        <f t="shared" si="5"/>
        <v>8000</v>
      </c>
    </row>
    <row r="350" s="1" customFormat="1" ht="18" customHeight="1" spans="1:9">
      <c r="A350" s="17">
        <v>383</v>
      </c>
      <c r="B350" s="17" t="s">
        <v>933</v>
      </c>
      <c r="C350" s="19" t="s">
        <v>141</v>
      </c>
      <c r="D350" s="20">
        <v>42102</v>
      </c>
      <c r="E350" s="25" t="s">
        <v>941</v>
      </c>
      <c r="F350" s="42">
        <v>4100</v>
      </c>
      <c r="G350" s="43">
        <v>900</v>
      </c>
      <c r="I350" s="24">
        <f t="shared" si="5"/>
        <v>5000</v>
      </c>
    </row>
    <row r="351" s="1" customFormat="1" ht="18" customHeight="1" spans="1:9">
      <c r="A351" s="17">
        <v>384</v>
      </c>
      <c r="B351" s="17" t="s">
        <v>933</v>
      </c>
      <c r="C351" s="19" t="s">
        <v>661</v>
      </c>
      <c r="D351" s="20">
        <v>42522</v>
      </c>
      <c r="E351" s="25" t="s">
        <v>942</v>
      </c>
      <c r="F351" s="31">
        <v>5000</v>
      </c>
      <c r="G351" s="41">
        <v>1000</v>
      </c>
      <c r="I351" s="24">
        <f t="shared" si="5"/>
        <v>6000</v>
      </c>
    </row>
    <row r="352" s="1" customFormat="1" ht="18" customHeight="1" spans="1:9">
      <c r="A352" s="17">
        <v>385</v>
      </c>
      <c r="B352" s="17" t="s">
        <v>933</v>
      </c>
      <c r="C352" s="19" t="s">
        <v>141</v>
      </c>
      <c r="D352" s="20">
        <v>43932</v>
      </c>
      <c r="E352" s="25" t="s">
        <v>943</v>
      </c>
      <c r="F352" s="31">
        <v>4500</v>
      </c>
      <c r="G352" s="41">
        <v>400</v>
      </c>
      <c r="I352" s="24">
        <f t="shared" si="5"/>
        <v>4900</v>
      </c>
    </row>
    <row r="353" s="1" customFormat="1" ht="18" customHeight="1" spans="1:9">
      <c r="A353" s="17">
        <v>386</v>
      </c>
      <c r="B353" s="17" t="s">
        <v>933</v>
      </c>
      <c r="C353" s="19" t="s">
        <v>141</v>
      </c>
      <c r="D353" s="20">
        <v>42667</v>
      </c>
      <c r="E353" s="25" t="s">
        <v>944</v>
      </c>
      <c r="F353" s="31">
        <v>4400</v>
      </c>
      <c r="G353" s="41">
        <v>900</v>
      </c>
      <c r="I353" s="24">
        <f t="shared" si="5"/>
        <v>5300</v>
      </c>
    </row>
    <row r="354" s="1" customFormat="1" ht="18" customHeight="1" spans="1:9">
      <c r="A354" s="17">
        <v>387</v>
      </c>
      <c r="B354" s="17" t="s">
        <v>933</v>
      </c>
      <c r="C354" s="19" t="s">
        <v>141</v>
      </c>
      <c r="D354" s="20">
        <v>44480</v>
      </c>
      <c r="E354" s="25" t="s">
        <v>945</v>
      </c>
      <c r="F354" s="31">
        <v>4200</v>
      </c>
      <c r="G354" s="23"/>
      <c r="I354" s="24">
        <f t="shared" si="5"/>
        <v>4200</v>
      </c>
    </row>
    <row r="355" s="1" customFormat="1" ht="18" customHeight="1" spans="1:9">
      <c r="A355" s="17">
        <v>389</v>
      </c>
      <c r="B355" s="17" t="s">
        <v>946</v>
      </c>
      <c r="C355" s="19" t="s">
        <v>661</v>
      </c>
      <c r="D355" s="20">
        <v>43325</v>
      </c>
      <c r="E355" s="25" t="s">
        <v>947</v>
      </c>
      <c r="F355" s="31">
        <v>6800</v>
      </c>
      <c r="G355" s="41">
        <v>700</v>
      </c>
      <c r="I355" s="24">
        <f t="shared" si="5"/>
        <v>7500</v>
      </c>
    </row>
    <row r="356" s="1" customFormat="1" ht="18" customHeight="1" spans="1:9">
      <c r="A356" s="17">
        <v>390</v>
      </c>
      <c r="B356" s="17" t="s">
        <v>946</v>
      </c>
      <c r="C356" s="19" t="s">
        <v>141</v>
      </c>
      <c r="D356" s="20">
        <v>42887</v>
      </c>
      <c r="E356" s="25" t="s">
        <v>948</v>
      </c>
      <c r="F356" s="31">
        <v>4800</v>
      </c>
      <c r="G356" s="41">
        <v>700</v>
      </c>
      <c r="I356" s="24">
        <f t="shared" si="5"/>
        <v>5500</v>
      </c>
    </row>
    <row r="357" s="1" customFormat="1" ht="18" customHeight="1" spans="1:9">
      <c r="A357" s="17">
        <v>391</v>
      </c>
      <c r="B357" s="17" t="s">
        <v>946</v>
      </c>
      <c r="C357" s="19" t="s">
        <v>141</v>
      </c>
      <c r="D357" s="20">
        <v>42872</v>
      </c>
      <c r="E357" s="25" t="s">
        <v>949</v>
      </c>
      <c r="F357" s="31">
        <v>4500</v>
      </c>
      <c r="G357" s="41">
        <v>500</v>
      </c>
      <c r="I357" s="24">
        <f t="shared" si="5"/>
        <v>5000</v>
      </c>
    </row>
    <row r="358" s="1" customFormat="1" ht="18" customHeight="1" spans="1:9">
      <c r="A358" s="17">
        <v>392</v>
      </c>
      <c r="B358" s="17" t="s">
        <v>946</v>
      </c>
      <c r="C358" s="19" t="s">
        <v>950</v>
      </c>
      <c r="D358" s="20">
        <v>42980</v>
      </c>
      <c r="E358" s="25" t="s">
        <v>951</v>
      </c>
      <c r="F358" s="31">
        <v>4900</v>
      </c>
      <c r="G358" s="41">
        <v>800</v>
      </c>
      <c r="I358" s="24">
        <f t="shared" si="5"/>
        <v>5700</v>
      </c>
    </row>
    <row r="359" s="1" customFormat="1" ht="18" customHeight="1" spans="1:9">
      <c r="A359" s="17">
        <v>393</v>
      </c>
      <c r="B359" s="17" t="s">
        <v>946</v>
      </c>
      <c r="C359" s="19" t="s">
        <v>141</v>
      </c>
      <c r="D359" s="20">
        <v>43704</v>
      </c>
      <c r="E359" s="25" t="s">
        <v>952</v>
      </c>
      <c r="F359" s="42">
        <v>4000</v>
      </c>
      <c r="G359" s="41">
        <v>500</v>
      </c>
      <c r="I359" s="24">
        <f t="shared" si="5"/>
        <v>4500</v>
      </c>
    </row>
    <row r="360" s="1" customFormat="1" ht="18" customHeight="1" spans="1:9">
      <c r="A360" s="17">
        <v>394</v>
      </c>
      <c r="B360" s="17" t="s">
        <v>946</v>
      </c>
      <c r="C360" s="19" t="s">
        <v>141</v>
      </c>
      <c r="D360" s="20">
        <v>44273</v>
      </c>
      <c r="E360" s="25" t="s">
        <v>953</v>
      </c>
      <c r="F360" s="31">
        <v>4800</v>
      </c>
      <c r="G360" s="23"/>
      <c r="I360" s="24">
        <f t="shared" si="5"/>
        <v>4800</v>
      </c>
    </row>
    <row r="361" s="1" customFormat="1" ht="18" customHeight="1" spans="1:9">
      <c r="A361" s="17">
        <v>395</v>
      </c>
      <c r="B361" s="17" t="s">
        <v>946</v>
      </c>
      <c r="C361" s="19" t="s">
        <v>141</v>
      </c>
      <c r="D361" s="20">
        <v>44287</v>
      </c>
      <c r="E361" s="25" t="s">
        <v>954</v>
      </c>
      <c r="F361" s="31">
        <v>4800</v>
      </c>
      <c r="G361" s="23"/>
      <c r="I361" s="24">
        <f t="shared" si="5"/>
        <v>4800</v>
      </c>
    </row>
    <row r="362" s="1" customFormat="1" ht="18" customHeight="1" spans="1:9">
      <c r="A362" s="17">
        <v>396</v>
      </c>
      <c r="B362" s="17" t="s">
        <v>946</v>
      </c>
      <c r="C362" s="19" t="s">
        <v>141</v>
      </c>
      <c r="D362" s="20">
        <v>44480</v>
      </c>
      <c r="E362" s="25" t="s">
        <v>955</v>
      </c>
      <c r="F362" s="31">
        <v>4200</v>
      </c>
      <c r="G362" s="23"/>
      <c r="I362" s="24">
        <f t="shared" si="5"/>
        <v>4200</v>
      </c>
    </row>
    <row r="363" s="1" customFormat="1" ht="18" customHeight="1" spans="1:9">
      <c r="A363" s="17">
        <v>397</v>
      </c>
      <c r="B363" s="17" t="s">
        <v>946</v>
      </c>
      <c r="C363" s="19" t="s">
        <v>141</v>
      </c>
      <c r="D363" s="20">
        <v>44480</v>
      </c>
      <c r="E363" s="25" t="s">
        <v>956</v>
      </c>
      <c r="F363" s="31">
        <v>4200</v>
      </c>
      <c r="G363" s="23"/>
      <c r="I363" s="24">
        <f t="shared" si="5"/>
        <v>4200</v>
      </c>
    </row>
    <row r="364" s="1" customFormat="1" ht="18" customHeight="1" spans="1:9">
      <c r="A364" s="17">
        <v>398</v>
      </c>
      <c r="B364" s="17" t="s">
        <v>946</v>
      </c>
      <c r="C364" s="19" t="s">
        <v>141</v>
      </c>
      <c r="D364" s="20">
        <v>42866</v>
      </c>
      <c r="E364" s="25" t="s">
        <v>957</v>
      </c>
      <c r="F364" s="31">
        <v>5000</v>
      </c>
      <c r="G364" s="41">
        <v>1300</v>
      </c>
      <c r="I364" s="24">
        <f t="shared" si="5"/>
        <v>6300</v>
      </c>
    </row>
    <row r="365" s="1" customFormat="1" ht="18" customHeight="1" spans="1:9">
      <c r="A365" s="17">
        <v>399</v>
      </c>
      <c r="B365" s="17" t="s">
        <v>946</v>
      </c>
      <c r="C365" s="19" t="s">
        <v>958</v>
      </c>
      <c r="D365" s="20">
        <v>42865</v>
      </c>
      <c r="E365" s="25" t="s">
        <v>959</v>
      </c>
      <c r="F365" s="31">
        <v>5000</v>
      </c>
      <c r="G365" s="41">
        <v>1100</v>
      </c>
      <c r="I365" s="24">
        <f t="shared" si="5"/>
        <v>6100</v>
      </c>
    </row>
    <row r="366" s="1" customFormat="1" ht="18" customHeight="1" spans="1:9">
      <c r="A366" s="17">
        <v>400</v>
      </c>
      <c r="B366" s="17" t="s">
        <v>946</v>
      </c>
      <c r="C366" s="19" t="s">
        <v>958</v>
      </c>
      <c r="D366" s="20">
        <v>43073</v>
      </c>
      <c r="E366" s="32" t="s">
        <v>960</v>
      </c>
      <c r="F366" s="31">
        <v>4400</v>
      </c>
      <c r="G366" s="41">
        <v>1000</v>
      </c>
      <c r="I366" s="24">
        <f t="shared" si="5"/>
        <v>5400</v>
      </c>
    </row>
    <row r="367" s="1" customFormat="1" ht="18" customHeight="1" spans="1:9">
      <c r="A367" s="17">
        <v>401</v>
      </c>
      <c r="B367" s="17" t="s">
        <v>946</v>
      </c>
      <c r="C367" s="19" t="s">
        <v>958</v>
      </c>
      <c r="D367" s="20">
        <v>42905</v>
      </c>
      <c r="E367" s="25" t="s">
        <v>961</v>
      </c>
      <c r="F367" s="31">
        <v>4200</v>
      </c>
      <c r="G367" s="41">
        <v>900</v>
      </c>
      <c r="I367" s="24">
        <f t="shared" si="5"/>
        <v>5100</v>
      </c>
    </row>
    <row r="368" s="1" customFormat="1" ht="18" customHeight="1" spans="1:9">
      <c r="A368" s="64" t="s">
        <v>962</v>
      </c>
      <c r="B368" s="65"/>
      <c r="C368" s="65"/>
      <c r="D368" s="65"/>
      <c r="E368" s="66"/>
      <c r="F368" s="67">
        <v>1810921.48</v>
      </c>
      <c r="G368" s="67">
        <v>66968.15</v>
      </c>
    </row>
    <row r="369" s="1" customFormat="1" ht="13" spans="2:7">
      <c r="B369" s="68"/>
      <c r="G369" s="69"/>
    </row>
    <row r="370" s="1" customFormat="1" ht="13" spans="2:7">
      <c r="B370" s="68"/>
      <c r="G370" s="69"/>
    </row>
    <row r="371" s="1" customFormat="1" ht="13" spans="2:7">
      <c r="B371" s="68"/>
      <c r="G371" s="69"/>
    </row>
  </sheetData>
  <mergeCells count="7">
    <mergeCell ref="A1:G1"/>
    <mergeCell ref="A368:E368"/>
    <mergeCell ref="A2:A3"/>
    <mergeCell ref="B2:B3"/>
    <mergeCell ref="C2:C3"/>
    <mergeCell ref="D2:D3"/>
    <mergeCell ref="E2:E3"/>
  </mergeCells>
  <dataValidations count="1">
    <dataValidation type="list" allowBlank="1" showInputMessage="1" showErrorMessage="1" sqref="B2:B3">
      <formula1>"总经办,人事行政部,市场部,品控部,大客户部,运营部,财务部"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表一组织结构图</vt:lpstr>
      <vt:lpstr>表二-定岗定编表</vt:lpstr>
      <vt:lpstr>表三-招聘需求计划表</vt:lpstr>
      <vt:lpstr>表四-岗位招聘要求</vt:lpstr>
      <vt:lpstr>表五-生产岗位（班长及以下）2026804更新 (按28天计)</vt:lpstr>
      <vt:lpstr>表五-生产岗位（班长及以下）2026804更新(按26天）</vt:lpstr>
      <vt:lpstr>202403历史工资数据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mrseven</cp:lastModifiedBy>
  <dcterms:created xsi:type="dcterms:W3CDTF">2006-09-13T11:21:00Z</dcterms:created>
  <dcterms:modified xsi:type="dcterms:W3CDTF">2026-09-04T09:15:42Z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6D31004104CD4B66B423FB0998DE220D_13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