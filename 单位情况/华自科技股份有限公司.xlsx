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firstSheet="1"/>
  </bookViews>
  <sheets>
    <sheet name="企业背景" sheetId="2" r:id="rId1"/>
    <sheet name="上市信息" sheetId="3" r:id="rId2"/>
    <sheet name="法律诉讼" sheetId="4" r:id="rId3"/>
    <sheet name="经营风险" sheetId="5" r:id="rId4"/>
    <sheet name="经营状况" sheetId="6" r:id="rId5"/>
    <sheet name="A股财报" sheetId="7" r:id="rId6"/>
    <sheet name="知识产权" sheetId="8" r:id="rId7"/>
    <sheet name="公司发展" sheetId="9" r:id="rId8"/>
    <sheet name="历史信息" sheetId="10" r:id="rId9"/>
    <sheet name="WpsReserved_CellImgList" sheetId="11" state="very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3AEB9A330C524FB5BD9B8DAFFD1158FB" descr="XAWecU"/>
        <xdr:cNvPicPr/>
      </xdr:nvPicPr>
      <xdr:blipFill>
        <a:blip r:embed="rId1"/>
        <a:stretch>
          <a:fillRect/>
        </a:stretch>
      </xdr:blipFill>
      <xdr:spPr>
        <a:xfrm>
          <a:off x="38100" y="38100"/>
          <a:ext cx="1724025" cy="508000"/>
        </a:xfrm>
        <a:prstGeom prst="rect">
          <a:avLst/>
        </a:prstGeom>
      </xdr:spPr>
    </xdr:pic>
  </etc:cellImage>
  <etc:cellImage>
    <xdr:pic>
      <xdr:nvPicPr>
        <xdr:cNvPr id="4" name="ID_DCD11B86A949439FBC02260DADAA715F" descr="FOxFRI"/>
        <xdr:cNvPicPr/>
      </xdr:nvPicPr>
      <xdr:blipFill>
        <a:blip r:embed="rId1"/>
        <a:stretch>
          <a:fillRect/>
        </a:stretch>
      </xdr:blipFill>
      <xdr:spPr>
        <a:xfrm>
          <a:off x="38100" y="38100"/>
          <a:ext cx="1724025" cy="508000"/>
        </a:xfrm>
        <a:prstGeom prst="rect">
          <a:avLst/>
        </a:prstGeom>
      </xdr:spPr>
    </xdr:pic>
  </etc:cellImage>
  <etc:cellImage>
    <xdr:pic>
      <xdr:nvPicPr>
        <xdr:cNvPr id="5" name="ID_2F737C56D4C3442B88F0172D13AC9073" descr="XRGyEQ"/>
        <xdr:cNvPicPr/>
      </xdr:nvPicPr>
      <xdr:blipFill>
        <a:blip r:embed="rId1"/>
        <a:stretch>
          <a:fillRect/>
        </a:stretch>
      </xdr:blipFill>
      <xdr:spPr>
        <a:xfrm>
          <a:off x="38100" y="38100"/>
          <a:ext cx="1724025" cy="508000"/>
        </a:xfrm>
        <a:prstGeom prst="rect">
          <a:avLst/>
        </a:prstGeom>
      </xdr:spPr>
    </xdr:pic>
  </etc:cellImage>
  <etc:cellImage>
    <xdr:pic>
      <xdr:nvPicPr>
        <xdr:cNvPr id="6" name="ID_78B39A8B30174151B10386977A01A00B" descr="KagsCC"/>
        <xdr:cNvPicPr/>
      </xdr:nvPicPr>
      <xdr:blipFill>
        <a:blip r:embed="rId1"/>
        <a:stretch>
          <a:fillRect/>
        </a:stretch>
      </xdr:blipFill>
      <xdr:spPr>
        <a:xfrm>
          <a:off x="38100" y="38100"/>
          <a:ext cx="1724025" cy="508000"/>
        </a:xfrm>
        <a:prstGeom prst="rect">
          <a:avLst/>
        </a:prstGeom>
      </xdr:spPr>
    </xdr:pic>
  </etc:cellImage>
  <etc:cellImage>
    <xdr:pic>
      <xdr:nvPicPr>
        <xdr:cNvPr id="7" name="ID_C61978CC33FE411689E887D80F907B34" descr="Lxnseu"/>
        <xdr:cNvPicPr/>
      </xdr:nvPicPr>
      <xdr:blipFill>
        <a:blip r:embed="rId1"/>
        <a:stretch>
          <a:fillRect/>
        </a:stretch>
      </xdr:blipFill>
      <xdr:spPr>
        <a:xfrm>
          <a:off x="38100" y="38100"/>
          <a:ext cx="1724025" cy="508000"/>
        </a:xfrm>
        <a:prstGeom prst="rect">
          <a:avLst/>
        </a:prstGeom>
      </xdr:spPr>
    </xdr:pic>
  </etc:cellImage>
  <etc:cellImage>
    <xdr:pic>
      <xdr:nvPicPr>
        <xdr:cNvPr id="8" name="ID_0D0BA0BD53574F0790C5AC0E7AF52BC6" descr="wiqJcW"/>
        <xdr:cNvPicPr/>
      </xdr:nvPicPr>
      <xdr:blipFill>
        <a:blip r:embed="rId1"/>
        <a:stretch>
          <a:fillRect/>
        </a:stretch>
      </xdr:blipFill>
      <xdr:spPr>
        <a:xfrm>
          <a:off x="38100" y="38100"/>
          <a:ext cx="1724025" cy="508000"/>
        </a:xfrm>
        <a:prstGeom prst="rect">
          <a:avLst/>
        </a:prstGeom>
      </xdr:spPr>
    </xdr:pic>
  </etc:cellImage>
  <etc:cellImage>
    <xdr:pic>
      <xdr:nvPicPr>
        <xdr:cNvPr id="9" name="ID_A639BDD6A3044EB9BD8EAFAC9C96AE0E" descr="tCNTkb"/>
        <xdr:cNvPicPr/>
      </xdr:nvPicPr>
      <xdr:blipFill>
        <a:blip r:embed="rId1"/>
        <a:stretch>
          <a:fillRect/>
        </a:stretch>
      </xdr:blipFill>
      <xdr:spPr>
        <a:xfrm>
          <a:off x="38100" y="38100"/>
          <a:ext cx="1724025" cy="508000"/>
        </a:xfrm>
        <a:prstGeom prst="rect">
          <a:avLst/>
        </a:prstGeom>
      </xdr:spPr>
    </xdr:pic>
  </etc:cellImage>
  <etc:cellImage>
    <xdr:pic>
      <xdr:nvPicPr>
        <xdr:cNvPr id="10" name="ID_71398AB74A324609B25E3239AC00463C" descr="uWemSp"/>
        <xdr:cNvPicPr/>
      </xdr:nvPicPr>
      <xdr:blipFill>
        <a:blip r:embed="rId1"/>
        <a:stretch>
          <a:fillRect/>
        </a:stretch>
      </xdr:blipFill>
      <xdr:spPr>
        <a:xfrm>
          <a:off x="38100" y="38100"/>
          <a:ext cx="1724025" cy="508000"/>
        </a:xfrm>
        <a:prstGeom prst="rect">
          <a:avLst/>
        </a:prstGeom>
      </xdr:spPr>
    </xdr:pic>
  </etc:cellImage>
</etc:cellImages>
</file>

<file path=xl/sharedStrings.xml><?xml version="1.0" encoding="utf-8"?>
<sst xmlns="http://schemas.openxmlformats.org/spreadsheetml/2006/main" count="22982" uniqueCount="6711">
  <si>
    <t>工商信息</t>
  </si>
  <si>
    <t>企业名称</t>
  </si>
  <si>
    <t>华自科技股份有限公司</t>
  </si>
  <si>
    <t>法定代表人</t>
  </si>
  <si>
    <t>黄文宝</t>
  </si>
  <si>
    <t>注册资本</t>
  </si>
  <si>
    <t>39867.0674万人民币</t>
  </si>
  <si>
    <t>登记状态</t>
  </si>
  <si>
    <t>存续</t>
  </si>
  <si>
    <t xml:space="preserve"> </t>
  </si>
  <si>
    <t>实缴资本</t>
  </si>
  <si>
    <t>统一社会信用代码</t>
  </si>
  <si>
    <t>914300006940434345</t>
  </si>
  <si>
    <t>成立日期</t>
  </si>
  <si>
    <t>2009-09-25</t>
  </si>
  <si>
    <t>工商注册号</t>
  </si>
  <si>
    <t>430193000024057</t>
  </si>
  <si>
    <t>纳税人识别号</t>
  </si>
  <si>
    <t>企业类型</t>
  </si>
  <si>
    <t>股份有限公司(上市、自然人投资或控股)</t>
  </si>
  <si>
    <t>组织机构代码</t>
  </si>
  <si>
    <t>69404343-4</t>
  </si>
  <si>
    <t>核准日期</t>
  </si>
  <si>
    <t>2025-01-10</t>
  </si>
  <si>
    <t>行业</t>
  </si>
  <si>
    <t>科学研究和技术服务业 &gt; 研究和试验发展 &gt; 工程和技术研究和试验发展 (M732)</t>
  </si>
  <si>
    <t>曾用名</t>
  </si>
  <si>
    <t>湖南华自科技有限公司</t>
  </si>
  <si>
    <t>登记机关</t>
  </si>
  <si>
    <t>湖南省市场监督管理局</t>
  </si>
  <si>
    <t>营业期限</t>
  </si>
  <si>
    <t>2009-09-25 至 无固定期限</t>
  </si>
  <si>
    <t>英文名</t>
  </si>
  <si>
    <t>HNAC Technology Co., Ltd.</t>
  </si>
  <si>
    <t>人员规模</t>
  </si>
  <si>
    <t>500-999人</t>
  </si>
  <si>
    <t>参保人数</t>
  </si>
  <si>
    <t>740（2025年报）</t>
  </si>
  <si>
    <t>注册地址</t>
  </si>
  <si>
    <t>长沙高新开发区麓谷麓松路609号</t>
  </si>
  <si>
    <t>纳税人资质</t>
  </si>
  <si>
    <t>增值税一般纳税人</t>
  </si>
  <si>
    <t>经营范围</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</si>
  <si>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</si>
  <si>
    <t>主要人员-最新公示</t>
  </si>
  <si>
    <t>该维度共13条数据</t>
  </si>
  <si>
    <t>序号</t>
  </si>
  <si>
    <t>姓名</t>
  </si>
  <si>
    <t>性别</t>
  </si>
  <si>
    <t>学历</t>
  </si>
  <si>
    <t>职务</t>
  </si>
  <si>
    <t>薪酬</t>
  </si>
  <si>
    <t>持股比例</t>
  </si>
  <si>
    <t>持股数</t>
  </si>
  <si>
    <t>本届任期</t>
  </si>
  <si>
    <t>公告日期</t>
  </si>
  <si>
    <t>男</t>
  </si>
  <si>
    <t>本科</t>
  </si>
  <si>
    <t>董事长,董事</t>
  </si>
  <si>
    <t>106.0万</t>
  </si>
  <si>
    <t>0.82%</t>
  </si>
  <si>
    <t>326.9万</t>
  </si>
  <si>
    <t>2014-08-22 至 2026-09-14</t>
  </si>
  <si>
    <t>2023-09-15</t>
  </si>
  <si>
    <t>陈浩</t>
  </si>
  <si>
    <t>博士</t>
  </si>
  <si>
    <t>董事</t>
  </si>
  <si>
    <t>-</t>
  </si>
  <si>
    <t>2026-07-06 至 2026-09-14</t>
  </si>
  <si>
    <t>2026-07-06</t>
  </si>
  <si>
    <t>黄明辉</t>
  </si>
  <si>
    <t>独立董事</t>
  </si>
  <si>
    <t>9.600万</t>
  </si>
  <si>
    <t>2023-05-12 至 2026-09-14</t>
  </si>
  <si>
    <t>佘朋鲋</t>
  </si>
  <si>
    <t>董事,总经理</t>
  </si>
  <si>
    <t>89.34万</t>
  </si>
  <si>
    <t>65.2万</t>
  </si>
  <si>
    <t>2017-09-14 至 2026-09-14</t>
  </si>
  <si>
    <t>袁江锋</t>
  </si>
  <si>
    <t>硕士</t>
  </si>
  <si>
    <t>董事,副总经理</t>
  </si>
  <si>
    <t>87.81万</t>
  </si>
  <si>
    <t>40万</t>
  </si>
  <si>
    <t>凌志雄</t>
  </si>
  <si>
    <t>2023-09-15 至 2026-09-14</t>
  </si>
  <si>
    <t>苗洪雷</t>
  </si>
  <si>
    <t>69.67万</t>
  </si>
  <si>
    <t>52.68万</t>
  </si>
  <si>
    <t>2020-09-15 至 2026-09-14</t>
  </si>
  <si>
    <t>夏权</t>
  </si>
  <si>
    <t>职工董事</t>
  </si>
  <si>
    <t>32.55万</t>
  </si>
  <si>
    <t>1万</t>
  </si>
  <si>
    <t>2022-05-26 至 2026-09-14</t>
  </si>
  <si>
    <t>曾德明</t>
  </si>
  <si>
    <t>陈红飞</t>
  </si>
  <si>
    <t>财务总监</t>
  </si>
  <si>
    <t>77.29万</t>
  </si>
  <si>
    <t>李亮</t>
  </si>
  <si>
    <t>女</t>
  </si>
  <si>
    <t>副总经理</t>
  </si>
  <si>
    <t>79.76万</t>
  </si>
  <si>
    <t>蒋青山</t>
  </si>
  <si>
    <t>41.28万</t>
  </si>
  <si>
    <t>7.44万</t>
  </si>
  <si>
    <t>宋辉</t>
  </si>
  <si>
    <t>董事会秘书,副总经理</t>
  </si>
  <si>
    <t>75.41万</t>
  </si>
  <si>
    <t>18.8万</t>
  </si>
  <si>
    <t/>
  </si>
  <si>
    <t>主要人员-工商登记</t>
  </si>
  <si>
    <t>该维度共9条数据</t>
  </si>
  <si>
    <t>黄文宝
受益所有人,实际控制人</t>
  </si>
  <si>
    <t>董事长</t>
  </si>
  <si>
    <t>0.8179%</t>
  </si>
  <si>
    <t>董事兼总经理</t>
  </si>
  <si>
    <t>汪晓兵</t>
  </si>
  <si>
    <t>0.4294%</t>
  </si>
  <si>
    <t>主要股东-最新公示</t>
  </si>
  <si>
    <t>该维度共10条数据</t>
  </si>
  <si>
    <t>股东名称</t>
  </si>
  <si>
    <t>股份类型</t>
  </si>
  <si>
    <t>间接持股比例</t>
  </si>
  <si>
    <t>占总股本比例</t>
  </si>
  <si>
    <t>增减情况</t>
  </si>
  <si>
    <t>持股变化</t>
  </si>
  <si>
    <t>关联投资机构</t>
  </si>
  <si>
    <t>关联项目品牌</t>
  </si>
  <si>
    <t>湖南华自控股集团有限公司</t>
  </si>
  <si>
    <t>流通A股</t>
  </si>
  <si>
    <t>84673031股</t>
  </si>
  <si>
    <t>21.24%</t>
  </si>
  <si>
    <t>不变</t>
  </si>
  <si>
    <t>华能自控</t>
  </si>
  <si>
    <t>中国建设银行股份有限公司-博时主题行业混合型证券投资基金（LOF）</t>
  </si>
  <si>
    <t>13998400股</t>
  </si>
  <si>
    <t>3.51%</t>
  </si>
  <si>
    <t>新进</t>
  </si>
  <si>
    <t>高盛公司有限责任公司</t>
  </si>
  <si>
    <t>3554440股</t>
  </si>
  <si>
    <t>0.89%</t>
  </si>
  <si>
    <t>-32.25%</t>
  </si>
  <si>
    <t>-1692119.0股</t>
  </si>
  <si>
    <t>流通A股, 限售流通A股</t>
  </si>
  <si>
    <t>3260870股</t>
  </si>
  <si>
    <t>贺宏伟</t>
  </si>
  <si>
    <t>2732200股</t>
  </si>
  <si>
    <t>0.69%</t>
  </si>
  <si>
    <t>国投证券股份有限公司-易方达国证新能源电池交易型开放式指数证券投资基金</t>
  </si>
  <si>
    <t>2739900股</t>
  </si>
  <si>
    <t>中国工商银行股份有限公司-圆信永丰高端制造混合型证券投资基金</t>
  </si>
  <si>
    <t>2680000股</t>
  </si>
  <si>
    <t>0.67%</t>
  </si>
  <si>
    <t>12.61%</t>
  </si>
  <si>
    <t>300000.0股</t>
  </si>
  <si>
    <t>前海大唐英加（深圳）基金管理有限公司-大唐英加白马十七号私募证券投资基金</t>
  </si>
  <si>
    <t>2620000股</t>
  </si>
  <si>
    <t>0.66%</t>
  </si>
  <si>
    <t>王新</t>
  </si>
  <si>
    <t>2439523股</t>
  </si>
  <si>
    <t>0.61%</t>
  </si>
  <si>
    <t>UBSAG</t>
  </si>
  <si>
    <t>2373899股</t>
  </si>
  <si>
    <t>0.60%</t>
  </si>
  <si>
    <t>-59.1%</t>
  </si>
  <si>
    <t>-3430937.0股</t>
  </si>
  <si>
    <t>主要股东-工商登记</t>
  </si>
  <si>
    <t>该维度共4条数据</t>
  </si>
  <si>
    <t>股东类型</t>
  </si>
  <si>
    <t>认缴出资额</t>
  </si>
  <si>
    <t>认缴出资日期</t>
  </si>
  <si>
    <t>实缴出资额</t>
  </si>
  <si>
    <t>实缴出资日期</t>
  </si>
  <si>
    <t>其他投资者</t>
  </si>
  <si>
    <t>其他</t>
  </si>
  <si>
    <t>77.5138%</t>
  </si>
  <si>
    <t>30902.4765万元人民币</t>
  </si>
  <si>
    <t>2024-10-30</t>
  </si>
  <si>
    <t>企业股东</t>
  </si>
  <si>
    <t>21.2388%</t>
  </si>
  <si>
    <t>8467.3031万元人民币</t>
  </si>
  <si>
    <t>2017-11-27</t>
  </si>
  <si>
    <t>自然人股东</t>
  </si>
  <si>
    <t>326.087万元人民币</t>
  </si>
  <si>
    <t>2016-05-12</t>
  </si>
  <si>
    <t>7.0842%</t>
  </si>
  <si>
    <t>171.2008万元人民币</t>
  </si>
  <si>
    <t>3.9418%</t>
  </si>
  <si>
    <t>对外投资</t>
  </si>
  <si>
    <t>该维度共8条数据</t>
  </si>
  <si>
    <t>被投资企业名称</t>
  </si>
  <si>
    <t>状态</t>
  </si>
  <si>
    <t>认缴出资额/持股数</t>
  </si>
  <si>
    <t>所属地区</t>
  </si>
  <si>
    <t>所属行业</t>
  </si>
  <si>
    <t>投资数量</t>
  </si>
  <si>
    <t>关联产品/机构</t>
  </si>
  <si>
    <t>湖南华自能源服务有限公司</t>
  </si>
  <si>
    <t>邓海军</t>
  </si>
  <si>
    <t>10000万人民币</t>
  </si>
  <si>
    <t>2016-11-08</t>
  </si>
  <si>
    <t>99%</t>
  </si>
  <si>
    <t>9900万元人民币</t>
  </si>
  <si>
    <t>2021-12-31</t>
  </si>
  <si>
    <t>1%</t>
  </si>
  <si>
    <t>湖南省长沙市</t>
  </si>
  <si>
    <t>科学研究和技术服务业</t>
  </si>
  <si>
    <t>9</t>
  </si>
  <si>
    <t>华自科技</t>
  </si>
  <si>
    <t>湖南坎普尔环保技术有限公司</t>
  </si>
  <si>
    <t>辛红林</t>
  </si>
  <si>
    <t>2019-01-15</t>
  </si>
  <si>
    <t>69.1377%</t>
  </si>
  <si>
    <t>6913.7691万元人民币</t>
  </si>
  <si>
    <t>2029-01-08</t>
  </si>
  <si>
    <t>制造业</t>
  </si>
  <si>
    <t>0</t>
  </si>
  <si>
    <t>深圳前海华自投资有限公司</t>
  </si>
  <si>
    <t>5000万人民币</t>
  </si>
  <si>
    <t>2016-03-21</t>
  </si>
  <si>
    <t>100%</t>
  </si>
  <si>
    <t>5000万元人民币</t>
  </si>
  <si>
    <t>2016-03-20</t>
  </si>
  <si>
    <t>广东省深圳市</t>
  </si>
  <si>
    <t>租赁和商务服务业</t>
  </si>
  <si>
    <t>57</t>
  </si>
  <si>
    <t>湖南省国际低碳技术交易中心有限公司</t>
  </si>
  <si>
    <t>盛桂珍</t>
  </si>
  <si>
    <t>2016-03-09</t>
  </si>
  <si>
    <t>12%</t>
  </si>
  <si>
    <t>1200万元人民币</t>
  </si>
  <si>
    <t>2018-04-18</t>
  </si>
  <si>
    <t>2</t>
  </si>
  <si>
    <t>国际低碳技术交易中心</t>
  </si>
  <si>
    <t>湖南省新型电力系统联研中心有限公司</t>
  </si>
  <si>
    <t>罗志坤</t>
  </si>
  <si>
    <t>1780万人民币</t>
  </si>
  <si>
    <t>2024-08-29</t>
  </si>
  <si>
    <t>11.236%</t>
  </si>
  <si>
    <t>200万元人民币</t>
  </si>
  <si>
    <t>2025-12-31</t>
  </si>
  <si>
    <t>电力、热力、燃气及水生产和供应业</t>
  </si>
  <si>
    <t>海南华自投资有限公司</t>
  </si>
  <si>
    <t>1000万人民币</t>
  </si>
  <si>
    <t>2021-09-03</t>
  </si>
  <si>
    <t>10万元人民币</t>
  </si>
  <si>
    <t>2029-10-23</t>
  </si>
  <si>
    <t>海南省三亚市</t>
  </si>
  <si>
    <t>17</t>
  </si>
  <si>
    <t>兰州华自科技有限公司</t>
  </si>
  <si>
    <t>注销</t>
  </si>
  <si>
    <t>600万人民币</t>
  </si>
  <si>
    <t>2013-07-11</t>
  </si>
  <si>
    <t>600万元人民币</t>
  </si>
  <si>
    <t>2013-07-09</t>
  </si>
  <si>
    <t>甘肃省兰州市</t>
  </si>
  <si>
    <t>信息传输、软件和信息技术服务业</t>
  </si>
  <si>
    <t>桂东中能建投新能源有限公司</t>
  </si>
  <si>
    <t>张铁军</t>
  </si>
  <si>
    <t>300万人民币</t>
  </si>
  <si>
    <t>2022-04-25</t>
  </si>
  <si>
    <t>5%</t>
  </si>
  <si>
    <t>15万元人民币</t>
  </si>
  <si>
    <t>2035-04-25</t>
  </si>
  <si>
    <t>湖南省郴州市</t>
  </si>
  <si>
    <t>受益所有人</t>
  </si>
  <si>
    <t>该维度共1条数据</t>
  </si>
  <si>
    <t>股权链</t>
  </si>
  <si>
    <t>7.9%</t>
  </si>
  <si>
    <t>股权路径1(占比约7.08%) 
黄文宝--&gt;33.35%--&gt;湖南华自控股集团有限公司--&gt;21.24%--&gt;华自科技股份有限公司
股权路径2(占比约0.82%) 
黄文宝--&gt;0.82%--&gt;华自科技股份有限公司</t>
  </si>
  <si>
    <t>变更记录</t>
  </si>
  <si>
    <t>该维度共46条数据</t>
  </si>
  <si>
    <t>变更日期</t>
  </si>
  <si>
    <t>变更项目</t>
  </si>
  <si>
    <t>变更前</t>
  </si>
  <si>
    <t>变更后</t>
  </si>
  <si>
    <t>2025-12-17</t>
  </si>
  <si>
    <t>高级管理人员备案（董事、监事、经理等）</t>
  </si>
  <si>
    <t xml:space="preserve">曾德明
苗洪雷
凌志雄
佘朋鲋
夏权
汪晓兵
袁江锋
黄明辉
黄文宝
</t>
  </si>
  <si>
    <t xml:space="preserve">佘朋鲋
汪晓兵
黄明辉
袁江锋
苗洪雷
凌志雄
夏权
曾德明
黄文宝
</t>
  </si>
  <si>
    <t>章程备案</t>
  </si>
  <si>
    <t xml:space="preserve">无
</t>
  </si>
  <si>
    <t xml:space="preserve">2025-05-12公司新章程
</t>
  </si>
  <si>
    <t xml:space="preserve">2024-12-16公司新章程
</t>
  </si>
  <si>
    <t>注册资本变更</t>
  </si>
  <si>
    <t xml:space="preserve">39621.2074万人民币
</t>
  </si>
  <si>
    <t xml:space="preserve">39867.067400万人民币（ + 0.62053% ）
</t>
  </si>
  <si>
    <t>2024-02-05</t>
  </si>
  <si>
    <t xml:space="preserve">2024-02-04公司新章程。
</t>
  </si>
  <si>
    <t>2023-11-28</t>
  </si>
  <si>
    <t xml:space="preserve">夏权
汪晓兵
曾德明
佘朋鲋
黄珺  【退出】
苗洪雷
黄明辉
袁江锋
黄文宝
</t>
  </si>
  <si>
    <t xml:space="preserve">苗洪雷
黄文宝
黄明辉
曾德明
夏权
佘朋鲋
袁江锋
汪晓兵
凌志雄  【新进】
</t>
  </si>
  <si>
    <t xml:space="preserve">胡兰芳
钮键
胡浩  【退出】
</t>
  </si>
  <si>
    <t xml:space="preserve">钮键
胡兰芳
张为民  【新进】
</t>
  </si>
  <si>
    <t xml:space="preserve">39419.3274万人民币
</t>
  </si>
  <si>
    <t xml:space="preserve">39621.207400万人民币（ + 0.51213% ）
</t>
  </si>
  <si>
    <t>地址变更</t>
  </si>
  <si>
    <t xml:space="preserve">长沙高新开发区麓谷麓松路609号
</t>
  </si>
  <si>
    <t xml:space="preserve">2023-09-15公司新章程
</t>
  </si>
  <si>
    <t>2023-07-11</t>
  </si>
  <si>
    <t xml:space="preserve">苗洪雷
夏权
曾德明
袁江锋
金维宇  【退出】
黄文宝
黄珺
佘朋鲋
汪晓兵
</t>
  </si>
  <si>
    <t xml:space="preserve">佘朋鲋
汪晓兵
苗洪雷
夏权
黄明辉  【新进】
黄珺
袁江锋
曾德明
黄文宝
</t>
  </si>
  <si>
    <t xml:space="preserve">2023-05-12公司新章程
</t>
  </si>
  <si>
    <t xml:space="preserve">32782.4407万人民币
</t>
  </si>
  <si>
    <t xml:space="preserve">39419.327400万人民币（ + 20.24525% ）
</t>
  </si>
  <si>
    <t>2023-01-16</t>
  </si>
  <si>
    <t xml:space="preserve">佘朋鲋
袁江锋
苗洪雷
汪晓兵
黄文宝
黄珺
颜勇  【退出】
金维宇
曾德明
</t>
  </si>
  <si>
    <t xml:space="preserve">金维宇
黄文宝
汪晓兵
黄珺
佘朋鲋
袁江锋
曾德明
苗洪雷
夏权  【新进】
</t>
  </si>
  <si>
    <t xml:space="preserve">2022-04-26公司新章程
</t>
  </si>
  <si>
    <t>2022-03-08</t>
  </si>
  <si>
    <t xml:space="preserve">25617.1546万人民币
</t>
  </si>
  <si>
    <t xml:space="preserve">32782.440700万人民币（ + 27.97066% ）
</t>
  </si>
  <si>
    <t xml:space="preserve">2022-02-08公司新章程
</t>
  </si>
  <si>
    <t>2021-05-19</t>
  </si>
  <si>
    <t xml:space="preserve">2021-04-20章程备案
</t>
  </si>
  <si>
    <t>2020-11-26</t>
  </si>
  <si>
    <t xml:space="preserve">胡兰芳
邓海军  【退出】
胡浩
</t>
  </si>
  <si>
    <t xml:space="preserve">胡浩
钮键  【新进】
胡兰芳
</t>
  </si>
  <si>
    <t xml:space="preserve">2020-09-15章程
</t>
  </si>
  <si>
    <t xml:space="preserve">26181.8005万人民币
</t>
  </si>
  <si>
    <t xml:space="preserve">25617.154600万人民币（ - 2.15664% ）
</t>
  </si>
  <si>
    <t xml:space="preserve">汪晓兵
白云  【退出】
佘朋鲋
黄文宝
凌志雄  【退出】
袁江锋
柴艺娜  【退出】
曾祥君  【退出】
颜勇
</t>
  </si>
  <si>
    <t xml:space="preserve">汪晓兵
黄文宝
黄珺  【新进】
袁江锋
金维宇  【新进】
苗洪雷  【新进】
曾德明  【新进】
佘朋鲋
颜勇
</t>
  </si>
  <si>
    <t>2019-10-14</t>
  </si>
  <si>
    <t>财务负责人</t>
  </si>
  <si>
    <t xml:space="preserve">陈红飞 ***
</t>
  </si>
  <si>
    <t xml:space="preserve">26193.9805万人民币
</t>
  </si>
  <si>
    <t xml:space="preserve">26181.800500万人民币（ - 0.0465% ）
</t>
  </si>
  <si>
    <t xml:space="preserve">2019-07-25章程
</t>
  </si>
  <si>
    <t>2019-03-01</t>
  </si>
  <si>
    <t xml:space="preserve">2019-01-12新章程
</t>
  </si>
  <si>
    <t>经营范围变更</t>
  </si>
  <si>
    <t xml:space="preserve">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新能源汽车充（放）电桩、储能电站及储能系统的设计、研发、销售、建设、运营、技术咨询及服务；自营和代理各类商品和技术的进出口。（依法须经批准的项目，经相关部门批准后方可开展经营活动）
</t>
  </si>
  <si>
    <t xml:space="preserve">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
</t>
  </si>
  <si>
    <t xml:space="preserve">汪晓兵  【退出】
</t>
  </si>
  <si>
    <t xml:space="preserve">佘朋鲋  【新进】
</t>
  </si>
  <si>
    <t>2018-12-26</t>
  </si>
  <si>
    <t xml:space="preserve">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自营和代理各类商品和技术的进出口。（依法须经批准的项目，经相关部门批准后方可开展经营活动）
</t>
  </si>
  <si>
    <t xml:space="preserve">2018-10-25注册资本、经营范围变更及章程备案。
</t>
  </si>
  <si>
    <t xml:space="preserve">22858.6627万人民币
</t>
  </si>
  <si>
    <t xml:space="preserve">26193.980500万人民币（ + 14.59105% ）
</t>
  </si>
  <si>
    <t>2018-06-22</t>
  </si>
  <si>
    <t xml:space="preserve">20000万人民币
</t>
  </si>
  <si>
    <t xml:space="preserve">22858.662700万人民币（ + 14.29331% ）
</t>
  </si>
  <si>
    <t xml:space="preserve">2018-04-20新章程
</t>
  </si>
  <si>
    <t>2017-12-07</t>
  </si>
  <si>
    <t xml:space="preserve">白云
柴艺娜
凌志雄
邓海军  【退出】
桂卫华  【退出】
何宇飞  【退出】
喻江南  【退出】
汪晓兵
黄文宝
</t>
  </si>
  <si>
    <t xml:space="preserve">柴艺娜
白云
凌志雄
汪晓兵
黄文宝
颜勇  【新进】
佘朋鲋  【新进】
袁江锋  【新进】
曾祥君  【新进】
</t>
  </si>
  <si>
    <t xml:space="preserve">胡浩
郭旭东  【退出】
胡兰芳
</t>
  </si>
  <si>
    <t xml:space="preserve">胡浩
胡兰芳
邓海军  【新进】
</t>
  </si>
  <si>
    <t>2017-08-04</t>
  </si>
  <si>
    <t xml:space="preserve">胡兰芳
秦朝晖  【退出】
郭旭东
</t>
  </si>
  <si>
    <t xml:space="preserve">郭旭东
胡兰芳
胡浩  【新进】
</t>
  </si>
  <si>
    <t>2017-02-07</t>
  </si>
  <si>
    <t xml:space="preserve">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需备案）；电力设施承装、承修、承试（四级，许可证有效期至2016年12月16日）；凭本企业资质从事电力工程、水利水电工程施工；自营和代理各类商品和技术的进出口（国家限定公司经营或禁止进出口的商品和技术除外）。
</t>
  </si>
  <si>
    <t>2016-11-28</t>
  </si>
  <si>
    <t>分公司/分支机构备案</t>
  </si>
  <si>
    <t xml:space="preserve">华自科技股份有限公司北京分公司 ;
</t>
  </si>
  <si>
    <t>2016-05-26</t>
  </si>
  <si>
    <t xml:space="preserve">10000万人民币
</t>
  </si>
  <si>
    <t xml:space="preserve">20000.0000万人民币（ + 100% ）
</t>
  </si>
  <si>
    <t xml:space="preserve">汪晓兵
凌志雄
战颖  【退出】
黄文宝
袁志敏  【退出】
喻江南
邓海军
白云
桂卫华
</t>
  </si>
  <si>
    <t xml:space="preserve">桂卫华
喻江南
黄文宝
汪晓兵
凌志雄
白云
邓海军
柴艺娜  【新进】
何宇飞  【新进】
</t>
  </si>
  <si>
    <t>2016-03-28</t>
  </si>
  <si>
    <t xml:space="preserve">郭旭东
胡兰芳
廖广南  【退出】
</t>
  </si>
  <si>
    <t xml:space="preserve">胡兰芳
郭旭东
秦朝晖  【新进】
</t>
  </si>
  <si>
    <t xml:space="preserve">黄文宝
汪晓兵
战颖
皮解放  【退出】
白云
邓海军
桂卫华
袁志敏
喻江南
</t>
  </si>
  <si>
    <t xml:space="preserve">黄文宝
邓海军
汪晓兵
战颖
喻江南
白云
袁志敏
桂卫华
凌志雄  【新进】
</t>
  </si>
  <si>
    <t>2016-01-18</t>
  </si>
  <si>
    <t xml:space="preserve">7500万人民币
</t>
  </si>
  <si>
    <t xml:space="preserve">10000.0000万人民币（ + 33.33333% ）
</t>
  </si>
  <si>
    <t>市场主体类型变更</t>
  </si>
  <si>
    <t xml:space="preserve">股份有限公司(非上市、自然人投资或控股)
</t>
  </si>
  <si>
    <t xml:space="preserve">股份有限公司(上市、自然人投资或控股)
</t>
  </si>
  <si>
    <t xml:space="preserve">2016-01-15新章程
</t>
  </si>
  <si>
    <t>企业年报</t>
  </si>
  <si>
    <t>华自科技股份有限公司2025年度报告</t>
  </si>
  <si>
    <t>(发布日期:2026年06月24日)</t>
  </si>
  <si>
    <t>统一社会信用代码/注册号</t>
  </si>
  <si>
    <t>企业联系电话</t>
  </si>
  <si>
    <t>0731-88238888</t>
  </si>
  <si>
    <t>邮政编码</t>
  </si>
  <si>
    <t>410205</t>
  </si>
  <si>
    <t>企业经营状态</t>
  </si>
  <si>
    <t>开业</t>
  </si>
  <si>
    <t>从业人数</t>
  </si>
  <si>
    <t>企业选择不公示</t>
  </si>
  <si>
    <t>电子邮箱</t>
  </si>
  <si>
    <t>hnac@cshnac.com</t>
  </si>
  <si>
    <t>是否有网站或网店</t>
  </si>
  <si>
    <t>是</t>
  </si>
  <si>
    <t>企业通信地址</t>
  </si>
  <si>
    <t>企业是否有投资信息
或购买其他公司股权</t>
  </si>
  <si>
    <t>网站或网店信息</t>
  </si>
  <si>
    <t>类型</t>
  </si>
  <si>
    <t>名称</t>
  </si>
  <si>
    <t>网址</t>
  </si>
  <si>
    <t>网站</t>
  </si>
  <si>
    <t>https://www.cshnac.com/</t>
  </si>
  <si>
    <t>股东及出资信息</t>
  </si>
  <si>
    <t>股东</t>
  </si>
  <si>
    <t>认缴出资方式</t>
  </si>
  <si>
    <t>实缴出资方式</t>
  </si>
  <si>
    <t>326.087万元</t>
  </si>
  <si>
    <t>货币,其他</t>
  </si>
  <si>
    <t>8467.3031万元</t>
  </si>
  <si>
    <t>货币,实物,知识产权,土地使用权,股权,其他</t>
  </si>
  <si>
    <t>30902.4765万元</t>
  </si>
  <si>
    <t>货币,股权,其他</t>
  </si>
  <si>
    <t>171.2008万元</t>
  </si>
  <si>
    <t>股权变更信息</t>
  </si>
  <si>
    <t>企业资产状况信息</t>
  </si>
  <si>
    <t>资产总额</t>
  </si>
  <si>
    <t>所有者权益合计</t>
  </si>
  <si>
    <t>销售总额</t>
  </si>
  <si>
    <t>利润总额</t>
  </si>
  <si>
    <t>营业总收入中主营业务收入</t>
  </si>
  <si>
    <t>净利润</t>
  </si>
  <si>
    <t>纳税总额</t>
  </si>
  <si>
    <t>负债总额</t>
  </si>
  <si>
    <t>年报-对外投资</t>
  </si>
  <si>
    <t>注册号/统一社会信用代码</t>
  </si>
  <si>
    <t>对外投资企业名称</t>
  </si>
  <si>
    <t>社保信息</t>
  </si>
  <si>
    <t>城镇职工基本养老保险</t>
  </si>
  <si>
    <t>717人</t>
  </si>
  <si>
    <t>职工基本医疗保险</t>
  </si>
  <si>
    <t>718人</t>
  </si>
  <si>
    <t>生育保险</t>
  </si>
  <si>
    <t>失业保险</t>
  </si>
  <si>
    <t>工伤保险</t>
  </si>
  <si>
    <t>740人</t>
  </si>
  <si>
    <t>单位缴费基数</t>
  </si>
  <si>
    <t>单位参加城镇职工基本养老保险缴费基数</t>
  </si>
  <si>
    <t>单位参加失业保险缴费基数</t>
  </si>
  <si>
    <t>单位参加职工基本医疗保险缴费基数</t>
  </si>
  <si>
    <t>单位参加生育保险缴费基数</t>
  </si>
  <si>
    <t>本期实际缴费金额</t>
  </si>
  <si>
    <t>参加城镇职工基本养老保险本期实际缴费金额</t>
  </si>
  <si>
    <t>参加失业保险本期实际缴费金额</t>
  </si>
  <si>
    <t>参加职工基本医疗保险本期实际缴费金额</t>
  </si>
  <si>
    <t>参加工伤保险本期实际缴费金额</t>
  </si>
  <si>
    <t>参加生育保险本期实际缴费金额</t>
  </si>
  <si>
    <t>单位累计欠缴金额</t>
  </si>
  <si>
    <t>单位参加城镇职工基本养老保险累计欠缴金额</t>
  </si>
  <si>
    <t>单位参加失业保险累计欠缴金额</t>
  </si>
  <si>
    <t>单位参加职工基本医疗保险累计欠缴金额</t>
  </si>
  <si>
    <t>单位参加工伤保险累计欠缴金额</t>
  </si>
  <si>
    <t>单位参加生育保险累计欠缴金额</t>
  </si>
  <si>
    <t>分支机构</t>
  </si>
  <si>
    <t>该维度共3条数据</t>
  </si>
  <si>
    <t>负责人</t>
  </si>
  <si>
    <t>地区</t>
  </si>
  <si>
    <t>华自科技股份有限公司河北雄安分公司</t>
  </si>
  <si>
    <t>谭志奇</t>
  </si>
  <si>
    <t>河北省保定市容城县</t>
  </si>
  <si>
    <t>2022-08-15</t>
  </si>
  <si>
    <t>华自科技股份有限公司浙江分公司</t>
  </si>
  <si>
    <t>李满玉</t>
  </si>
  <si>
    <t>浙江省杭州市上城区</t>
  </si>
  <si>
    <t>2022-04-06</t>
  </si>
  <si>
    <t>华自科技股份有限公司北京分公司</t>
  </si>
  <si>
    <t>李金</t>
  </si>
  <si>
    <t>北京市北京市丰台区</t>
  </si>
  <si>
    <t>2016-10-18</t>
  </si>
  <si>
    <t>总公司</t>
  </si>
  <si>
    <t>企业公示股东及出资信息</t>
  </si>
  <si>
    <t>股东（发起人）</t>
  </si>
  <si>
    <t>15618.3729万元
9106.7029万元
6348.6015万元</t>
  </si>
  <si>
    <t>2024-12-10
2021-11-18
2017-09-25</t>
  </si>
  <si>
    <t>3793.3901万元
373.913万元
203.9282万元
2370.104万元
925.9678万元
800万元</t>
  </si>
  <si>
    <t>2016-05-12
2011-08-30
2009-12-01
2009-12-01
2009-12-01
2009-12-01</t>
  </si>
  <si>
    <t>163.0435万元
13.0435万元
150万元</t>
  </si>
  <si>
    <t>2016-05-12
2011-08-30
2010-06-29</t>
  </si>
  <si>
    <t>企业公示股权变更信息</t>
  </si>
  <si>
    <t>该维度共22条数据</t>
  </si>
  <si>
    <t>变更前股权比例</t>
  </si>
  <si>
    <t>变更后股权比例</t>
  </si>
  <si>
    <t>股权变更日期</t>
  </si>
  <si>
    <t>公示日期</t>
  </si>
  <si>
    <t>40.99%</t>
  </si>
  <si>
    <t>64.87%</t>
  </si>
  <si>
    <t>2021-11-18</t>
  </si>
  <si>
    <t>2016-09-29</t>
  </si>
  <si>
    <t>长沙华能自控集团有限公司</t>
  </si>
  <si>
    <t>38.05%</t>
  </si>
  <si>
    <t>27.64%</t>
  </si>
  <si>
    <t>广州诚信创业投资有限公司</t>
  </si>
  <si>
    <t>5.94%</t>
  </si>
  <si>
    <t>3.29%</t>
  </si>
  <si>
    <t>1.27%</t>
  </si>
  <si>
    <t>0.99%</t>
  </si>
  <si>
    <t>格然特科技（湖州）有限公司</t>
  </si>
  <si>
    <t>1.91%</t>
  </si>
  <si>
    <t>0.7%</t>
  </si>
  <si>
    <t>郭旭东</t>
  </si>
  <si>
    <t>0.54%</t>
  </si>
  <si>
    <t>李洪波</t>
  </si>
  <si>
    <t>1.09%</t>
  </si>
  <si>
    <t>0.36%</t>
  </si>
  <si>
    <t>喻江南</t>
  </si>
  <si>
    <t>0.37%</t>
  </si>
  <si>
    <t>0.29%</t>
  </si>
  <si>
    <t>毛秀红</t>
  </si>
  <si>
    <t>0.48%</t>
  </si>
  <si>
    <t>0.16%</t>
  </si>
  <si>
    <t>0.18%</t>
  </si>
  <si>
    <t>0.1%</t>
  </si>
  <si>
    <t>周艾</t>
  </si>
  <si>
    <t>0.22%</t>
  </si>
  <si>
    <t>胡浩</t>
  </si>
  <si>
    <t>0.08%</t>
  </si>
  <si>
    <t>熊兰</t>
  </si>
  <si>
    <t>0.19%</t>
  </si>
  <si>
    <t>0.06%</t>
  </si>
  <si>
    <t>0.0%</t>
  </si>
  <si>
    <t>0.11%</t>
  </si>
  <si>
    <t>长沙华自投资管理有限公司</t>
  </si>
  <si>
    <t>1.7%</t>
  </si>
  <si>
    <t>珠海华鸿景甫创业投资企业（有限合伙）</t>
  </si>
  <si>
    <t>上海乐洋创业投资中心（有限合伙）</t>
  </si>
  <si>
    <t>0.03%</t>
  </si>
  <si>
    <t>玄元（横琴）股权投资有限公司</t>
  </si>
  <si>
    <t>1.8%</t>
  </si>
  <si>
    <t>2019-01-10</t>
  </si>
  <si>
    <t>上海含德股权投资基金管理有限公司</t>
  </si>
  <si>
    <t>0.6%</t>
  </si>
  <si>
    <t>江苏新华沣裕资本管理有限公司</t>
  </si>
  <si>
    <t>3.2%</t>
  </si>
  <si>
    <t>建筑资质</t>
  </si>
  <si>
    <t>发证日期</t>
  </si>
  <si>
    <t>证书有效期</t>
  </si>
  <si>
    <t>资质类别</t>
  </si>
  <si>
    <t>资质证书号</t>
  </si>
  <si>
    <t>资质名称</t>
  </si>
  <si>
    <t>发证机关</t>
  </si>
  <si>
    <t>2026-04-03</t>
  </si>
  <si>
    <t>2029-08-16</t>
  </si>
  <si>
    <t>建筑业企业资质</t>
  </si>
  <si>
    <t>D243023479</t>
  </si>
  <si>
    <t>输变电工程专业承包二级,市政公用工程施工总承包二级,电子与智能化工程专业承包一级,水利水电机电安装工程专业承包二级,环保工程专业承包一级</t>
  </si>
  <si>
    <t>湖南省住房和城乡建设厅</t>
  </si>
  <si>
    <t>2025-07-07</t>
  </si>
  <si>
    <t>2030-06-13</t>
  </si>
  <si>
    <t>D143143237</t>
  </si>
  <si>
    <t>电力工程施工总承包一级,机电工程施工总承包一级</t>
  </si>
  <si>
    <t>住房和城乡建设部</t>
  </si>
  <si>
    <t>2024-10-21</t>
  </si>
  <si>
    <t>2029-10-15</t>
  </si>
  <si>
    <t>设计资质</t>
  </si>
  <si>
    <t>A243016123</t>
  </si>
  <si>
    <t>工程设计环境工程专项（水污染防治工程）乙级</t>
  </si>
  <si>
    <t>声‬‭‬‬‬‭‬‬‭‭‭‬‬‬明：本报告内容是天眼查接受您的委托，查询公开信息所得结果。天眼查不对该查询结果的全面、准确、真实性负责。本报告应仅为您的决策提供参考。因使用该报告而产生的任何后果，天眼查概不负责。
查公司 查老板 查关系 就用天眼查 联系电话：400 - 608 - 0000 了解更多请登录：www.tianyancha.co‭‬‭‭‭‭‬‬‭‭‬‭‭‭‭‬‬m</t>
  </si>
  <si>
    <t>基本信息</t>
  </si>
  <si>
    <t>上市日期</t>
  </si>
  <si>
    <t>2015-12-31</t>
  </si>
  <si>
    <t>股票简称</t>
  </si>
  <si>
    <t>股票代码</t>
  </si>
  <si>
    <t>300490</t>
  </si>
  <si>
    <t>上市交易所</t>
  </si>
  <si>
    <t>深交所创业板</t>
  </si>
  <si>
    <t>上市板块</t>
  </si>
  <si>
    <t>创业板</t>
  </si>
  <si>
    <t>总市值</t>
  </si>
  <si>
    <t>47.4亿元</t>
  </si>
  <si>
    <t>总股本</t>
  </si>
  <si>
    <t>3.96亿</t>
  </si>
  <si>
    <t>预测市盈率</t>
  </si>
  <si>
    <t>14.275</t>
  </si>
  <si>
    <t>流通值</t>
  </si>
  <si>
    <t>46.76亿元</t>
  </si>
  <si>
    <t>流通股</t>
  </si>
  <si>
    <t>3.89亿</t>
  </si>
  <si>
    <t>市净率</t>
  </si>
  <si>
    <t>2.130</t>
  </si>
  <si>
    <t>EPS</t>
  </si>
  <si>
    <t>-0.09</t>
  </si>
  <si>
    <t>企业简介</t>
  </si>
  <si>
    <t>公司全称</t>
  </si>
  <si>
    <t>英文名称</t>
  </si>
  <si>
    <t>Hnac Technology Co.,Ltd.</t>
  </si>
  <si>
    <t>上市曾用名</t>
  </si>
  <si>
    <t>工商登记</t>
  </si>
  <si>
    <t>39867.067万人民币</t>
  </si>
  <si>
    <t>电力设备 — 其他电源设备Ⅱ</t>
  </si>
  <si>
    <t xml:space="preserve"> 黄文宝</t>
  </si>
  <si>
    <t>董秘</t>
  </si>
  <si>
    <t xml:space="preserve"> 宋辉</t>
  </si>
  <si>
    <t>总经理</t>
  </si>
  <si>
    <t xml:space="preserve"> 佘朋鲋</t>
  </si>
  <si>
    <t>员工人数</t>
  </si>
  <si>
    <t>1975</t>
  </si>
  <si>
    <t>管理人员人数</t>
  </si>
  <si>
    <t>13</t>
  </si>
  <si>
    <t>控股股东</t>
  </si>
  <si>
    <t>湖南华自控股集团有限公司（持有华自科技股份有限公司股份比例：21.24%）</t>
  </si>
  <si>
    <t>实际控制人</t>
  </si>
  <si>
    <t>黄文宝（持有华自科技股份有限公司股份比例：7.90%）</t>
  </si>
  <si>
    <t>最终控制人</t>
  </si>
  <si>
    <t>主营业务</t>
  </si>
  <si>
    <t>自动化及信息化产品与服务、新能源及智能装备、环保与水处理产品及服务。</t>
  </si>
  <si>
    <t>证券信息</t>
  </si>
  <si>
    <t>A股代码</t>
  </si>
  <si>
    <t>B股代码</t>
  </si>
  <si>
    <t>H股代码</t>
  </si>
  <si>
    <t>A股简称</t>
  </si>
  <si>
    <t>B股简称</t>
  </si>
  <si>
    <t>H股简称</t>
  </si>
  <si>
    <t>证券类别</t>
  </si>
  <si>
    <t>深交所创业板A股</t>
  </si>
  <si>
    <t>律师事务所</t>
  </si>
  <si>
    <t>湖南启元律师事务所</t>
  </si>
  <si>
    <t>会计师事务所</t>
  </si>
  <si>
    <t>中审众环会计师事务所（特殊普通合伙）</t>
  </si>
  <si>
    <t>重要人员</t>
  </si>
  <si>
    <t>曾德明,凌志雄,黄明辉</t>
  </si>
  <si>
    <t>证券事务代表</t>
  </si>
  <si>
    <t>卢志娟</t>
  </si>
  <si>
    <t>联系信息</t>
  </si>
  <si>
    <t>联系电话</t>
  </si>
  <si>
    <t>sh@cshnac.com</t>
  </si>
  <si>
    <t>传真</t>
  </si>
  <si>
    <t>0731-88907777</t>
  </si>
  <si>
    <t>公司网址</t>
  </si>
  <si>
    <t>www.cshnac.com</t>
  </si>
  <si>
    <t>区域</t>
  </si>
  <si>
    <t>湖南省</t>
  </si>
  <si>
    <t>办公地址</t>
  </si>
  <si>
    <t>湖南省长沙高新开发区麓谷麓松路609号</t>
  </si>
  <si>
    <t>董监高信息</t>
  </si>
  <si>
    <t>董事会</t>
  </si>
  <si>
    <t>年龄</t>
  </si>
  <si>
    <t>1</t>
  </si>
  <si>
    <t>59</t>
  </si>
  <si>
    <t>51</t>
  </si>
  <si>
    <t>3</t>
  </si>
  <si>
    <t>63</t>
  </si>
  <si>
    <t>4</t>
  </si>
  <si>
    <t>56</t>
  </si>
  <si>
    <t>5</t>
  </si>
  <si>
    <t>47</t>
  </si>
  <si>
    <t>6</t>
  </si>
  <si>
    <t>7</t>
  </si>
  <si>
    <t>50</t>
  </si>
  <si>
    <t>8</t>
  </si>
  <si>
    <t>34</t>
  </si>
  <si>
    <t>68</t>
  </si>
  <si>
    <t>监事会</t>
  </si>
  <si>
    <t>高管</t>
  </si>
  <si>
    <t>52</t>
  </si>
  <si>
    <t>44</t>
  </si>
  <si>
    <t>49</t>
  </si>
  <si>
    <t>参股控股</t>
  </si>
  <si>
    <t>该维度共67条数据，此次为您导出50条</t>
  </si>
  <si>
    <t>关联公司</t>
  </si>
  <si>
    <t>参股关系</t>
  </si>
  <si>
    <t>参股比例</t>
  </si>
  <si>
    <t>投资金额</t>
  </si>
  <si>
    <t>被参股公司净利润</t>
  </si>
  <si>
    <t>是否报表合并</t>
  </si>
  <si>
    <t>被参股公司主营业务</t>
  </si>
  <si>
    <t>北京坎普尔环保技术有限公司</t>
  </si>
  <si>
    <t>孙公司</t>
  </si>
  <si>
    <t>100.00%</t>
  </si>
  <si>
    <t>152.87万元</t>
  </si>
  <si>
    <t>未披露</t>
  </si>
  <si>
    <t>水污染治理</t>
  </si>
  <si>
    <t>深圳市易联通软件有限公司</t>
  </si>
  <si>
    <t>其他软件开发</t>
  </si>
  <si>
    <t>子公司</t>
  </si>
  <si>
    <t>5086.91万元</t>
  </si>
  <si>
    <t>投资及投资服务</t>
  </si>
  <si>
    <t>宁乡田坪水电经营有限公司</t>
  </si>
  <si>
    <t>五金零售</t>
  </si>
  <si>
    <t>常德华自能源服务有限公司</t>
  </si>
  <si>
    <t>新能源技术推广服务</t>
  </si>
  <si>
    <t>长沙华自绿色能源管理合伙企业（有限合伙）</t>
  </si>
  <si>
    <t>其他组织管理服务</t>
  </si>
  <si>
    <t>长沙泉能新能源有限公司</t>
  </si>
  <si>
    <t>其他电力生产</t>
  </si>
  <si>
    <t>海南华自私募基金管理有限公司</t>
  </si>
  <si>
    <t>投资与资产管理</t>
  </si>
  <si>
    <t>湖南思尔新能源科技有限公司</t>
  </si>
  <si>
    <t>其他未列明专业技术服务业</t>
  </si>
  <si>
    <t>10</t>
  </si>
  <si>
    <t>华自格兰特环保科技（北京）有限公司</t>
  </si>
  <si>
    <t>3.55亿元</t>
  </si>
  <si>
    <t>3133.33万元</t>
  </si>
  <si>
    <t>环保设备销售及水处理工程服务</t>
  </si>
  <si>
    <t>11</t>
  </si>
  <si>
    <t>桂阳桂能新能源有限公司</t>
  </si>
  <si>
    <t>12</t>
  </si>
  <si>
    <t>洪江升能新能源有限公司</t>
  </si>
  <si>
    <t>节能技术推广服务</t>
  </si>
  <si>
    <t>湖南湘华储能科技有限公司</t>
  </si>
  <si>
    <t>11.03万元</t>
  </si>
  <si>
    <t>锂离子电池制造</t>
  </si>
  <si>
    <t>14</t>
  </si>
  <si>
    <t>衡南麓雁新能源有限公司</t>
  </si>
  <si>
    <t>15</t>
  </si>
  <si>
    <t>长沙桂能新能源有限公司</t>
  </si>
  <si>
    <t>其他技术推广服务</t>
  </si>
  <si>
    <t>16</t>
  </si>
  <si>
    <t>长沙雁能新能源有限公司</t>
  </si>
  <si>
    <t>深圳华自清洁能源有限公司</t>
  </si>
  <si>
    <t>其他未列明批发业</t>
  </si>
  <si>
    <t>18</t>
  </si>
  <si>
    <t>深圳市精实机电科技有限公司</t>
  </si>
  <si>
    <t>3.82亿元</t>
  </si>
  <si>
    <t>-1001.71万元</t>
  </si>
  <si>
    <t>锂电池自动化生产线后端设备的研发、...</t>
  </si>
  <si>
    <t>19</t>
  </si>
  <si>
    <t>华自国际（香港）有限公司</t>
  </si>
  <si>
    <t>520.50万元</t>
  </si>
  <si>
    <t>投资、贸易</t>
  </si>
  <si>
    <t>20</t>
  </si>
  <si>
    <t>格蓝特环保工程（北京）有限公司</t>
  </si>
  <si>
    <t>122.59万元</t>
  </si>
  <si>
    <t>环保工程施工</t>
  </si>
  <si>
    <t>21</t>
  </si>
  <si>
    <t>永州卓能新能源有限公司</t>
  </si>
  <si>
    <t>22</t>
  </si>
  <si>
    <t>长沙市德能新能源有限公司</t>
  </si>
  <si>
    <t>其他未列明制造业</t>
  </si>
  <si>
    <t>23</t>
  </si>
  <si>
    <t>1.00亿元</t>
  </si>
  <si>
    <t>-978.38万元</t>
  </si>
  <si>
    <t>充电站充电服务</t>
  </si>
  <si>
    <t>24</t>
  </si>
  <si>
    <t>华自国际电力产业（柬埔寨）有限公司</t>
  </si>
  <si>
    <t>25</t>
  </si>
  <si>
    <t>深圳市鸿达新信息技术合伙企业（有限合伙）</t>
  </si>
  <si>
    <t>99.00%</t>
  </si>
  <si>
    <t>26</t>
  </si>
  <si>
    <t>共青城华自卓创共赢投资合伙企业（有限合伙）</t>
  </si>
  <si>
    <t>27</t>
  </si>
  <si>
    <t>共青城华达共创投资合伙企业（有限合伙）</t>
  </si>
  <si>
    <t>28</t>
  </si>
  <si>
    <t>城步善能新能源有限责任公司</t>
  </si>
  <si>
    <t>96.20%</t>
  </si>
  <si>
    <t>-1981.91万元</t>
  </si>
  <si>
    <t>29</t>
  </si>
  <si>
    <t>共青城华浙共创投资合伙企业（有限合伙）</t>
  </si>
  <si>
    <t>94.38%</t>
  </si>
  <si>
    <t>30</t>
  </si>
  <si>
    <t>共青城华粤共创投资合伙企业（有限合伙）</t>
  </si>
  <si>
    <t>90.00%</t>
  </si>
  <si>
    <t>31</t>
  </si>
  <si>
    <t>共青城华鄂共创投资合伙企业（有限合伙）</t>
  </si>
  <si>
    <t>32</t>
  </si>
  <si>
    <t>长沙精实机电科技有限公司</t>
  </si>
  <si>
    <t>82.40%</t>
  </si>
  <si>
    <t>17.26万元</t>
  </si>
  <si>
    <t>工程和技术研究和试验发展</t>
  </si>
  <si>
    <t>33</t>
  </si>
  <si>
    <t>湖北精实机电科技有限公司</t>
  </si>
  <si>
    <t>154.14万元</t>
  </si>
  <si>
    <t>-3151.24万元</t>
  </si>
  <si>
    <t>锂电池自动化生产线后端设备生产和销售</t>
  </si>
  <si>
    <t>湖南华自运维科技服务有限公司</t>
  </si>
  <si>
    <t>103.01万元</t>
  </si>
  <si>
    <t>35</t>
  </si>
  <si>
    <t>湖南格莱特新能源发展有限公司</t>
  </si>
  <si>
    <t>80.00%</t>
  </si>
  <si>
    <t>243.91万元</t>
  </si>
  <si>
    <t>1049.20万元</t>
  </si>
  <si>
    <t>太阳能、风力发电服务及光伏设备销售</t>
  </si>
  <si>
    <t>36</t>
  </si>
  <si>
    <t>湖南亿瑞新能源科技有限公司</t>
  </si>
  <si>
    <t>自然科学研究和试验发展</t>
  </si>
  <si>
    <t>37</t>
  </si>
  <si>
    <t>长沙忆特光伏发电有限责任公司</t>
  </si>
  <si>
    <t>79.20%</t>
  </si>
  <si>
    <t>其他未列明建筑业</t>
  </si>
  <si>
    <t>38</t>
  </si>
  <si>
    <t>华自运维服务（广东）有限公司</t>
  </si>
  <si>
    <t>79.04%</t>
  </si>
  <si>
    <t>7.06万元</t>
  </si>
  <si>
    <t>其他科技推广服务业</t>
  </si>
  <si>
    <t>39</t>
  </si>
  <si>
    <t>77.42%</t>
  </si>
  <si>
    <t>7002.11万元</t>
  </si>
  <si>
    <t>-1204.92万元</t>
  </si>
  <si>
    <t>环保设备生产及销售</t>
  </si>
  <si>
    <t>40</t>
  </si>
  <si>
    <t>深圳华自超算技术有限公司</t>
  </si>
  <si>
    <t>68.90%</t>
  </si>
  <si>
    <t>电视机制造</t>
  </si>
  <si>
    <t>41</t>
  </si>
  <si>
    <t>深圳市华达新能源技术有限公司</t>
  </si>
  <si>
    <t>65.00%</t>
  </si>
  <si>
    <t>电力电子元器件制造</t>
  </si>
  <si>
    <t>42</t>
  </si>
  <si>
    <t>共青城精实共创投资合伙企业（有限合伙）</t>
  </si>
  <si>
    <t>62.00%</t>
  </si>
  <si>
    <t>43</t>
  </si>
  <si>
    <t>共青城华运共创投资合伙企业（有限合伙）</t>
  </si>
  <si>
    <t>共青城感为投资合伙企业（有限合伙）</t>
  </si>
  <si>
    <t>60.00%</t>
  </si>
  <si>
    <t>45</t>
  </si>
  <si>
    <t>宁夏湘华新能源技术有限公司</t>
  </si>
  <si>
    <t>其他电子专用设备制造</t>
  </si>
  <si>
    <t>46</t>
  </si>
  <si>
    <t>共青城华普共创投资合伙企业（有限合伙）</t>
  </si>
  <si>
    <t>59.50%</t>
  </si>
  <si>
    <t>广西华聚电力工程有限责任公司</t>
  </si>
  <si>
    <t>56.00%</t>
  </si>
  <si>
    <t>架线及设备工程建筑</t>
  </si>
  <si>
    <t>48</t>
  </si>
  <si>
    <t>湖南华自斯迈特工程技术有限公司</t>
  </si>
  <si>
    <t>52.00%</t>
  </si>
  <si>
    <t>工程管理服务</t>
  </si>
  <si>
    <t>华自运维（湖北）科技服务有限公司</t>
  </si>
  <si>
    <t>51.02%</t>
  </si>
  <si>
    <t>衡阳市旭昇能源有限公司</t>
  </si>
  <si>
    <t>51.00%</t>
  </si>
  <si>
    <t>太阳能发电</t>
  </si>
  <si>
    <t>十大股东</t>
  </si>
  <si>
    <t>股东标签</t>
  </si>
  <si>
    <t>大股东</t>
  </si>
  <si>
    <t>受益所有人,实际控制人</t>
  </si>
  <si>
    <t>十大流通股东</t>
  </si>
  <si>
    <t>股份标签</t>
  </si>
  <si>
    <t>占总流通股比</t>
  </si>
  <si>
    <t>A股</t>
  </si>
  <si>
    <t>21.53%</t>
  </si>
  <si>
    <t>3.56%</t>
  </si>
  <si>
    <t>0.90%</t>
  </si>
  <si>
    <t>1241400.0股</t>
  </si>
  <si>
    <t>0.70%</t>
  </si>
  <si>
    <t>82.84%</t>
  </si>
  <si>
    <t>0.68%</t>
  </si>
  <si>
    <t>0.62%</t>
  </si>
  <si>
    <t>基本养老保险基金一二零七组合</t>
  </si>
  <si>
    <t>2193200股</t>
  </si>
  <si>
    <t>0.56%</t>
  </si>
  <si>
    <t>发行相关</t>
  </si>
  <si>
    <t>网上发行日期</t>
  </si>
  <si>
    <t>发行市盈率</t>
  </si>
  <si>
    <t>22.9800倍</t>
  </si>
  <si>
    <t>发行方式</t>
  </si>
  <si>
    <t>每股面值</t>
  </si>
  <si>
    <t>发行数量</t>
  </si>
  <si>
    <t>2500.00万股</t>
  </si>
  <si>
    <t>发行价格</t>
  </si>
  <si>
    <t>募集资金净额</t>
  </si>
  <si>
    <t>实际发行费用</t>
  </si>
  <si>
    <t>实际募资</t>
  </si>
  <si>
    <t>2.27亿元</t>
  </si>
  <si>
    <t>预计募资</t>
  </si>
  <si>
    <t>1.97亿元</t>
  </si>
  <si>
    <t>网上发行中签率</t>
  </si>
  <si>
    <t>网下发行中签率</t>
  </si>
  <si>
    <t>发行前每股净资产</t>
  </si>
  <si>
    <t>发行后每股净资产</t>
  </si>
  <si>
    <t>上市保荐人</t>
  </si>
  <si>
    <t>光大证券股份有限公司</t>
  </si>
  <si>
    <t>发行前总股本</t>
  </si>
  <si>
    <t>发行后总股本</t>
  </si>
  <si>
    <t>主承销商</t>
  </si>
  <si>
    <t>首日开盘价</t>
  </si>
  <si>
    <t>12.00元</t>
  </si>
  <si>
    <t>历史沿革</t>
  </si>
  <si>
    <t>　　华自科技股份有限公司（以下简称“本公司”或“公司”）前身为湖南华自科技有限公司，是由长沙华能自控集团有限公司（以下简称“华自集团”）为改制上市需要，以华自集团的资产投入设立的。长沙市人民政府金融证券办公室于2009年12月26日正式批准了本公司的资产重组和改制上市方案（长金证函[2009]36号）。 　　2009年9月25日，本公司在长沙市工商行政管理局登记注册，注册资本人民币1,000万元，全部以货币资金出资。 　　2009年12月30日，华自集团以货币资金及实物资产对本公司增资4,000万元，其中：货币出资500万元，实物资产出资3,500万元，增资后本公司注册资本5,000万元。 　　2010年6月29日，公司新增黄文宝等13名自然人股东，以货币出资方式增加注册资本500万元，增资后的注册资本5,500万元。 　　2010年11月30日，公司新增法人股东2名，新增注册资本1,100万元，根据增资协议，新增股东按每1元注册资本出资5.7元认缴新增注册资本，各股东以货币出资合计6,270万元；其中：增加注册资本1,100万元，增加资本公积5,170万元。由广州诚信创业投资有限公司出资3,420万元，湖南华鸿景甫创业投资企业（有限合伙）（2016年10月更名为“珠海华鸿景甫创业投资企业（有限合伙）”）出资2,850万元,增资后的注册资本6,600万元。 　　2011年4月12日，公司新增200万元注册资本，由长沙华自投资管理有限公司缴纳货币资金536万元，其中200万元为新增注册资本，336万元计入资本公积，增资后注册资本6,800万元。 　　2011年6月23日，公司新增100万元注册资本，由原股东周艾等7位自然人出资284.32万元，其中100万元为新增注册资本，184.32万元计入资本公积，增资后注册资本6,900万元。 　　2011年7月5日，华自集团将其持有的700万元股份转让，其中100万元转让至湖南华鸿景甫创业投资企业（有限合伙），100万元转让至广州诚信创业投资有限公司，500万元转让至上海乐洋创业投资中心（有限合伙）。 　　2011年8月，根据公司出资人关于公司改制变更的决议和改制后公司章程的规定，公司整体改制变更为股份有限公司，由公司全体出资人以其拥有的湖南华自科技有限公司2011年7月31日经审计之后的净资产197,872,055.23折合为股本7,500万股，每股1元，更名为“华自科技股份有限公司”，其中：华自集团持4,673.9130万股，占注册资本的62.3188%；广州诚信创业投资有限公司持760.8696万股，占注册资本的10.1449%；湖南华鸿景甫创业投资企业（有限合伙）持652.1739万股，占注册资本的8.6957%；上海乐洋创业投资中心（有限合伙）持543.4783万股，占注册资本的7.2464%；长沙华自投资管理有限公司持217.3913万股，占注册资本的2.8986%；黄文宝等自然人持652.1739万股，占注册资本的8.6956%。 　　2015年6月，本公司经中国证券监督管理委员会《证监许可[2015]1360号文》核准，首次向社会公开发行2,500万股人民币普通股股票，2015年12月公开发行后总股本增加为10,000万元人民币。 　　2016年4月，公司召开2015年度股东大会，审议通过了《关于2015年度利润分配及以资本公积金转增股本预案的议案》，以截止到2015年12月31日的总股本10,000万股为基数，以资本公积金向全体股东每10股转增10股，合计转增10,000万股，转增后公司总股本增加为20,000万股。 　　公司注册地址为长沙市高新开发区麓谷麓松路609号；法定代表人：黄文宝；企业法人营业执照号：914300006940434345。 　　本公司控股股东为长沙华能自控集团有限公司，实际控制人为自然人黄文宝、汪晓兵（共同控制）。 　　公司编制的2017年半年度财务报告经公司董事会于2017年8月25日审议通过。 　　2016年4月，本公司以截至2015年12月31日的总股本10,000万股为基数，以资本公积金向全体股东每10股转增10股，合计转增10,000万股，转增后公司总股本增加为20,000万股。 　　2017年9月，本公司根据2017年8月2日召开的2017年第三次临时股东大会审议通过的《关于公司〈2017年限制性股票激励计划（草案）〉及其摘要的议案》，第二届董事会第二十三次会议及第二届监事会第十八次会议审议通过的《关于调整2017年限制性股票激励计划相关事项的议案》、《关于向激励对象授予限制性股票的议案》，向周艾、熊兰、宋辉等194名激励对象定向发行股票363.80万股，增加股本3,638,000.00元，变更后的注册资本为人民币203,638,000.00元。 　　2017年11月，本公司根据2017年7月3日召开的第二次临时股东大会决议、2017年5月26日召开的第二届董事会第十七次会议通过的《华自科技股份有限公司发行股份及支付现金购买资产并募集配套资金暨关联交易报告书（草案）》及修订稿（以下简称重大资产重组方案），向指定对象非公开发行股份并增加注册资本人民币24,948,627.00元，其中向李洪波发行6,991,609.00股股份、向毛秀红发行3,094,006.00股股份、向格然特科技（湖州）有限公司发行7,765,924.00股股份、向长沙华能自控集团有限公司发行6,353,938.00股股份、向北京格莱特投资管理中心（有限合伙）发行743,150.00股股份，变更后的注册资本为人民币228,586,627.00元。 　　2018年6月，本公司根据2018年5月29日第三届董事会第八次会议和第三届监事会第八次会议审议通过的《关于向激励对象授予预留部分限制性股票的议案》，向符合条件的激励对象授予2017年限制性股票激励计划预留部分限制性股票，本次授予的激励对象共31人，包括公司管理人员和核心骨干（含子公司，不包括独立董事、监事及单独或合计持有公司5%以上股份的股东或实际控制人及其配偶、父母、子女）,授予数量349,000股，增加股本349,000.00元，公司本次预留限制性股票授予完成后，公司总股本由228,586,627股增加至228,935,627股，导致公司股东持股比例发生变动,但本次授予不会导致公司控股股东及实际控制人发生变化。 　　2018年6月30日，本公司的总股本为228,935,627.00元人民币。 　　2018年9月，本公司根据2017年7月3日召开的第二次临时股东大会决议、2017年5月26日召开的第二届董事会第十七次会议通过的《华自科技股份有限公司发行股份及支付现金购买资产并募集配套资金暨关联交易报告书（草案）》及修订稿，向江苏新华沣裕资本管理有限公司、玄元（横琴）股权投资有限公司、上海含德股权投资基金管理有限公司、黄立山发行33,178,178.00股股份。 　　截至2019年06月30日，本公司的总股本为261,939,805.00元人民币。</t>
  </si>
  <si>
    <t>股本结构</t>
  </si>
  <si>
    <t>时间</t>
  </si>
  <si>
    <t>A股总股本</t>
  </si>
  <si>
    <t>限售A股</t>
  </si>
  <si>
    <t>H股总股本</t>
  </si>
  <si>
    <t>流通H股</t>
  </si>
  <si>
    <t>限售H股</t>
  </si>
  <si>
    <t>变动原因</t>
  </si>
  <si>
    <t>2026-03-31</t>
  </si>
  <si>
    <t>3.99亿</t>
  </si>
  <si>
    <t>3.93亿</t>
  </si>
  <si>
    <t>541.81万</t>
  </si>
  <si>
    <t>一季报</t>
  </si>
  <si>
    <t>股本变动</t>
  </si>
  <si>
    <t>该维度共71条数据，此次为您导出50条</t>
  </si>
  <si>
    <t>日期</t>
  </si>
  <si>
    <t>变动后A股总股本</t>
  </si>
  <si>
    <t>变动后流通A股</t>
  </si>
  <si>
    <t>变动后限售A股</t>
  </si>
  <si>
    <t>2025-06-30</t>
  </si>
  <si>
    <t>定期报告</t>
  </si>
  <si>
    <t>2024-12-31</t>
  </si>
  <si>
    <t>541.01万</t>
  </si>
  <si>
    <t>2024-12-20</t>
  </si>
  <si>
    <t>激励股份上市</t>
  </si>
  <si>
    <t>2024-12-10</t>
  </si>
  <si>
    <t>注销回购股份</t>
  </si>
  <si>
    <t>2024-12-09</t>
  </si>
  <si>
    <t>股东性质变更</t>
  </si>
  <si>
    <t>544.21万</t>
  </si>
  <si>
    <t>2024-10-29</t>
  </si>
  <si>
    <t>股权激励</t>
  </si>
  <si>
    <t>3.91亿</t>
  </si>
  <si>
    <t>761.29万</t>
  </si>
  <si>
    <t>2024-08-28</t>
  </si>
  <si>
    <t>512.23万</t>
  </si>
  <si>
    <t>2024-03-15</t>
  </si>
  <si>
    <t>2023-12-31</t>
  </si>
  <si>
    <t>732.78万</t>
  </si>
  <si>
    <t>2023-10-26</t>
  </si>
  <si>
    <t>2023-10-23</t>
  </si>
  <si>
    <t>2023-09-11</t>
  </si>
  <si>
    <t>配售股份上市</t>
  </si>
  <si>
    <t>685.64万</t>
  </si>
  <si>
    <t>2023-09-06</t>
  </si>
  <si>
    <t>3.25亿</t>
  </si>
  <si>
    <t>7134.97万</t>
  </si>
  <si>
    <t>2023-07-24</t>
  </si>
  <si>
    <t>2023-07-21</t>
  </si>
  <si>
    <t>3.23亿</t>
  </si>
  <si>
    <t>7309.26万</t>
  </si>
  <si>
    <t>2023-03-09</t>
  </si>
  <si>
    <t>非公开发行股票</t>
  </si>
  <si>
    <t>3.94亿</t>
  </si>
  <si>
    <t>7107.38万</t>
  </si>
  <si>
    <t>2023-03-08</t>
  </si>
  <si>
    <t>2022-09-30</t>
  </si>
  <si>
    <t>3.30亿</t>
  </si>
  <si>
    <t>658.06万</t>
  </si>
  <si>
    <t>2022-09-06</t>
  </si>
  <si>
    <t>2022-09-01</t>
  </si>
  <si>
    <t>2022-07-22</t>
  </si>
  <si>
    <t>660.56万</t>
  </si>
  <si>
    <t>2022-07-21</t>
  </si>
  <si>
    <t>3.22亿</t>
  </si>
  <si>
    <t>818.19万</t>
  </si>
  <si>
    <t>2022-03-31</t>
  </si>
  <si>
    <t>3.28亿</t>
  </si>
  <si>
    <t>630.63万</t>
  </si>
  <si>
    <t>可转债转股</t>
  </si>
  <si>
    <t>3.21亿</t>
  </si>
  <si>
    <t>661.31万</t>
  </si>
  <si>
    <t>2021-11-12</t>
  </si>
  <si>
    <t>3.16亿</t>
  </si>
  <si>
    <t>2021-10-27</t>
  </si>
  <si>
    <t>3.10亿</t>
  </si>
  <si>
    <t>3.03亿</t>
  </si>
  <si>
    <t>2021-10-21</t>
  </si>
  <si>
    <t>3.00亿</t>
  </si>
  <si>
    <t>2.93亿</t>
  </si>
  <si>
    <t>2021-10-20</t>
  </si>
  <si>
    <t>2.95亿</t>
  </si>
  <si>
    <t>2.88亿</t>
  </si>
  <si>
    <t>2021-09-30</t>
  </si>
  <si>
    <t>2.86亿</t>
  </si>
  <si>
    <t>2.79亿</t>
  </si>
  <si>
    <t>2021-09-29</t>
  </si>
  <si>
    <t>2.85亿</t>
  </si>
  <si>
    <t>2.78亿</t>
  </si>
  <si>
    <t>2021-09-28</t>
  </si>
  <si>
    <t>2.83亿</t>
  </si>
  <si>
    <t>2.76亿</t>
  </si>
  <si>
    <t>2021-09-22</t>
  </si>
  <si>
    <t>2.75亿</t>
  </si>
  <si>
    <t>2.68亿</t>
  </si>
  <si>
    <t>2021-07-26</t>
  </si>
  <si>
    <t>2.57亿</t>
  </si>
  <si>
    <t>2.50亿</t>
  </si>
  <si>
    <t>2021-06-30</t>
  </si>
  <si>
    <t>2.56亿</t>
  </si>
  <si>
    <t>601.31万</t>
  </si>
  <si>
    <t>2021-06-09</t>
  </si>
  <si>
    <t>2021-06-04</t>
  </si>
  <si>
    <t>2.46亿</t>
  </si>
  <si>
    <t>1000.79万</t>
  </si>
  <si>
    <t>2020-12-31</t>
  </si>
  <si>
    <t>2.45亿</t>
  </si>
  <si>
    <t>1116.96万</t>
  </si>
  <si>
    <t>2020-12-16</t>
  </si>
  <si>
    <t>2020-12-11</t>
  </si>
  <si>
    <t>2.36亿</t>
  </si>
  <si>
    <t>2053.77万</t>
  </si>
  <si>
    <t>2020-11-10</t>
  </si>
  <si>
    <t>2028.17万</t>
  </si>
  <si>
    <t>2020-10-21</t>
  </si>
  <si>
    <t>2.35亿</t>
  </si>
  <si>
    <t>2150.17万</t>
  </si>
  <si>
    <t>2020-09-29</t>
  </si>
  <si>
    <t>2161.37万</t>
  </si>
  <si>
    <t>2020-09-28</t>
  </si>
  <si>
    <t>2.62亿</t>
  </si>
  <si>
    <t>2714.81万</t>
  </si>
  <si>
    <t>2020-07-23</t>
  </si>
  <si>
    <t>2703.29万</t>
  </si>
  <si>
    <t>2020-06-30</t>
  </si>
  <si>
    <t>2719.54万</t>
  </si>
  <si>
    <t>2020-04-25</t>
  </si>
  <si>
    <t>2019-12-31</t>
  </si>
  <si>
    <t>2.34亿</t>
  </si>
  <si>
    <t>2744.99万</t>
  </si>
  <si>
    <t>2019-11-05</t>
  </si>
  <si>
    <t>2725.79万</t>
  </si>
  <si>
    <t>2019-10-28</t>
  </si>
  <si>
    <t>2824.79万</t>
  </si>
  <si>
    <t>分红情况</t>
  </si>
  <si>
    <t>该维度共23条数据</t>
  </si>
  <si>
    <t>董事会日期</t>
  </si>
  <si>
    <t>股东大会日期</t>
  </si>
  <si>
    <t>实施日期</t>
  </si>
  <si>
    <t>分红方案说明</t>
  </si>
  <si>
    <t>A股股权登记日</t>
  </si>
  <si>
    <t>A股股权除息日</t>
  </si>
  <si>
    <t>A股派息日</t>
  </si>
  <si>
    <t>方案进度</t>
  </si>
  <si>
    <t>股利支付率</t>
  </si>
  <si>
    <t>分红率</t>
  </si>
  <si>
    <t>2026-04-23</t>
  </si>
  <si>
    <t>不分配不转增</t>
  </si>
  <si>
    <t>董事会预案</t>
  </si>
  <si>
    <t>2025-08-28</t>
  </si>
  <si>
    <t>2025-04-21</t>
  </si>
  <si>
    <t>2024-04-27</t>
  </si>
  <si>
    <t>2023-08-29</t>
  </si>
  <si>
    <t>2023-04-22</t>
  </si>
  <si>
    <t>2023-05-12</t>
  </si>
  <si>
    <t>股东大会预案</t>
  </si>
  <si>
    <t>2022-08-23</t>
  </si>
  <si>
    <t>2022-04-28</t>
  </si>
  <si>
    <t>10派0.3元(含税)</t>
  </si>
  <si>
    <t>20%</t>
  </si>
  <si>
    <t>2021-08-27</t>
  </si>
  <si>
    <t>2021-03-30</t>
  </si>
  <si>
    <t>10派0.2元(含税)</t>
  </si>
  <si>
    <t>18.18%</t>
  </si>
  <si>
    <t>2020-08-28</t>
  </si>
  <si>
    <t>2020-05-15</t>
  </si>
  <si>
    <t>2020-06-19</t>
  </si>
  <si>
    <t>2020-06-29</t>
  </si>
  <si>
    <t>实施方案</t>
  </si>
  <si>
    <t>8.82%</t>
  </si>
  <si>
    <t>0.38%</t>
  </si>
  <si>
    <t>2019-08-27</t>
  </si>
  <si>
    <t>2019-04-16</t>
  </si>
  <si>
    <t>10派0.5元(含税)</t>
  </si>
  <si>
    <t>12.96%</t>
  </si>
  <si>
    <t>2019-05-07</t>
  </si>
  <si>
    <t>2019-05-21</t>
  </si>
  <si>
    <t>2019-05-27</t>
  </si>
  <si>
    <t>2019-05-28</t>
  </si>
  <si>
    <t>11.63%</t>
  </si>
  <si>
    <t>2018-08-28</t>
  </si>
  <si>
    <t>2018-04-24</t>
  </si>
  <si>
    <t>2018-05-15</t>
  </si>
  <si>
    <t>2018-05-18</t>
  </si>
  <si>
    <t>10派0.50元(含税)</t>
  </si>
  <si>
    <t>2018-05-25</t>
  </si>
  <si>
    <t>2018-05-28</t>
  </si>
  <si>
    <t>20.01%</t>
  </si>
  <si>
    <t>0.34%</t>
  </si>
  <si>
    <t>2017-08-29</t>
  </si>
  <si>
    <t>2017-04-18</t>
  </si>
  <si>
    <t>2017-05-09</t>
  </si>
  <si>
    <t>2017-05-19</t>
  </si>
  <si>
    <t>2017-05-25</t>
  </si>
  <si>
    <t>2017-05-26</t>
  </si>
  <si>
    <t>20.74%</t>
  </si>
  <si>
    <t>0.2%</t>
  </si>
  <si>
    <t>2016-08-16</t>
  </si>
  <si>
    <t>2016-04-08</t>
  </si>
  <si>
    <t>2016-04-28</t>
  </si>
  <si>
    <t>2016-05-06</t>
  </si>
  <si>
    <t>10转10股派2元(含税)</t>
  </si>
  <si>
    <t>2016-05-11</t>
  </si>
  <si>
    <t>44.23%</t>
  </si>
  <si>
    <t>0.77%</t>
  </si>
  <si>
    <t>配股情况</t>
  </si>
  <si>
    <t>对外担保</t>
  </si>
  <si>
    <t>担保方</t>
  </si>
  <si>
    <t>被担保方</t>
  </si>
  <si>
    <t>担保方式</t>
  </si>
  <si>
    <t>担保金额</t>
  </si>
  <si>
    <t>2026-06-05</t>
  </si>
  <si>
    <t xml:space="preserve"> 华自科技股份有限公司</t>
  </si>
  <si>
    <t xml:space="preserve"> 湖南格莱特新能源发展有限公司</t>
  </si>
  <si>
    <t>保证担保,保证额度,连带责任担保</t>
  </si>
  <si>
    <t xml:space="preserve"> 湖南华自运维科技服务有限公司</t>
  </si>
  <si>
    <t>2026-05-25</t>
  </si>
  <si>
    <t xml:space="preserve"> 湖南华自能源服务有限公司</t>
  </si>
  <si>
    <t>保证担保,连带责任担保</t>
  </si>
  <si>
    <t xml:space="preserve"> 华自格兰特环保科技（北京）有限公司</t>
  </si>
  <si>
    <t xml:space="preserve"> 湖北精实机电科技有限公司</t>
  </si>
  <si>
    <t>2026-03-23</t>
  </si>
  <si>
    <t xml:space="preserve"> 深圳市精实机电科技有限公司</t>
  </si>
  <si>
    <t>2026-03-13</t>
  </si>
  <si>
    <t>2026-02-10</t>
  </si>
  <si>
    <t>2025-12-30</t>
  </si>
  <si>
    <t>2025-11-18</t>
  </si>
  <si>
    <t>2025-10-31</t>
  </si>
  <si>
    <t>2025-09-12</t>
  </si>
  <si>
    <t xml:space="preserve"> 深圳市华达新能源技术有限公司</t>
  </si>
  <si>
    <t>连带责任担保</t>
  </si>
  <si>
    <t>640万元</t>
  </si>
  <si>
    <t>1900万元</t>
  </si>
  <si>
    <t xml:space="preserve"> 城步善能新能源有限责任公司</t>
  </si>
  <si>
    <t>2500万元</t>
  </si>
  <si>
    <t xml:space="preserve"> 深圳精实机电科技有限公司</t>
  </si>
  <si>
    <t>2000万元</t>
  </si>
  <si>
    <t>1000万元</t>
  </si>
  <si>
    <t>0万元</t>
  </si>
  <si>
    <t>500万元</t>
  </si>
  <si>
    <t>3000万元</t>
  </si>
  <si>
    <t>365万元</t>
  </si>
  <si>
    <t>4140万元</t>
  </si>
  <si>
    <t xml:space="preserve"> 湖南坎普尔环保技术有限公司</t>
  </si>
  <si>
    <t>4500万元</t>
  </si>
  <si>
    <t>3900万元</t>
  </si>
  <si>
    <t xml:space="preserve"> 深圳前海华自投资有限公司</t>
  </si>
  <si>
    <t>3378.29万元</t>
  </si>
  <si>
    <t>1700万元</t>
  </si>
  <si>
    <t>2025-08-26</t>
  </si>
  <si>
    <t>2025-08-15</t>
  </si>
  <si>
    <t xml:space="preserve"> 北京坎普尔环保技术有限公司</t>
  </si>
  <si>
    <t>2025-07-29</t>
  </si>
  <si>
    <t>2025-06-27</t>
  </si>
  <si>
    <t>2025-06-13</t>
  </si>
  <si>
    <t>2025-05-07</t>
  </si>
  <si>
    <t>5000万元</t>
  </si>
  <si>
    <t>4370万元</t>
  </si>
  <si>
    <t>455万元</t>
  </si>
  <si>
    <t>违规处理</t>
  </si>
  <si>
    <t>处罚对象</t>
  </si>
  <si>
    <t>处罚类型</t>
  </si>
  <si>
    <t>处罚金额</t>
  </si>
  <si>
    <t>处理人</t>
  </si>
  <si>
    <t>2024-10-09</t>
  </si>
  <si>
    <t>通报批评</t>
  </si>
  <si>
    <t>深圳证券交易所</t>
  </si>
  <si>
    <t>2024-08-22</t>
  </si>
  <si>
    <t>出具警示函</t>
  </si>
  <si>
    <t>中国证券监督管理委员会湖南监管局</t>
  </si>
  <si>
    <t>2023-09-27</t>
  </si>
  <si>
    <t>监管关注</t>
  </si>
  <si>
    <t>2023-07-12</t>
  </si>
  <si>
    <t>责令改正</t>
  </si>
  <si>
    <t>2021-09-08</t>
  </si>
  <si>
    <t>2021-08-05</t>
  </si>
  <si>
    <t>监管措施</t>
  </si>
  <si>
    <t>创业板公司管理部</t>
  </si>
  <si>
    <t>2018-06-13</t>
  </si>
  <si>
    <t>2018-05-10</t>
  </si>
  <si>
    <t>公开处罚</t>
  </si>
  <si>
    <t>50万元</t>
  </si>
  <si>
    <t>北京市平谷区环境保护局</t>
  </si>
  <si>
    <t>司法案件</t>
  </si>
  <si>
    <t>该维度共118条数据，此次为您导出50条</t>
  </si>
  <si>
    <t>案件名称</t>
  </si>
  <si>
    <t>相关案号</t>
  </si>
  <si>
    <t>案由</t>
  </si>
  <si>
    <t>案件类型</t>
  </si>
  <si>
    <t>案件身份</t>
  </si>
  <si>
    <t>当前审理程序</t>
  </si>
  <si>
    <t>当前审理程序日期</t>
  </si>
  <si>
    <t>法院</t>
  </si>
  <si>
    <t>华自科技股份有限公司与湖南化工设计院有限公司相关买卖合同纠纷</t>
  </si>
  <si>
    <t>（2025）湘0111民初27308号</t>
  </si>
  <si>
    <t>买卖合同纠纷</t>
  </si>
  <si>
    <t>民事案件</t>
  </si>
  <si>
    <t>民事一审原告</t>
  </si>
  <si>
    <t>民事一审</t>
  </si>
  <si>
    <t>2026-03-17</t>
  </si>
  <si>
    <t>长沙市雨花区人民法院</t>
  </si>
  <si>
    <t>华自科技股份有限公司与银江技术股份有限公司相关票据付款请求权纠纷</t>
  </si>
  <si>
    <t>（2025）浙0106民初5359号、（2026）浙0106执987号</t>
  </si>
  <si>
    <t>票据付款请求权纠纷</t>
  </si>
  <si>
    <t>民事案件,执行案件</t>
  </si>
  <si>
    <t>首次执行</t>
  </si>
  <si>
    <t>2026-03-02</t>
  </si>
  <si>
    <t>杭州市西湖区人民法院</t>
  </si>
  <si>
    <t>华能（长沙）新能源有限责任公司与华自科技股份有限公司相关合同纠纷</t>
  </si>
  <si>
    <t>（2025）湘0104民初23811号</t>
  </si>
  <si>
    <t>合同纠纷</t>
  </si>
  <si>
    <t>民事一审被告</t>
  </si>
  <si>
    <t>2026-01-09</t>
  </si>
  <si>
    <t>长沙市岳麓区人民法院</t>
  </si>
  <si>
    <t>华自科技股份有限公司与广东云水建设工程有限公司相关买卖合同纠纷</t>
  </si>
  <si>
    <t>（2024）粤0113民初14753号、（2025）粤0113执12864号</t>
  </si>
  <si>
    <t>2025-09-22</t>
  </si>
  <si>
    <t>广州市番禺区人民法院</t>
  </si>
  <si>
    <t>华自科技股份有限公司与西乡县天河水电开发有限公司相关承揽合同纠纷</t>
  </si>
  <si>
    <t>（2025）湘0104民初4923号</t>
  </si>
  <si>
    <t>承揽合同纠纷</t>
  </si>
  <si>
    <t>2025-09-11</t>
  </si>
  <si>
    <t>华某有限公司与江苏富某有限公司相关买卖合同纠纷</t>
  </si>
  <si>
    <t>（2025）苏0903民初136号、（2025）苏0903执2416号</t>
  </si>
  <si>
    <t>2025-05-23</t>
  </si>
  <si>
    <t>盐城市盐都区人民法院</t>
  </si>
  <si>
    <t>某某科技股份有限公司与广州富泓某某有限公司相关买卖合同纠纷</t>
  </si>
  <si>
    <t>（2024）粤0114民初11280号、（2025）粤0114执297号</t>
  </si>
  <si>
    <t>民事一审原告、首次执行原告</t>
  </si>
  <si>
    <t>2025-02-26</t>
  </si>
  <si>
    <t>广州市花都区人民法院</t>
  </si>
  <si>
    <t>（2024）川0105民初9588号、（2025）川0105执1040号</t>
  </si>
  <si>
    <t>2025-01-14</t>
  </si>
  <si>
    <t>成都市青羊区人民法院</t>
  </si>
  <si>
    <t>长沙锦峰重工科技有限公司与华自科技股份有限公司相关买卖合同纠纷</t>
  </si>
  <si>
    <t>（2024）湘0111民初18328号</t>
  </si>
  <si>
    <t>2024-12-24</t>
  </si>
  <si>
    <t>华自科技股份有限公司与昌吉连上电力发展有限公司相关买卖合同纠纷</t>
  </si>
  <si>
    <t>（2020）湘0104民初2377号、（2020）湘0104执4019号、（2024）湘0104执恢3723号</t>
  </si>
  <si>
    <t>民事一审原告、首次执行申请执行人</t>
  </si>
  <si>
    <t>恢复执行</t>
  </si>
  <si>
    <t>2024-11-11</t>
  </si>
  <si>
    <t>吴某与华自科技股份有限公司，湘西鸿伟物流商贸有限公司等相关民间借贷纠纷</t>
  </si>
  <si>
    <t>（2022）湘31民终979号、（2023）湘3101执1292号</t>
  </si>
  <si>
    <t>民间借贷纠纷</t>
  </si>
  <si>
    <t>民事二审被上诉人</t>
  </si>
  <si>
    <t>2024-07-08</t>
  </si>
  <si>
    <t>湖南省湘西土家族苗族自治州中级人民法院、吉首市人民法院</t>
  </si>
  <si>
    <t>东莞市尚景自动化设备有限公司与华自科技股份有限公司，深圳市精实机电科技有限公司相关买卖合同纠纷</t>
  </si>
  <si>
    <t>（2023）粤0306民诉前调63785号</t>
  </si>
  <si>
    <t>其他案件</t>
  </si>
  <si>
    <t>被告、诉前调解被告</t>
  </si>
  <si>
    <t>诉前调解</t>
  </si>
  <si>
    <t>2024-06-17</t>
  </si>
  <si>
    <t>深圳市宝安区人民法院</t>
  </si>
  <si>
    <t>华自科技股份有限公司与广州市花都区水务局相关服务合同纠纷</t>
  </si>
  <si>
    <t>（2024）粤0114民诉前调563号</t>
  </si>
  <si>
    <t>服务合同纠纷</t>
  </si>
  <si>
    <t>诉前调解原告</t>
  </si>
  <si>
    <t>2024-05-16</t>
  </si>
  <si>
    <t>华自科技股份有限公司与桦甸市辉发河水电开发有限公司相关买卖合同纠纷</t>
  </si>
  <si>
    <t>（2023）吉0282民初2325号、（2024）吉0282执681号</t>
  </si>
  <si>
    <t>2024-05-13</t>
  </si>
  <si>
    <t>桦甸市人民法院</t>
  </si>
  <si>
    <t>桦甸市辉发河水电开发有限公司与华自科技股份有限公司相关买卖合同纠纷</t>
  </si>
  <si>
    <t>（2023）吉02民终3331号</t>
  </si>
  <si>
    <t>民事二审</t>
  </si>
  <si>
    <t>2024-03-14</t>
  </si>
  <si>
    <t>吉林省吉林市中级人民法院</t>
  </si>
  <si>
    <t>华自科技股份有限公司与嘉兴市杭嘉湖南排工程管理服务中心相关建设工程施工合同纠纷</t>
  </si>
  <si>
    <t>（2023）浙0481民初7395号</t>
  </si>
  <si>
    <t>建设工程施工合同纠纷</t>
  </si>
  <si>
    <t>2023-12-29</t>
  </si>
  <si>
    <t>海宁市人民法院</t>
  </si>
  <si>
    <t>北海市铁山港区继发起重服务中心与华自科技股份有限公司，李某相关租赁合同纠纷</t>
  </si>
  <si>
    <t>（2023）桂0512民初121号、（2023）桂0512执517号</t>
  </si>
  <si>
    <t>租赁合同纠纷</t>
  </si>
  <si>
    <t>2023-12-20</t>
  </si>
  <si>
    <t>北海市铁山港区人民法院</t>
  </si>
  <si>
    <t>华自科技股份有限公司与甘肃西田水电开发有限公司相关买卖合同纠纷</t>
  </si>
  <si>
    <t>（2023）甘0321执285号、（2021）甘0321民初4169号</t>
  </si>
  <si>
    <t>执行案件</t>
  </si>
  <si>
    <t>首次执行申请执行人</t>
  </si>
  <si>
    <t>2023-06-28</t>
  </si>
  <si>
    <t>永昌县人民法院</t>
  </si>
  <si>
    <t>南京欧塞邦环保科技有限公司与华自科技股份有限公司相关建设工程施工合同纠纷</t>
  </si>
  <si>
    <t>（2023）苏0106民初4653号</t>
  </si>
  <si>
    <t>2023-04-24</t>
  </si>
  <si>
    <t>南京市鼓楼区人民法院</t>
  </si>
  <si>
    <t>华自科技股份有限公司与淮北市惠民工程建设有限公司相关建设工程施工合同纠纷</t>
  </si>
  <si>
    <t>（2023）皖06民终299号</t>
  </si>
  <si>
    <t>民事二审上诉人</t>
  </si>
  <si>
    <t>2023-03-29</t>
  </si>
  <si>
    <t>安徽省淮北市中级人民法院</t>
  </si>
  <si>
    <t>淮北市惠民工程建设有限公司与华自科技股份有限公司相关建设工程施工合同纠纷</t>
  </si>
  <si>
    <t>（2022）皖0621民初4050号</t>
  </si>
  <si>
    <t>2022-10-12</t>
  </si>
  <si>
    <t>濉溪县人民法院</t>
  </si>
  <si>
    <t>华自科技股份有限公司与重庆水轮机厂有限责任公司相关买卖合同纠纷</t>
  </si>
  <si>
    <t>（2022）渝0113民初13866号之一</t>
  </si>
  <si>
    <t>2022-09-28</t>
  </si>
  <si>
    <t>重庆市巴南区人民法院</t>
  </si>
  <si>
    <t>华自科技股份有限公司与湖南力天高新材料股份有限公司相关买卖合同纠纷</t>
  </si>
  <si>
    <t>（2022）湘0104民初4010号、（2022）湘0104执8582号</t>
  </si>
  <si>
    <t>2022-09-08</t>
  </si>
  <si>
    <t>四川省内江蜀源水轮机有限公司与华自科技股份有限公司相关其他民事</t>
  </si>
  <si>
    <t>（2022）川1113民初484号</t>
  </si>
  <si>
    <t>其他民事</t>
  </si>
  <si>
    <t>2022-08-02</t>
  </si>
  <si>
    <t>乐山市金口河区人民法院</t>
  </si>
  <si>
    <t>华自科技股份有限公司与湖南恒凯环保科技投资有限公司相关买卖合同纠纷</t>
  </si>
  <si>
    <t>（2022）湘0104民初12672号</t>
  </si>
  <si>
    <t>2022-07-07</t>
  </si>
  <si>
    <t>广西宏湖水利电业科技发展有限公司与华自科技股份有限公司相关合同纠纷</t>
  </si>
  <si>
    <t>（2022）桂1026民初369号</t>
  </si>
  <si>
    <t>2022-06-16</t>
  </si>
  <si>
    <t>那坡县人民法院</t>
  </si>
  <si>
    <t>广西宏湖水利电业科技发展有限公司与华自科技股份有限公司相关买卖合同纠纷</t>
  </si>
  <si>
    <t>（2022）桂0103民初9264号</t>
  </si>
  <si>
    <t>2022-06-02</t>
  </si>
  <si>
    <t>南宁市青秀区人民法院</t>
  </si>
  <si>
    <t>华自科技股份有限公司与湖南烟叶复烤有限公司相关买卖合同纠纷</t>
  </si>
  <si>
    <t>（2022）湘1002民初2333号</t>
  </si>
  <si>
    <t>2022-05-05</t>
  </si>
  <si>
    <t>郴州市北湖区人民法院</t>
  </si>
  <si>
    <t>湖南水发兴业科技有限公司与华自科技股份有限公司相关买卖合同纠纷</t>
  </si>
  <si>
    <t>（2021）湘0302民初3389号</t>
  </si>
  <si>
    <t>2022-02-23</t>
  </si>
  <si>
    <t>湘潭市雨湖区人民法院</t>
  </si>
  <si>
    <t>华自科技股份有限公司相关买卖合同纠纷</t>
  </si>
  <si>
    <t>（2021）湘0802民初4272号</t>
  </si>
  <si>
    <t>2022-02-10</t>
  </si>
  <si>
    <t>张家界市永定区人民法院</t>
  </si>
  <si>
    <t>山东德建高速集团有限公司与华自科技股份有限公司相关合同纠纷</t>
  </si>
  <si>
    <t>（2021）湘0104民初9677号</t>
  </si>
  <si>
    <t>2022-01-26</t>
  </si>
  <si>
    <t>华自科技股份有限公司与湖南水发兴业科技有限公司相关买卖合同纠纷</t>
  </si>
  <si>
    <t>（2021）湘03民辖终114号</t>
  </si>
  <si>
    <t>管辖案件</t>
  </si>
  <si>
    <t>民事管辖上诉原告</t>
  </si>
  <si>
    <t>民事管辖上诉</t>
  </si>
  <si>
    <t>2021-12-09</t>
  </si>
  <si>
    <t>湖南省湘潭市中级人民法院</t>
  </si>
  <si>
    <t>曾某与华自科技股份有限公司，水发兴业能源（珠海）有限公司等相关合同纠纷</t>
  </si>
  <si>
    <t>（2021）湘0104民初19601号</t>
  </si>
  <si>
    <t>2021-12-06</t>
  </si>
  <si>
    <t>谢某，陶某与华自科技股份有限公司，吴某等相关民间借贷纠纷</t>
  </si>
  <si>
    <t>被告</t>
  </si>
  <si>
    <t>2021-11-23</t>
  </si>
  <si>
    <t>吉首市人民法院</t>
  </si>
  <si>
    <t>黄某与华自科技股份有限公司相关建设工程合同纠纷</t>
  </si>
  <si>
    <t>（2021）湘01执1265号</t>
  </si>
  <si>
    <t>建设工程合同纠纷</t>
  </si>
  <si>
    <t>首次执行被执行人</t>
  </si>
  <si>
    <t>湖南省长沙市中级人民法院</t>
  </si>
  <si>
    <t>山东米诺电力科技有限公司与华自科技股份有限公司相关买卖合同纠纷</t>
  </si>
  <si>
    <t>（2021）湘0104民初9855号</t>
  </si>
  <si>
    <t>华自科技股份有限公司，桑顿新能源科技有限公司相关承揽合同纠纷</t>
  </si>
  <si>
    <t>（2021）湘03民终1368号</t>
  </si>
  <si>
    <t>2021-08-23</t>
  </si>
  <si>
    <t>华自科技股份有限公司与妙盛动力科技有限公司相关案件</t>
  </si>
  <si>
    <t>（2021）湘01破申78号、（2021）湘01破52号</t>
  </si>
  <si>
    <t>强制清算与破产案件</t>
  </si>
  <si>
    <t>破产申请审查申请人、破产案件申请人</t>
  </si>
  <si>
    <t>破产案件</t>
  </si>
  <si>
    <t>2021-07-30</t>
  </si>
  <si>
    <t>华自科技股份有限公司与湖南东方矿业有限责任公司相关其他案由</t>
  </si>
  <si>
    <t>（2021）湘0104执5420号、（2021）湘0104民初2130号</t>
  </si>
  <si>
    <t>其他案由</t>
  </si>
  <si>
    <t>首次执行原告</t>
  </si>
  <si>
    <t>2021-07-09</t>
  </si>
  <si>
    <t>华自科技股份有限公司与湖南湘帧科技发展有限责任公司相关申请撤销仲裁裁决</t>
  </si>
  <si>
    <t>（2021）湘01民特272号</t>
  </si>
  <si>
    <t>申请撤销仲裁裁决</t>
  </si>
  <si>
    <t>特别程序申请人</t>
  </si>
  <si>
    <t>特别程序</t>
  </si>
  <si>
    <t>2021-07-07</t>
  </si>
  <si>
    <t>广东鸿源机电股份有限公司与华自科技股份有限公司相关买卖合同纠纷</t>
  </si>
  <si>
    <t>2021-04-15</t>
  </si>
  <si>
    <t>曾某与华自科技股份有限公司，水发兴业能源（珠海）有限公司等相关名誉权纠纷</t>
  </si>
  <si>
    <t>（2021）湘01民终384号</t>
  </si>
  <si>
    <t>名誉权纠纷</t>
  </si>
  <si>
    <t>2021-04-02</t>
  </si>
  <si>
    <t>江苏国星电器有限公司与华自科技股份有限公司相关买卖合同纠纷</t>
  </si>
  <si>
    <t>（2021）湘0104民初1848号</t>
  </si>
  <si>
    <t>2021-03-23</t>
  </si>
  <si>
    <t>华自科技股份有限公司与烟台立盛电力工程有限公司，蓬莱市水务局相关建设工程施工合同纠纷</t>
  </si>
  <si>
    <t>（2021）鲁06民终1450号</t>
  </si>
  <si>
    <t>2021-03-15</t>
  </si>
  <si>
    <t>山东省烟台市中级人民法院</t>
  </si>
  <si>
    <t>华自科技股份有限公司与桑顿新能源科技有限公司相关买卖合同纠纷</t>
  </si>
  <si>
    <t>（2021）湘0302民初223号</t>
  </si>
  <si>
    <t>2021-03-10</t>
  </si>
  <si>
    <t>湘潭市雨湖区人民法院、湖南省湘潭市雨湖区人民法院</t>
  </si>
  <si>
    <t>华自科技股份有限公司与乐山市金口河区永胜乡狮子电站相关建设工程施工合同纠纷</t>
  </si>
  <si>
    <t>（2021）川1113执恢1号之一</t>
  </si>
  <si>
    <t>恢复执行原告</t>
  </si>
  <si>
    <t>2021-01-15</t>
  </si>
  <si>
    <t>湖南赛隆药业（长沙）有限公司与华自科技股份有限公司相关产品责任纠纷</t>
  </si>
  <si>
    <t>（2020）湘0104民初14695号</t>
  </si>
  <si>
    <t>产品责任纠纷</t>
  </si>
  <si>
    <t>2020-12-29</t>
  </si>
  <si>
    <t>华自科技股份有限公司与平顶山市高鹰高压开关销售有限公司相关买卖合同纠纷</t>
  </si>
  <si>
    <t>原告</t>
  </si>
  <si>
    <t>华自科技股份有限公司与湖南华金矿业设备有限公司相关合同纠纷</t>
  </si>
  <si>
    <t>（2020）湘0111执4881号之一</t>
  </si>
  <si>
    <t>2020-09-27</t>
  </si>
  <si>
    <t>华自科技股份有限公司，顿新能源科技（长沙）有限公司相关买卖合同纠纷</t>
  </si>
  <si>
    <t>（2020）湘0104执保1847号</t>
  </si>
  <si>
    <t>财产保全执行当事人</t>
  </si>
  <si>
    <t>财产保全执行</t>
  </si>
  <si>
    <t>2020-09-22</t>
  </si>
  <si>
    <t>开庭公告</t>
  </si>
  <si>
    <t>该维度共28条数据</t>
  </si>
  <si>
    <t>开庭时间</t>
  </si>
  <si>
    <t>案号</t>
  </si>
  <si>
    <t>当事人</t>
  </si>
  <si>
    <t>2026-03-17 15:30</t>
  </si>
  <si>
    <t>原告-华自科技股份有限公司
被告-湖南化工设计院有限公司</t>
  </si>
  <si>
    <t>2026-01-09 14:30</t>
  </si>
  <si>
    <t>原告-华能（长沙）新能源有限责任公司
被告-华自科技股份有限公司</t>
  </si>
  <si>
    <t>2025-09-11 14:30</t>
  </si>
  <si>
    <t>原告-华自科技股份有限公司
被告-西乡县天河水电开发有限公司</t>
  </si>
  <si>
    <t>2025-06-13 09:30</t>
  </si>
  <si>
    <t>（2025）粤0391民初5567号</t>
  </si>
  <si>
    <t>当事人-深圳前海云水环保科技有限公司,华自科技股份有限公司</t>
  </si>
  <si>
    <t>广东省深圳市前海合作区人民法院</t>
  </si>
  <si>
    <t>2025-06-12 14:15</t>
  </si>
  <si>
    <t>（2025）浙0106民初5359号</t>
  </si>
  <si>
    <t>原告-华自科技股份有限公司
被告-银江技术股份有限公司</t>
  </si>
  <si>
    <t>2025-05-30 14:30</t>
  </si>
  <si>
    <t>（2024）粤0306民初39146号</t>
  </si>
  <si>
    <t>当事人-华自科技股份有限公司,郭某,深圳市精实机电科技有限公司</t>
  </si>
  <si>
    <t>广东省深圳市宝安区人民法院</t>
  </si>
  <si>
    <t>2025-01-21 16:00</t>
  </si>
  <si>
    <t>（2025）苏0903民初136号</t>
  </si>
  <si>
    <t>原告-华自科技股份有限公司[部分支持]
被告-江苏富能宝储能科技有限公司[部分支持]</t>
  </si>
  <si>
    <t>2024-12-24 15:30</t>
  </si>
  <si>
    <t>原告-长沙锦峰重工科技有限公司
被告-华自科技股份有限公司</t>
  </si>
  <si>
    <t>2024-11-27 15:49</t>
  </si>
  <si>
    <t>2024-10-17 16:30</t>
  </si>
  <si>
    <t>（2024）粤0306民诉前调26643号</t>
  </si>
  <si>
    <t>2024-09-30 11:00</t>
  </si>
  <si>
    <t>（2024）粤0306民诉前调26602号</t>
  </si>
  <si>
    <t>当事人-深圳市精实机电科技有限公司,华自科技股份有限公司,郭某</t>
  </si>
  <si>
    <t>2024-08-28 15:30</t>
  </si>
  <si>
    <t>（2024）粤0114民初11280号</t>
  </si>
  <si>
    <t>原告-华自科技股份有限公司
被告-广州富泓机械设备有限公司</t>
  </si>
  <si>
    <t>（2024）粤0114民诉前调4559号</t>
  </si>
  <si>
    <t>2024-07-08 14:00</t>
  </si>
  <si>
    <t>（2024）川0105民初9588号</t>
  </si>
  <si>
    <t>原告-华自科技股份有限公司
被告-中国葛洲坝集团第二工程有限公司</t>
  </si>
  <si>
    <t>2024-06-17 16:00</t>
  </si>
  <si>
    <t>原告-东莞市尚景自动化设备有限公司
被告-深圳市精实机电科技有限公司,华自科技股份有限公司
第三方-时代一汽动力电池有限公司</t>
  </si>
  <si>
    <t>2024-05-16 15:30</t>
  </si>
  <si>
    <t>原告-华自科技股份有限公司
被告-广州市花都区水务局</t>
  </si>
  <si>
    <t>2024-03-13 16:00</t>
  </si>
  <si>
    <t>上诉人-桦甸市辉发河水电开发有限公司[驳回上诉]
被上诉人-华自科技股份有限公司[驳回对方上诉]</t>
  </si>
  <si>
    <t>2023-12-29 11:00</t>
  </si>
  <si>
    <t>原告-华自科技股份有限公司
被告-嘉兴市杭嘉湖南排工程管理服务中心</t>
  </si>
  <si>
    <t>2023-11-29 14:15</t>
  </si>
  <si>
    <t>2023-10-27 09:07</t>
  </si>
  <si>
    <t>（2023）吉0282民初2325号</t>
  </si>
  <si>
    <t>原告-华自科技股份有限公司
被告-桦甸市辉发河水电开发有限公司</t>
  </si>
  <si>
    <t>2023-09-22 14:10</t>
  </si>
  <si>
    <t>2023-08-14 14:45</t>
  </si>
  <si>
    <t>（2023）浙0481民诉前调9007号</t>
  </si>
  <si>
    <t>2023-05-06 09:00</t>
  </si>
  <si>
    <t>（2023）桂0512民初121号</t>
  </si>
  <si>
    <t>原告-北海市铁山港区继发起重服务中心
被告-华自科技股份有限公司,李某
第三方-刘某</t>
  </si>
  <si>
    <t>2023-04-24 10:45</t>
  </si>
  <si>
    <t>原告-南京欧塞邦环保科技有限公司
被告-华自科技股份有限公司</t>
  </si>
  <si>
    <t>2023-03-29 08:30</t>
  </si>
  <si>
    <t>上诉人-华自科技股份有限公司
被上诉人-淮北市惠民工程建设有限公司</t>
  </si>
  <si>
    <t>2022-10-12 08:54</t>
  </si>
  <si>
    <t>原告-淮北市惠民工程建设有限公司
被告-华自科技股份有限公司</t>
  </si>
  <si>
    <t>2022-10-11 09:25</t>
  </si>
  <si>
    <t>裁判文书</t>
  </si>
  <si>
    <t>文书标题</t>
  </si>
  <si>
    <t>案件金额（元）</t>
  </si>
  <si>
    <t>裁判结果</t>
  </si>
  <si>
    <t>裁判日期</t>
  </si>
  <si>
    <t>发布日期</t>
  </si>
  <si>
    <t>买卖合同纠纷一审法律文书</t>
  </si>
  <si>
    <t>原告-华某有限公司（华自科技股份有限公司）[部分支持]
被告-江苏富某有限公司（江苏富能宝储能科技有限公司）[部分支持]</t>
  </si>
  <si>
    <t>依照《中华人民共和国民法典》第五百零九条、第五百七十七条、第六百二十六条、第六百二十八条，《中华人民共和国民事诉讼法》第六十七条、第一百四十七条、第一百六十五条之规定，判决如下：一、被告江苏富某有限公司于本判决生效之日起十日内向原告华某有限公司支付货款及履行保证金合计人民币21500元，并支付逾期付款利息（自2025年1月7日起至实际履行之日止以21500元为基数按年利率3.1%计算）。
二、驳回原告华某有限公司的其他诉讼请求。
如果未按本判决指定的期间履行给付金钱义务，应当按照《中华人民共和国民事诉讼法》第二百六十四条之规定，加倍支付迟延履行期间的债务利息。
案件受理费406元，减半收取203元，由被告江苏富某有限公司负担。
本判决为终审判决。</t>
  </si>
  <si>
    <t>2025-02-19</t>
  </si>
  <si>
    <t>2025-05-22</t>
  </si>
  <si>
    <t>原告-某某科技股份有限公司（华自科技股份有限公司）
被告-广州富泓某某有限公司（广州富泓机械设备有限公司）</t>
  </si>
  <si>
    <t>688,000.00</t>
  </si>
  <si>
    <t>依照《最高人民法院关于适用〈中华人民共和国民法典〉时间效力的若干规定》第一条第二款，《中华人民共和国合同法》第六十条、第一百零七条、第一百一十四条，《中华人民共和国民事诉讼法》第一百四十七条，《最高人民法院关于适用的解释》第九十条的规定，判决如下：一、被告广州富泓某某有限公司于本判决生效之日起十日内向原告某某科技股份有限公司支付到货款688000元；
二、被告广州富泓某某有限公司于本判决生效之日起十日内向原告某某科技股份有限公司支付逾期付款违约金123000元；
三、驳回原告某某科技股份有限公司的其他诉讼请求。
如果未按本判决指定的期间履行给付金钱义务，应当依照《中华人民共和国民事诉讼法》第二百六十四条之规定，加倍支付迟延履行期间的债务利息。
案件受理费6205元，由原告某某科技股份有限公司负担360元，被告广州富泓某某有限公司负担5845元。
如不服本判决，可在判决书送达之日起十五日内，向本院递交上诉状，并按对方当事人的人数提出副本，上诉于广州市中级人民法院。
依照《中华人民共和国民事诉讼法》第四十一条第二款规定，符合条件的二审案件，经双方当事人同意，可以由审判员一人独任审理。提起上诉的一方当事人如不同意适用独任制，请于上诉状中明确提出，未提出的，视为同意；被上诉人如不同意适用独任制，请于上诉答辩期间内书面向本院提出，未提出的，视为同意。</t>
  </si>
  <si>
    <t>2024-09-09</t>
  </si>
  <si>
    <t>2024-11-01</t>
  </si>
  <si>
    <t>买卖合同纠纷二审法律文书</t>
  </si>
  <si>
    <t>540,000.00</t>
  </si>
  <si>
    <t>依照《中华人民共和国民事诉讼法》第一百七十七条第一款第一项规定，判决如下：驳回上诉，维持原判。
二审案件受理费8691元，由桦甸市辉发河水电开发有限公司负担（已交纳）。
本判决为终审判决。
本判决生效后，负有义务当事人应当按期履行全部义务。执行案件立案后，本条内容即为执行通知，被执行人应当如实申报财产。对自动履行义务的，依当事人申请出具履行证明或推送纳入社会信用服务平台给予正向激励。对逾期未履行或拒绝履行义务的，将依法采取限制高消费、纳入失信名单、限制出境、罚款、拘留等强制措施，构成犯罪的依法追究刑事责任。享有权利当事人应当在法定期限内申请强制执行，并积极提供可供执行财产线索。</t>
  </si>
  <si>
    <t>2024-04-02</t>
  </si>
  <si>
    <t>租赁合同纠纷一审法律文书</t>
  </si>
  <si>
    <t>原告-北海市铁山港区某某中心（北海市铁山港区继发起重服务中心）[部分支持]
被告-李某[部分支持]
被告-某某科技股份有限公司（华自科技股份有限公司）[不承担责任]
第三人-刘*</t>
  </si>
  <si>
    <t>47,450.00</t>
  </si>
  <si>
    <t>依照《中华人民共和国民法典》第四百六十五条、第五百零九条第一款、第五百七十七条、第五百七十九条、第五百八十五条第一款、第七百零三条、第七百二十一条，《中华人民共和国民事诉讼法》第一百四十七条之规定，判决如下：被告李**于本判决生效之日起十日内向原告北海市铁山港区某某中心支付租金36500元及逾期付款违约金10950元，合计47450元；
驳回原告北海市铁山港区某某中心的其他诉讼请求。
如果未按本判决指定的期间履行给付金钱义务，应当依照《中华人民共和国民事诉讼法》第二百六十条的规定，加倍支付迟延履行期间的债务利息。
案件受理费1056.26元，因适用简易程序审理减半收取计528.13元，由被告李**负担493元，由原告北海市铁山港区某某中心负担35.13元。
如不服本判决，可以在判决书送达之日起十五日内，向本院递交上诉状，并按对方当事人的人数提出副本，上诉于广西壮族自治区北海市中级人民法院。</t>
  </si>
  <si>
    <t>2023-05-24</t>
  </si>
  <si>
    <t>2024-03-20</t>
  </si>
  <si>
    <t>买卖合同纠纷法律文书</t>
  </si>
  <si>
    <t>（2023）甘0321执285号</t>
  </si>
  <si>
    <t>申请执行人-华自科技股份有限公司[终结执行]
被执行人-甘肃西田水电开发有限公司[终结执行]</t>
  </si>
  <si>
    <t>52,500.00</t>
  </si>
  <si>
    <t>依照《最高人民法院关于适用的解释》第五百一十九条之规定，裁定如下：终结本次执行程序。
申请执行人发现被执行人有可供执行财产的，可以再次申请执行。
本裁定送达后立即生效。</t>
  </si>
  <si>
    <t>2023-07-04</t>
  </si>
  <si>
    <t>原告-华自科技股份有限公司[撤诉]
被告-重庆水轮机厂有限责任公司[原告撤诉]</t>
  </si>
  <si>
    <t>依照《中华人民共和国民事诉讼法》第一百四十八条第一款之规定，裁定如下：准许原告华自科技股份有限公司撤回起诉。案件受理费634元，由原告华自科技股份有限公司负担（已交纳）。</t>
  </si>
  <si>
    <t>2023-05-31</t>
  </si>
  <si>
    <t>原告-广西宏湖水利电业科技发展有限公司[撤诉]
被告-华自科技股份有限公司[原告撤诉]</t>
  </si>
  <si>
    <t>依照《中华人民共和国民事诉讼法》第一百四十八条第一款、第一百五十七条第一款第五项之规定，裁定如下：准许原告广西宏湖水利电业科技发展有限公司撤诉。
案件受理费5200元，已减半收取，由原告广西宏湖水利电业科技发展有限公司负担。</t>
  </si>
  <si>
    <t>2022-12-11</t>
  </si>
  <si>
    <t>建设工程合同纠纷法律文书</t>
  </si>
  <si>
    <t>（2022）川1113执恢113号</t>
  </si>
  <si>
    <t>当事人-乐山市金口河区永胜乡狮子电站
当事人-华自科技股份有限公司</t>
  </si>
  <si>
    <t>300,000.00</t>
  </si>
  <si>
    <t>案件执行完毕，本院将以执行完毕的方式结案。</t>
  </si>
  <si>
    <t>2022-09-07</t>
  </si>
  <si>
    <t>（2022）湘0104民初4010号</t>
  </si>
  <si>
    <t>原告-华自科技股份有限公司[胜诉]
被告-湖南力天高新材料股份有限公司[败诉]</t>
  </si>
  <si>
    <t>306,000.00</t>
  </si>
  <si>
    <t>限被告湖南力天高新材料股份有限公司自本判决书生效之日起五日内向原告华自科技股份有限公司支付货款27.6万元和滞纳金3万元，合计30.6万元。
如果本案被告未按本判决指定的期间履行给付金钱义务，应当依照《中华人民共和国民事诉讼法》第二百六十条之规定，加倍支付迟延履行期间的债务利息。
案件受理费减半收取2945元，由被告湖南力天高新材料股份有限公司负担。
如不服本判决，可以在判决书送达之日起十五日内，向本院递交上诉状，并按对方当事人的人数提出副本，上诉至湖南省长沙市中级人民法院。</t>
  </si>
  <si>
    <t>2022-04-11</t>
  </si>
  <si>
    <t>2022-07-13</t>
  </si>
  <si>
    <t>（2021）桂1423民初2007号</t>
  </si>
  <si>
    <t>原告-广西宏湖水利电业科技发展有限公司
被告-华自科技股份有限公司</t>
  </si>
  <si>
    <t>华自科技股份有限公司对管辖权提出的异议成立，本案移送广西南宁市青秀区人民法院处理。
如不服本裁定，可以在裁定书送达之日起十日内，向本院递交上诉状，并按对方当事人或者代表人的人数提出副本，上诉于广西壮族自治区崇左市中级人民法院。</t>
  </si>
  <si>
    <t>2022-01-19</t>
  </si>
  <si>
    <t>2022-07-01</t>
  </si>
  <si>
    <t>（2022）湘0104执恢1676号</t>
  </si>
  <si>
    <t>当事人-华自科技股份有限公司
当事人-沅江纸业有限责任公司</t>
  </si>
  <si>
    <t>经强制执行，（2019）湘0104民初7409民事判决书所确定的义务已经全部履行完毕。根据最高人民法院《关于执行案件立案、结案问题的意见》第十五条之规定，该案按强制执行方式结案。</t>
  </si>
  <si>
    <t>2022-06-15</t>
  </si>
  <si>
    <t>2022-06-18</t>
  </si>
  <si>
    <t>上诉人-华自科技股份有限公司[驳回上诉]
被上诉人-湖南水发兴业科技有限公司[驳回对方上诉]</t>
  </si>
  <si>
    <t>驳回上诉，维持原裁定。
本裁定为终审裁定。</t>
  </si>
  <si>
    <t>2021-12-29</t>
  </si>
  <si>
    <t>（2021）湘0104民初19160号</t>
  </si>
  <si>
    <t>原告-华自科技股份有限公司
被告-甘肃西田水电开发有限公司</t>
  </si>
  <si>
    <t>1,050,000.00</t>
  </si>
  <si>
    <t>本案移送甘肃省金昌市永昌县人民法院处理。
本裁定一经作出即生效。</t>
  </si>
  <si>
    <t>2021-10-14</t>
  </si>
  <si>
    <t>2021-12-02</t>
  </si>
  <si>
    <t>法院公告</t>
  </si>
  <si>
    <t>公告类型</t>
  </si>
  <si>
    <t>公告人</t>
  </si>
  <si>
    <t>刊登日期</t>
  </si>
  <si>
    <t>（2022）湘31民终979号</t>
  </si>
  <si>
    <t>上诉人：吴某
被上诉人：陶某、谢某、华自科技股份有限公司、湘西鸿伟物流商贸有限公司</t>
  </si>
  <si>
    <t>湖南省湘西土家族苗族自治州中级人民法院</t>
  </si>
  <si>
    <t>2022-10-20</t>
  </si>
  <si>
    <t>（2021）湘3101民初4351号</t>
  </si>
  <si>
    <t>原告：谢某、陶某、吴某
被告：湘西鸿伟物流商贸有限公司
第三人：华自科技股份有限公司、吴某</t>
  </si>
  <si>
    <t>起诉状副本、上诉状副本</t>
  </si>
  <si>
    <t>2022-03-13</t>
  </si>
  <si>
    <t>原告：陶某、谢某
被告：湘西鸿伟物流商贸有限公司
第三人：吴某、华自科技股份有限公司</t>
  </si>
  <si>
    <t>2022-02-17</t>
  </si>
  <si>
    <t>原告：谢某、陶某
被告：湘西鸿伟物流商贸有限公司、华自科技股份有限公司、吴某
第三人：华自科技股份有限公司、吴某</t>
  </si>
  <si>
    <t>起诉状副本及开庭传票</t>
  </si>
  <si>
    <t>限制消费令</t>
  </si>
  <si>
    <t>限制出境</t>
  </si>
  <si>
    <t>终本案件</t>
  </si>
  <si>
    <t>被执行人</t>
  </si>
  <si>
    <t>股权冻结</t>
  </si>
  <si>
    <t>送达公告</t>
  </si>
  <si>
    <t>立案信息</t>
  </si>
  <si>
    <t>该维度共16条数据</t>
  </si>
  <si>
    <t>立案日期</t>
  </si>
  <si>
    <t>2025-03-05</t>
  </si>
  <si>
    <t>（2025）粤0113执保12337号</t>
  </si>
  <si>
    <t>原告:华自科技股份有限公司
被告:广东云水建设工程有限公司</t>
  </si>
  <si>
    <t>2025-01-07</t>
  </si>
  <si>
    <t>（2025）粤0114执297号</t>
  </si>
  <si>
    <t>原告:华自科技股份有限公司
被告:广州富泓机械设备有限公司</t>
  </si>
  <si>
    <t>原告:华自科技股份有限公司
被告:江苏富能宝储能科技有限公司</t>
  </si>
  <si>
    <t>2024-11-14</t>
  </si>
  <si>
    <t>（2024）粤0114执保7563号</t>
  </si>
  <si>
    <t>当事人:华自科技股份有限公司,广州富泓机械设备有限公司</t>
  </si>
  <si>
    <t>2024-06-26</t>
  </si>
  <si>
    <t>（2024）粤0113民初14753号</t>
  </si>
  <si>
    <t>2024-05-14</t>
  </si>
  <si>
    <t>当事人:中国葛洲坝集团第二工程有限公司,华自科技股份有限公司</t>
  </si>
  <si>
    <t>当事人:广州富泓机械设备有限公司,华自科技股份有限公司</t>
  </si>
  <si>
    <t>2023-12-18</t>
  </si>
  <si>
    <t>上诉人:桦甸市辉发河水电开发有限公司
被上诉人:华自科技股份有限公司</t>
  </si>
  <si>
    <t>2023-02-13</t>
  </si>
  <si>
    <t>原告:华自科技股份有限公司
被告:甘肃西田水电开发有限公司</t>
  </si>
  <si>
    <t>原告:四川省内江蜀源水轮机有限公司
被告:华自科技股份有限公司</t>
  </si>
  <si>
    <t>2022-07-27</t>
  </si>
  <si>
    <t>（2022）渝0113民初13866号之</t>
  </si>
  <si>
    <t>原告:华自科技股份有限公司
被告:重庆水轮机厂有限责任公司</t>
  </si>
  <si>
    <t>（2022）渝0113民初13866号</t>
  </si>
  <si>
    <t>当事人:华自科技股份有限公司,重庆水轮机厂有限责任公司</t>
  </si>
  <si>
    <t>2022-04-21</t>
  </si>
  <si>
    <t>原告:广西宏湖水利电业科技发展有限公司
被告:华自科技股份有限公司</t>
  </si>
  <si>
    <t>2022-02-21</t>
  </si>
  <si>
    <t>原告:华自科技股份有限公司
被告:湖南力天高新材料股份有限公司</t>
  </si>
  <si>
    <t>龙州县人民法院</t>
  </si>
  <si>
    <t>2021-10-12</t>
  </si>
  <si>
    <t>失信被执行人</t>
  </si>
  <si>
    <t>司法拍卖</t>
  </si>
  <si>
    <t>询价评估结果</t>
  </si>
  <si>
    <t>选定评估机构</t>
  </si>
  <si>
    <t>财产悬赏公告</t>
  </si>
  <si>
    <t>该维度共2条数据</t>
  </si>
  <si>
    <t>经营异常</t>
  </si>
  <si>
    <t>行政处罚</t>
  </si>
  <si>
    <t>严重违法</t>
  </si>
  <si>
    <t>股权出质</t>
  </si>
  <si>
    <t>股权质押</t>
  </si>
  <si>
    <t>该维度共79条数据，此次为您导出50条</t>
  </si>
  <si>
    <t>质押股份数量</t>
  </si>
  <si>
    <t>质押股份市值</t>
  </si>
  <si>
    <t>2026-06-01</t>
  </si>
  <si>
    <t>9,120,000股</t>
  </si>
  <si>
    <t>165,605,616元</t>
  </si>
  <si>
    <t>未达预警线</t>
  </si>
  <si>
    <t>5,000,000股</t>
  </si>
  <si>
    <t>58,466,413元</t>
  </si>
  <si>
    <t>已解押</t>
  </si>
  <si>
    <t>260,000股</t>
  </si>
  <si>
    <t>3,040,253元</t>
  </si>
  <si>
    <t>1,000,000股</t>
  </si>
  <si>
    <t>18,158,511元</t>
  </si>
  <si>
    <t>2026-05-07</t>
  </si>
  <si>
    <t>11,693,283元</t>
  </si>
  <si>
    <t>1,500,000股</t>
  </si>
  <si>
    <t>29,850,000元</t>
  </si>
  <si>
    <t>500,000股</t>
  </si>
  <si>
    <t>5,846,641元</t>
  </si>
  <si>
    <t>2026-04-02</t>
  </si>
  <si>
    <t>800,000股</t>
  </si>
  <si>
    <t>12,072,000元</t>
  </si>
  <si>
    <t>2026-03-04</t>
  </si>
  <si>
    <t>16,550,000股</t>
  </si>
  <si>
    <t>151,267,000元</t>
  </si>
  <si>
    <t>10,780,000股</t>
  </si>
  <si>
    <t>182,505,400元</t>
  </si>
  <si>
    <t>2025-05-16</t>
  </si>
  <si>
    <t>2,000,000股</t>
  </si>
  <si>
    <t>24,763,419元</t>
  </si>
  <si>
    <t>2,150,000股</t>
  </si>
  <si>
    <t>16,555,000元</t>
  </si>
  <si>
    <t>2025-02-21</t>
  </si>
  <si>
    <t>9,700,000股</t>
  </si>
  <si>
    <t>107,670,000元</t>
  </si>
  <si>
    <t>6,850,000股</t>
  </si>
  <si>
    <t>62,883,000元</t>
  </si>
  <si>
    <t>2024-03-07</t>
  </si>
  <si>
    <t>122,478,000元</t>
  </si>
  <si>
    <t>2024-01-19</t>
  </si>
  <si>
    <t>54,750,000元</t>
  </si>
  <si>
    <t>2023-10-25</t>
  </si>
  <si>
    <t>2,500,000股</t>
  </si>
  <si>
    <t>24,875,000元</t>
  </si>
  <si>
    <t>7,410,000股</t>
  </si>
  <si>
    <t>97,515,600元</t>
  </si>
  <si>
    <t>2023-09-14</t>
  </si>
  <si>
    <t>9,500,000股</t>
  </si>
  <si>
    <t>122,550,000元</t>
  </si>
  <si>
    <t>2023-08-08</t>
  </si>
  <si>
    <t>1,280,000股</t>
  </si>
  <si>
    <t>17,028,761元</t>
  </si>
  <si>
    <t>2023-04-26</t>
  </si>
  <si>
    <t>1,530,000股</t>
  </si>
  <si>
    <t>23,087,700元</t>
  </si>
  <si>
    <t>6,570,000股</t>
  </si>
  <si>
    <t>91,520,100元</t>
  </si>
  <si>
    <t>3,340,000股</t>
  </si>
  <si>
    <t>39,055,564元</t>
  </si>
  <si>
    <t>1,700,000股</t>
  </si>
  <si>
    <t>30,869,468元</t>
  </si>
  <si>
    <t>2023-04-10</t>
  </si>
  <si>
    <t>10,500,000股</t>
  </si>
  <si>
    <t>167,512,260元</t>
  </si>
  <si>
    <t>2023-03-24</t>
  </si>
  <si>
    <t>9,320,000股</t>
  </si>
  <si>
    <t>140,638,800元</t>
  </si>
  <si>
    <t>2023-03-17</t>
  </si>
  <si>
    <t>1,640,000股</t>
  </si>
  <si>
    <t>27,194,664元</t>
  </si>
  <si>
    <t>4,950,000股</t>
  </si>
  <si>
    <t>59,400,000元</t>
  </si>
  <si>
    <t>1,800,000股</t>
  </si>
  <si>
    <t>29,847,802元</t>
  </si>
  <si>
    <t>2023-02-03</t>
  </si>
  <si>
    <t>3,605,679股</t>
  </si>
  <si>
    <t>37,736,797元</t>
  </si>
  <si>
    <t>1,114,500股</t>
  </si>
  <si>
    <t>10,581,117元</t>
  </si>
  <si>
    <t>2023-01-30</t>
  </si>
  <si>
    <t>900,000股</t>
  </si>
  <si>
    <t>12,096,000元</t>
  </si>
  <si>
    <t>2022-11-18</t>
  </si>
  <si>
    <t>6,300,000股</t>
  </si>
  <si>
    <t>135,078,366元</t>
  </si>
  <si>
    <t>2022-10-17</t>
  </si>
  <si>
    <t>342,986,328元</t>
  </si>
  <si>
    <t>20,059,525元</t>
  </si>
  <si>
    <t>2022-06-23</t>
  </si>
  <si>
    <t>7,389,200股</t>
  </si>
  <si>
    <t>60,257,170元</t>
  </si>
  <si>
    <t>5,012,600股</t>
  </si>
  <si>
    <t>40,431,823元</t>
  </si>
  <si>
    <t>2022-06-08</t>
  </si>
  <si>
    <t>12,552,543元</t>
  </si>
  <si>
    <t>23,242,894元</t>
  </si>
  <si>
    <t>7,400,000股</t>
  </si>
  <si>
    <t>202,888,431元</t>
  </si>
  <si>
    <t>2022-02-25</t>
  </si>
  <si>
    <t>3,212,000股</t>
  </si>
  <si>
    <t>28,232,462元</t>
  </si>
  <si>
    <t>18,202,000股</t>
  </si>
  <si>
    <t>159,989,811元</t>
  </si>
  <si>
    <t>2022-01-28</t>
  </si>
  <si>
    <t>2,070,368股</t>
  </si>
  <si>
    <t>27,606,527元</t>
  </si>
  <si>
    <t>3,049,632股</t>
  </si>
  <si>
    <t>40,664,147元</t>
  </si>
  <si>
    <t>2021-12-14</t>
  </si>
  <si>
    <t>10,360,000股</t>
  </si>
  <si>
    <t>106,477,784元</t>
  </si>
  <si>
    <t>6,320,000股</t>
  </si>
  <si>
    <t>65,229,656元</t>
  </si>
  <si>
    <t>930,000股</t>
  </si>
  <si>
    <t>13,773,468元</t>
  </si>
  <si>
    <t>2021-08-03</t>
  </si>
  <si>
    <t>3,340,100股</t>
  </si>
  <si>
    <t>29,990,097元</t>
  </si>
  <si>
    <t>4,330,000股</t>
  </si>
  <si>
    <t>43,140,609元</t>
  </si>
  <si>
    <t>7,990,000股</t>
  </si>
  <si>
    <t>85,167,171元</t>
  </si>
  <si>
    <t>税收违法</t>
  </si>
  <si>
    <t>劳动仲裁-开庭公告</t>
  </si>
  <si>
    <t>劳动仲裁-送达公告</t>
  </si>
  <si>
    <t>动产抵押</t>
  </si>
  <si>
    <t>环保处罚</t>
  </si>
  <si>
    <t>欠税公告</t>
  </si>
  <si>
    <t>清算信息</t>
  </si>
  <si>
    <t>公示催告</t>
  </si>
  <si>
    <t>票面总金额：23万元</t>
  </si>
  <si>
    <t>票据号</t>
  </si>
  <si>
    <t>申请人</t>
  </si>
  <si>
    <t>持票人</t>
  </si>
  <si>
    <t>票面金额</t>
  </si>
  <si>
    <t>票据类型</t>
  </si>
  <si>
    <t>发布机构</t>
  </si>
  <si>
    <t>2011-11-19</t>
  </si>
  <si>
    <t>00018458</t>
  </si>
  <si>
    <t>未公示</t>
  </si>
  <si>
    <t>200000元</t>
  </si>
  <si>
    <t>银行承兑汇票</t>
  </si>
  <si>
    <t>00018456</t>
  </si>
  <si>
    <t>30000元</t>
  </si>
  <si>
    <t>政府约谈</t>
  </si>
  <si>
    <t>土地抵押</t>
  </si>
  <si>
    <t>简易注销</t>
  </si>
  <si>
    <t>产品召回</t>
  </si>
  <si>
    <t>注销备案</t>
  </si>
  <si>
    <t>该维度共17条数据</t>
  </si>
  <si>
    <t>惩戒名单</t>
  </si>
  <si>
    <t>招聘信息</t>
  </si>
  <si>
    <t>该维度共493条数据，此次为您导出50条</t>
  </si>
  <si>
    <t>招聘职位</t>
  </si>
  <si>
    <t>薪资</t>
  </si>
  <si>
    <t>工作经验</t>
  </si>
  <si>
    <t>2026-04-16</t>
  </si>
  <si>
    <t>外派综合部经理（武汉）</t>
  </si>
  <si>
    <t>10000－20000元/月</t>
  </si>
  <si>
    <t>5年</t>
  </si>
  <si>
    <t>武汉市</t>
  </si>
  <si>
    <t>2026-04-09</t>
  </si>
  <si>
    <t>fpga研发工程师</t>
  </si>
  <si>
    <t>12000－18000元/月</t>
  </si>
  <si>
    <t>3年</t>
  </si>
  <si>
    <t>长沙市</t>
  </si>
  <si>
    <t>2026-02-05</t>
  </si>
  <si>
    <t>售后服务工程师</t>
  </si>
  <si>
    <t>7000－7000元/月</t>
  </si>
  <si>
    <t>大专</t>
  </si>
  <si>
    <t>2025-12-03</t>
  </si>
  <si>
    <t>电力电子硬件工程师</t>
  </si>
  <si>
    <t>15000－20000元/月</t>
  </si>
  <si>
    <t>2025-11-05</t>
  </si>
  <si>
    <t>海外工程项目经理</t>
  </si>
  <si>
    <t>10000－15000元/月</t>
  </si>
  <si>
    <t>10年</t>
  </si>
  <si>
    <t>2025-10-14</t>
  </si>
  <si>
    <t>工程现场项目经理</t>
  </si>
  <si>
    <t>100000－150000元/年</t>
  </si>
  <si>
    <t>2025-09-16</t>
  </si>
  <si>
    <t>光伏项目技术总工</t>
  </si>
  <si>
    <t>2025-08-25</t>
  </si>
  <si>
    <t>机电安装项目经理</t>
  </si>
  <si>
    <t>5-7年</t>
  </si>
  <si>
    <t>2025-08-20</t>
  </si>
  <si>
    <t>火电厂技术总工</t>
  </si>
  <si>
    <t>200000－300000元/年</t>
  </si>
  <si>
    <t>2025-07-17</t>
  </si>
  <si>
    <t>.NET开发工程师</t>
  </si>
  <si>
    <t>2025-07-10</t>
  </si>
  <si>
    <t>施工员</t>
  </si>
  <si>
    <t>5000－8000元/月</t>
  </si>
  <si>
    <t>不限</t>
  </si>
  <si>
    <t>2025-06-23</t>
  </si>
  <si>
    <t>风电现场项目经理</t>
  </si>
  <si>
    <t>100000－200000元/年</t>
  </si>
  <si>
    <t>2025-03-31</t>
  </si>
  <si>
    <t>营销工程师</t>
  </si>
  <si>
    <t>80000－150000元/年</t>
  </si>
  <si>
    <t>2年</t>
  </si>
  <si>
    <t>海外营销工程师</t>
  </si>
  <si>
    <t>储能营销工程师</t>
  </si>
  <si>
    <t>2024-12-23</t>
  </si>
  <si>
    <t>海外销售</t>
  </si>
  <si>
    <t>6000－6000元/月</t>
  </si>
  <si>
    <t>1年</t>
  </si>
  <si>
    <t>2024-11-08</t>
  </si>
  <si>
    <t>海外技术支持工程师</t>
  </si>
  <si>
    <t>营销项目总监</t>
  </si>
  <si>
    <t>储能系统设计工程师</t>
  </si>
  <si>
    <t>2024-10-31</t>
  </si>
  <si>
    <t>工程管理工程师（华自国际）</t>
  </si>
  <si>
    <t>技术支持工程师（华自国际）</t>
  </si>
  <si>
    <t>电力电子产品研发工程师</t>
  </si>
  <si>
    <t>150000－300000元/年</t>
  </si>
  <si>
    <t>2024-06-18</t>
  </si>
  <si>
    <t>驻京办营销项目总监</t>
  </si>
  <si>
    <t>北京市</t>
  </si>
  <si>
    <t>2023-04-28</t>
  </si>
  <si>
    <t>电气维修工程师</t>
  </si>
  <si>
    <t>10000元以上/月</t>
  </si>
  <si>
    <t>机械维修工程师</t>
  </si>
  <si>
    <t>5000－9000元/月</t>
  </si>
  <si>
    <t>项目经理</t>
  </si>
  <si>
    <t>新能源业务项目经理</t>
  </si>
  <si>
    <t>市场经理</t>
  </si>
  <si>
    <t>6000－9000元/月</t>
  </si>
  <si>
    <t>三年</t>
  </si>
  <si>
    <t>电气维修（安装）工程师</t>
  </si>
  <si>
    <t>面议</t>
  </si>
  <si>
    <t>宜昌市</t>
  </si>
  <si>
    <t>新疆办事处主任</t>
  </si>
  <si>
    <t>二年</t>
  </si>
  <si>
    <t>商务助理</t>
  </si>
  <si>
    <t>3000－5000元/月</t>
  </si>
  <si>
    <t>机械维修（安装）工程师</t>
  </si>
  <si>
    <t>运行值班长</t>
  </si>
  <si>
    <t>技术服务工程</t>
  </si>
  <si>
    <t>水电站运维机电维修工程师</t>
  </si>
  <si>
    <t>高中/职高/中专</t>
  </si>
  <si>
    <t>技术支持工程师（智能运维）</t>
  </si>
  <si>
    <t>一年</t>
  </si>
  <si>
    <t>技术支持工程师</t>
  </si>
  <si>
    <t>现场技术负责人</t>
  </si>
  <si>
    <t>西南办事处主任</t>
  </si>
  <si>
    <t>安全质量工程师</t>
  </si>
  <si>
    <t>水电站、泵站、闸站、风电、光伏、储能运维项目经理</t>
  </si>
  <si>
    <t>高级经理</t>
  </si>
  <si>
    <t>4000－6000元/月</t>
  </si>
  <si>
    <t>五年</t>
  </si>
  <si>
    <t>项目总监</t>
  </si>
  <si>
    <t>八年</t>
  </si>
  <si>
    <t>销售经理</t>
  </si>
  <si>
    <t>智能运维工程师</t>
  </si>
  <si>
    <t>行政许可</t>
  </si>
  <si>
    <t>决定日期/有效期自</t>
  </si>
  <si>
    <t>截止日期/有效期至</t>
  </si>
  <si>
    <t>许可文件编号/文书号</t>
  </si>
  <si>
    <t>许可文件名称</t>
  </si>
  <si>
    <t>决定/许可机关</t>
  </si>
  <si>
    <t>许可内容</t>
  </si>
  <si>
    <t>2025-11-07</t>
  </si>
  <si>
    <t>2026-03-10</t>
  </si>
  <si>
    <t>车11湘A12079（25）</t>
  </si>
  <si>
    <t>特种设备使用登记</t>
  </si>
  <si>
    <t>湖南湘江新区管理委员会</t>
  </si>
  <si>
    <t>前移式叉车</t>
  </si>
  <si>
    <t>2025-05-20</t>
  </si>
  <si>
    <t>〔2025〕园林129</t>
  </si>
  <si>
    <t>新建电动汽车直流充换电设施</t>
  </si>
  <si>
    <t>湖南湘江新区管理委员会行政执法局</t>
  </si>
  <si>
    <t>1、许可申请人因新建电动汽车直流充换电设施施工需要在青山路尖山湖公园1号地上停车场内改变绿化规划、绿化用地的使用性质（全新B类新型装配式围挡）。2、许可设置内容：香樟3株（胸径17㎝）、灌木19㎡。3、许可期限：施工时间自2025年5月21日至2025年10月31日止。</t>
  </si>
  <si>
    <t>2024-02-06</t>
  </si>
  <si>
    <t>2027-02-01</t>
  </si>
  <si>
    <t>（湘）JZ安许证字〔2010〕000050</t>
  </si>
  <si>
    <t>安全生产许可证</t>
  </si>
  <si>
    <t>建筑施工</t>
  </si>
  <si>
    <t>2023-04-17</t>
  </si>
  <si>
    <t>2028-04-16</t>
  </si>
  <si>
    <t>（高新）市监食经许字〔2023〕第000936号</t>
  </si>
  <si>
    <t>食品经营许可证</t>
  </si>
  <si>
    <t>岳麓区市场监督局</t>
  </si>
  <si>
    <t>热食类食品制售</t>
  </si>
  <si>
    <t>JY34301060014384</t>
  </si>
  <si>
    <t>长沙高新技术产业开发区管理委员会</t>
  </si>
  <si>
    <t>2022-12-16</t>
  </si>
  <si>
    <t>2028-12-15</t>
  </si>
  <si>
    <t>5-5-00034-2010</t>
  </si>
  <si>
    <t>湖南能源监管办</t>
  </si>
  <si>
    <t>2020-07-17</t>
  </si>
  <si>
    <t>2099-12-31</t>
  </si>
  <si>
    <t>430104202020035</t>
  </si>
  <si>
    <t>竣工验收合格证</t>
  </si>
  <si>
    <t>核发建设工程规划竣工验收合格证</t>
  </si>
  <si>
    <t>2020-07-16</t>
  </si>
  <si>
    <t>430104202020034</t>
  </si>
  <si>
    <t>2018-08-24</t>
  </si>
  <si>
    <t>2024-03-17</t>
  </si>
  <si>
    <t>车11湘A300046（18）</t>
  </si>
  <si>
    <t>车11湘A300047（18）</t>
  </si>
  <si>
    <t>税务评级</t>
  </si>
  <si>
    <t>该维度共12条数据</t>
  </si>
  <si>
    <t>评价年度</t>
  </si>
  <si>
    <t>纳税人信用级别</t>
  </si>
  <si>
    <t>评价单位</t>
  </si>
  <si>
    <t>2025</t>
  </si>
  <si>
    <t>A</t>
  </si>
  <si>
    <t>国税</t>
  </si>
  <si>
    <t>国家税务总局湖南省税务局</t>
  </si>
  <si>
    <t>2024</t>
  </si>
  <si>
    <t>2023</t>
  </si>
  <si>
    <t>2022</t>
  </si>
  <si>
    <t>2021</t>
  </si>
  <si>
    <t>2020</t>
  </si>
  <si>
    <t>2019</t>
  </si>
  <si>
    <t>国家税务总局</t>
  </si>
  <si>
    <t>2018</t>
  </si>
  <si>
    <t>2017</t>
  </si>
  <si>
    <t>2015</t>
  </si>
  <si>
    <t>2014</t>
  </si>
  <si>
    <t>2013</t>
  </si>
  <si>
    <t>地税</t>
  </si>
  <si>
    <t>高新区地税局税务一分局</t>
  </si>
  <si>
    <t>一般纳税人</t>
  </si>
  <si>
    <t>纳税人名称</t>
  </si>
  <si>
    <t>纳税人资格类型</t>
  </si>
  <si>
    <t>主管税务机关</t>
  </si>
  <si>
    <t>有效期止</t>
  </si>
  <si>
    <t>简易办法征收一般纳税人</t>
  </si>
  <si>
    <t>国家税务总局长沙高新技术产业开发区税务局</t>
  </si>
  <si>
    <t>软件及集成电路生产企业</t>
  </si>
  <si>
    <t>国家税务总局湖南湘江新区税务局</t>
  </si>
  <si>
    <t>2050-12-31</t>
  </si>
  <si>
    <t>资质证书</t>
  </si>
  <si>
    <t>该维度共306条数据，此次为您导出50条</t>
  </si>
  <si>
    <t>证书名称</t>
  </si>
  <si>
    <t>资质类别/产品名称</t>
  </si>
  <si>
    <t>证书编号</t>
  </si>
  <si>
    <t>发证机构</t>
  </si>
  <si>
    <t>有效期至</t>
  </si>
  <si>
    <t>证书状态</t>
  </si>
  <si>
    <t>质量管理体系认证</t>
  </si>
  <si>
    <t>00125QJ300110R501</t>
  </si>
  <si>
    <t>中国质量认证中心有限公司</t>
  </si>
  <si>
    <t>2026-05-19</t>
  </si>
  <si>
    <t>2028-05-23</t>
  </si>
  <si>
    <t>有效</t>
  </si>
  <si>
    <t>环境管理体系认证</t>
  </si>
  <si>
    <t>00125E301445R501</t>
  </si>
  <si>
    <t>2026-05-18</t>
  </si>
  <si>
    <t>2028-05-22</t>
  </si>
  <si>
    <t>职业健康安全管理体系认证</t>
  </si>
  <si>
    <t>00125S301224R501</t>
  </si>
  <si>
    <t>2028-05-21</t>
  </si>
  <si>
    <t>在收费或合同基础上的生产服务</t>
  </si>
  <si>
    <t>CTEAS20180705HZKJR2M-7</t>
  </si>
  <si>
    <t>北京五洲天宇认证中心</t>
  </si>
  <si>
    <t>2026-12-26</t>
  </si>
  <si>
    <t>建筑业企业资质证书</t>
  </si>
  <si>
    <t>其他自愿性工业产品认证</t>
  </si>
  <si>
    <t>储能变流器</t>
  </si>
  <si>
    <t>CGC2026003004237</t>
  </si>
  <si>
    <t>北京鉴衡认证中心有限公司</t>
  </si>
  <si>
    <t>2026-01-30</t>
  </si>
  <si>
    <t>2031-01-29</t>
  </si>
  <si>
    <t>软件产品证书</t>
  </si>
  <si>
    <t>DMP微机保护测控系统</t>
  </si>
  <si>
    <t>湘RC-2025-0325</t>
  </si>
  <si>
    <t>2025-09-03</t>
  </si>
  <si>
    <t>2030-09-03</t>
  </si>
  <si>
    <t>HZ3000计算机监控系统[简称:HZ3000]</t>
  </si>
  <si>
    <t>湘RC-2025-0308</t>
  </si>
  <si>
    <t>Control Cabinet</t>
  </si>
  <si>
    <t>AE506914410001</t>
  </si>
  <si>
    <t>莱茵检测认证服务（中国）有限公司</t>
  </si>
  <si>
    <t>2025-08-19</t>
  </si>
  <si>
    <t>Low-voltage switchgear and controlgear assembly</t>
  </si>
  <si>
    <t>AN506914520001</t>
  </si>
  <si>
    <t>信息安全管理体系认证</t>
  </si>
  <si>
    <t>01123IS30047R1M</t>
  </si>
  <si>
    <t>北京赛西认证有限责任公司</t>
  </si>
  <si>
    <t>2026-08-02</t>
  </si>
  <si>
    <t>中华人民共和国住房和城乡建设部</t>
  </si>
  <si>
    <t>Integrated energy storage System</t>
  </si>
  <si>
    <t>4479925406749-186</t>
  </si>
  <si>
    <t>杭州汉德质量认证服务有限公司</t>
  </si>
  <si>
    <t>2025-07-02</t>
  </si>
  <si>
    <t>4479925406749-187</t>
  </si>
  <si>
    <t>信息安全服务资质认证</t>
  </si>
  <si>
    <t>CCRC-2020-ISV-SD-284</t>
  </si>
  <si>
    <t>中国网络安全审查认证和市场监管大数据中心</t>
  </si>
  <si>
    <t>2025-06-07</t>
  </si>
  <si>
    <t>2028-06-06</t>
  </si>
  <si>
    <t>CCRC-2021-ISV-SI-2346</t>
  </si>
  <si>
    <t>软件企业证书</t>
  </si>
  <si>
    <t>嵌入式应用软件|软件定制服务|信息系统集成服务|应用软件</t>
  </si>
  <si>
    <t>湘RQ-2016-0068</t>
  </si>
  <si>
    <t>2026-05-16</t>
  </si>
  <si>
    <t>过期失效</t>
  </si>
  <si>
    <t>00125QJ30110R5M/4300</t>
  </si>
  <si>
    <t>2025-05-13</t>
  </si>
  <si>
    <t>00125S31224R5M/4300</t>
  </si>
  <si>
    <t>2025-05-12</t>
  </si>
  <si>
    <t>00125E31445R5M/4300</t>
  </si>
  <si>
    <t>交流低压配电柜（低压成套开关设备）</t>
  </si>
  <si>
    <t>CQC2013010301666219</t>
  </si>
  <si>
    <t>2031-04-26</t>
  </si>
  <si>
    <t>双电源柜（低压成套开关设备）</t>
  </si>
  <si>
    <t>CQC2018010301077691</t>
  </si>
  <si>
    <t>2024-12-03</t>
  </si>
  <si>
    <t>CQC2012010301567249</t>
  </si>
  <si>
    <t>2024-11-28</t>
  </si>
  <si>
    <t>CQC2008010301278324</t>
  </si>
  <si>
    <t>2024-11-27</t>
  </si>
  <si>
    <t>CQC2006010301185582</t>
  </si>
  <si>
    <t>低压抽出式开关柜（低压成套开关设备）</t>
  </si>
  <si>
    <t>CQC2005010301156933</t>
  </si>
  <si>
    <t>CQC2016010301921369</t>
  </si>
  <si>
    <t>CQC2017010301933859</t>
  </si>
  <si>
    <t>CQC2017010301933854</t>
  </si>
  <si>
    <t>CQC20020256268</t>
  </si>
  <si>
    <t>CQC20020266219</t>
  </si>
  <si>
    <t>CQC20020266217</t>
  </si>
  <si>
    <t>CQC2015010301831743</t>
  </si>
  <si>
    <t>2024-11-25</t>
  </si>
  <si>
    <t>CQC2015010301831742</t>
  </si>
  <si>
    <t>户外综合配电箱（低压成套开关设备）</t>
  </si>
  <si>
    <t>CQC2011010301507075</t>
  </si>
  <si>
    <t>2031-10-25</t>
  </si>
  <si>
    <t>CQC2010010301453263</t>
  </si>
  <si>
    <t>CQC2010010301453262</t>
  </si>
  <si>
    <t>CQC2006010301185581</t>
  </si>
  <si>
    <t>CQC2005010301156931</t>
  </si>
  <si>
    <t>动力配电柜（低压成套开关设备）</t>
  </si>
  <si>
    <t>CQC2005010301156930</t>
  </si>
  <si>
    <t>CQC2016010301865558</t>
  </si>
  <si>
    <t>CQC2016010301921370</t>
  </si>
  <si>
    <t>CQC2012010301546661</t>
  </si>
  <si>
    <t>CQC2018010301057808</t>
  </si>
  <si>
    <t>CQC2009010301373480</t>
  </si>
  <si>
    <t>CQC2009010301365666</t>
  </si>
  <si>
    <t>强制性产品自我声明证书</t>
  </si>
  <si>
    <t>2024000301011445</t>
  </si>
  <si>
    <t>2024-11-04</t>
  </si>
  <si>
    <t>2034-11-03</t>
  </si>
  <si>
    <t>2024000301011444</t>
  </si>
  <si>
    <t>2024000301011443</t>
  </si>
  <si>
    <t>工程设计资质证书</t>
  </si>
  <si>
    <t>招投标</t>
  </si>
  <si>
    <t>该维度共2723条数据，此次为您导出20条</t>
  </si>
  <si>
    <t>项目名称</t>
  </si>
  <si>
    <t>招采单位</t>
  </si>
  <si>
    <t>中标单位</t>
  </si>
  <si>
    <t>中标金额</t>
  </si>
  <si>
    <t>湖南烟叶复烤有限公司永州复烤厂关于2026-2028年配电房设备养护服务项目-中标候选人公示</t>
  </si>
  <si>
    <t>2026-07-31</t>
  </si>
  <si>
    <t>湖南烟叶复烤有限公司</t>
  </si>
  <si>
    <t>【磐石项目红敏附建变电所设备采购与安装】候选人公示</t>
  </si>
  <si>
    <t>湖南云箭集团有限公司</t>
  </si>
  <si>
    <t>387万元</t>
  </si>
  <si>
    <t>致君项目管理有限公司关于集控中心和20座水电站维修养护服务项目中标(成交)结果公告</t>
  </si>
  <si>
    <t>2026-07-30</t>
  </si>
  <si>
    <t>新昌县绿色能源发展有限公司</t>
  </si>
  <si>
    <t>184.95万元</t>
  </si>
  <si>
    <t>攸县万古桥社区老旧居住区宜居改造工程项目（充电桩设施改造）公开招标中标公告</t>
  </si>
  <si>
    <t>2026-07-29</t>
  </si>
  <si>
    <t>湖南省攸州投资发展集团有限公司</t>
  </si>
  <si>
    <t>中国电信股份有限公司株洲分公司</t>
  </si>
  <si>
    <t>365.25万元</t>
  </si>
  <si>
    <t>攸县万古桥社区老旧居住区宜居改造工程项目（充电桩设施改造）</t>
  </si>
  <si>
    <t>湖南中烟工业有限责任公司吴忠卷烟厂易地技术改造工程总承包及其他项目-变配电设备采购及服务中标候选人公示</t>
  </si>
  <si>
    <t>2026-07-27</t>
  </si>
  <si>
    <t>湖南中烟工业有限责任公司吴忠卷烟厂</t>
  </si>
  <si>
    <t>宁陵县城区水污染治理设施设备更新项目第一标段(包)中标候选人公示</t>
  </si>
  <si>
    <t>宁陵县葛天水务投资集团有限公司</t>
  </si>
  <si>
    <t>北京金控数据技术股份有限公司</t>
  </si>
  <si>
    <t>1960.3万元</t>
  </si>
  <si>
    <t>联通数字科技有限公司山西分公司2026年泵站系统设备采购项目中选候选人公示</t>
  </si>
  <si>
    <t>2026-07-24</t>
  </si>
  <si>
    <t>联通数字科技有限公司山西分公司</t>
  </si>
  <si>
    <t>龙须带水电站微机综合自动化系统及励磁变迁移改造项目中标公告</t>
  </si>
  <si>
    <t>2026-07-23</t>
  </si>
  <si>
    <t>清远市粤能水电发展有限公司</t>
  </si>
  <si>
    <t>239.2万元</t>
  </si>
  <si>
    <t>穆棱市鑫源水电厂房防水淹监测系统安装工程采购公告</t>
  </si>
  <si>
    <t>穆棱市鑫源水电有限公司</t>
  </si>
  <si>
    <t>【房县中心】湖北省房县白玉口电站复建加固工程（机电设备采购及安装）湖北省房县白玉口电站复建加固工程（机电设备采购及安装）中标结果公告(标段编号HBFX-202606QT-002001001)</t>
  </si>
  <si>
    <t>2026-07-17</t>
  </si>
  <si>
    <t>汉成能源集团有限公司、湖北范家垭水利开发有限责任公司、湖北道合项目管理有限公司</t>
  </si>
  <si>
    <t>750万元</t>
  </si>
  <si>
    <t>湖北省房县白玉口电站复建加固工程（机电设备采购及安装）湖北省房县白玉口电站复建加固工程（机电设备采购及安装）中标结果公告</t>
  </si>
  <si>
    <t>湖北范家垭水利开发有限责任公司</t>
  </si>
  <si>
    <t>华自科技股份有限公司储能系列产品及光储柴微电网试验平台升级改造项目招标公告</t>
  </si>
  <si>
    <t>2026-07-15</t>
  </si>
  <si>
    <t>【房县中心】湖北省房县白玉口电站复建加固工程（机电设备采购及安装）评标结果公示(标段编号HBFX-202606QT-002001001)</t>
  </si>
  <si>
    <t>2026-07-10</t>
  </si>
  <si>
    <t>湖北省房县白玉口电站复建加固工程（机电设备采购及安装）中标候选人公示</t>
  </si>
  <si>
    <t>宁陵县城区水污染治理设施设备更新项目第一标段(包)</t>
  </si>
  <si>
    <t>2026-07-09</t>
  </si>
  <si>
    <t>信用评级</t>
  </si>
  <si>
    <t>评级公司</t>
  </si>
  <si>
    <t>主体等级</t>
  </si>
  <si>
    <t>债券信用等级</t>
  </si>
  <si>
    <t>评级展望</t>
  </si>
  <si>
    <t>评级日期</t>
  </si>
  <si>
    <t>北京联信征信咨询有限责任公司</t>
  </si>
  <si>
    <t>AAA</t>
  </si>
  <si>
    <t>2022-09-21</t>
  </si>
  <si>
    <t>市场监管抽检抽查</t>
  </si>
  <si>
    <t>产品质量监督抽检抽查</t>
  </si>
  <si>
    <t>认证监管司抽检抽查</t>
  </si>
  <si>
    <t>双随机抽查</t>
  </si>
  <si>
    <t>抽查计划编号</t>
  </si>
  <si>
    <t>抽查计划名称</t>
  </si>
  <si>
    <t>抽查任务编号</t>
  </si>
  <si>
    <t>抽查任务名称</t>
  </si>
  <si>
    <t>抽查类型</t>
  </si>
  <si>
    <t>抽查机关</t>
  </si>
  <si>
    <t>抽查完成日期</t>
  </si>
  <si>
    <t>4301042023101</t>
  </si>
  <si>
    <t>湖南湘江新区管理委员会商务和市场监管2023年度双随机一公开监管抽查工作计划</t>
  </si>
  <si>
    <t>430104202312041005</t>
  </si>
  <si>
    <t>特种设备使用单位监督检查</t>
  </si>
  <si>
    <t xml:space="preserve">定向 </t>
  </si>
  <si>
    <t>湖南湘江新区管理委员会商务和市场监管局（市场监管）</t>
  </si>
  <si>
    <t>2023-12-27</t>
  </si>
  <si>
    <t>政府公告</t>
  </si>
  <si>
    <t>资产交易</t>
  </si>
  <si>
    <t>地块公示</t>
  </si>
  <si>
    <t>地块位置</t>
  </si>
  <si>
    <t>行政区</t>
  </si>
  <si>
    <t>土地面积</t>
  </si>
  <si>
    <t>土地用途</t>
  </si>
  <si>
    <t>发布机关</t>
  </si>
  <si>
    <t>2013-05-28</t>
  </si>
  <si>
    <t>高新区信息产业园内、岳兴路以南、欣盛路以北、三环线以东</t>
  </si>
  <si>
    <t>湖南省  长沙市  岳麓区</t>
  </si>
  <si>
    <t>4.318876公顷</t>
  </si>
  <si>
    <t>工业用地</t>
  </si>
  <si>
    <t>长沙市国土局（长沙大河西高新区）</t>
  </si>
  <si>
    <t>土地转让</t>
  </si>
  <si>
    <t>进出口信用</t>
  </si>
  <si>
    <t>注册日期</t>
  </si>
  <si>
    <t>注册海关</t>
  </si>
  <si>
    <t>行业种类</t>
  </si>
  <si>
    <t>经营类别</t>
  </si>
  <si>
    <t>信用等级</t>
  </si>
  <si>
    <t>星沙海关</t>
  </si>
  <si>
    <t>通信系统设备制造</t>
  </si>
  <si>
    <t>进出口货物收发货人</t>
  </si>
  <si>
    <t>注册登记和备案企业</t>
  </si>
  <si>
    <t>债券信息</t>
  </si>
  <si>
    <t>购地信息</t>
  </si>
  <si>
    <t>项目位置</t>
  </si>
  <si>
    <t>面积</t>
  </si>
  <si>
    <t>供地方式</t>
  </si>
  <si>
    <t>合同签订日期</t>
  </si>
  <si>
    <t>高新区信息产业园，岳兴路以南、欣盛路以北、三环线以东</t>
  </si>
  <si>
    <t>5.726365公顷</t>
  </si>
  <si>
    <t>岳麓区</t>
  </si>
  <si>
    <t>挂牌出让</t>
  </si>
  <si>
    <t>2013-05-15</t>
  </si>
  <si>
    <t>电信许可</t>
  </si>
  <si>
    <t>供应商</t>
  </si>
  <si>
    <t>该维度共21条数据，此次为您导出20条</t>
  </si>
  <si>
    <t>采购占比</t>
  </si>
  <si>
    <t>采购金额</t>
  </si>
  <si>
    <t>报告期</t>
  </si>
  <si>
    <t>数据来源</t>
  </si>
  <si>
    <t>关联关系</t>
  </si>
  <si>
    <t>陕西龙翔电器有限公司</t>
  </si>
  <si>
    <t>447.71万元</t>
  </si>
  <si>
    <t>2026-05-29</t>
  </si>
  <si>
    <t>招投标公告</t>
  </si>
  <si>
    <t>凯德技术长沙股份有限公司</t>
  </si>
  <si>
    <t>613.77万元</t>
  </si>
  <si>
    <t>2024-08-20</t>
  </si>
  <si>
    <t>供应商公告</t>
  </si>
  <si>
    <t>华翔翔能科技股份有限公司</t>
  </si>
  <si>
    <t>4181.96万元</t>
  </si>
  <si>
    <t>2024-04-29</t>
  </si>
  <si>
    <t>否</t>
  </si>
  <si>
    <t>桦甸市辉发河水电开发有限公司</t>
  </si>
  <si>
    <t>司法数据</t>
  </si>
  <si>
    <t>长峰电力集团股份有限公司</t>
  </si>
  <si>
    <t>2023-02-22</t>
  </si>
  <si>
    <t>湖南耀辰环保科技有限公司</t>
  </si>
  <si>
    <t>2021-10-19</t>
  </si>
  <si>
    <t>天健创新（北京）监测仪表股份有限公司</t>
  </si>
  <si>
    <t>2.69%</t>
  </si>
  <si>
    <t>48.28万元</t>
  </si>
  <si>
    <t>2020-08-21</t>
  </si>
  <si>
    <t>湖北大二互科技股份有限公司</t>
  </si>
  <si>
    <t>1.93%</t>
  </si>
  <si>
    <t>191.69万元</t>
  </si>
  <si>
    <t>2020-05-26</t>
  </si>
  <si>
    <t>非关联方</t>
  </si>
  <si>
    <t>苏州慧敏自动化系统科技有限公司</t>
  </si>
  <si>
    <t>2020-05-12</t>
  </si>
  <si>
    <t>苏变电气股份有限公司</t>
  </si>
  <si>
    <t>2.14%</t>
  </si>
  <si>
    <t>283.32万元</t>
  </si>
  <si>
    <t>2019-04-18</t>
  </si>
  <si>
    <t>安徽康海时代科技股份有限公司</t>
  </si>
  <si>
    <t>2.50%</t>
  </si>
  <si>
    <t>22.45万元</t>
  </si>
  <si>
    <t>2018-04-20</t>
  </si>
  <si>
    <t>湖南超弦科技股份有限公司</t>
  </si>
  <si>
    <t>2.07%</t>
  </si>
  <si>
    <t>92.69万元</t>
  </si>
  <si>
    <t>2016-04-19</t>
  </si>
  <si>
    <t>湖南天惠新材料科技有限公司</t>
  </si>
  <si>
    <t>5.11%</t>
  </si>
  <si>
    <t>897.92万元</t>
  </si>
  <si>
    <t>2015-12-16</t>
  </si>
  <si>
    <t>年报</t>
  </si>
  <si>
    <t>湖南深拓智能科技股份有限公司</t>
  </si>
  <si>
    <t>4.30%</t>
  </si>
  <si>
    <t>755.10万元</t>
  </si>
  <si>
    <t>长沙众业达电器有限公司</t>
  </si>
  <si>
    <t>3.32%</t>
  </si>
  <si>
    <t>583.91万元</t>
  </si>
  <si>
    <t>长沙金希达电子科技有限公司</t>
  </si>
  <si>
    <t>2.82%</t>
  </si>
  <si>
    <t>496.18万元</t>
  </si>
  <si>
    <t>湖南中天华拓工程技术有限公司</t>
  </si>
  <si>
    <t>3.38%</t>
  </si>
  <si>
    <t>441.34万元</t>
  </si>
  <si>
    <t>湖南江铜铜业有限公司</t>
  </si>
  <si>
    <t>2.99%</t>
  </si>
  <si>
    <t>389.86万元</t>
  </si>
  <si>
    <t>湖南南洋电气有限公司</t>
  </si>
  <si>
    <t>2.92%</t>
  </si>
  <si>
    <t>381.58万元</t>
  </si>
  <si>
    <t>金龙电缆科技有限公司</t>
  </si>
  <si>
    <t>2.77%</t>
  </si>
  <si>
    <t>361.46万元</t>
  </si>
  <si>
    <t>客户</t>
  </si>
  <si>
    <t>该维度共379条数据，此次为您导出50条</t>
  </si>
  <si>
    <t>销售占比</t>
  </si>
  <si>
    <t>销售金额</t>
  </si>
  <si>
    <t>387.00万元</t>
  </si>
  <si>
    <t>239.20万元</t>
  </si>
  <si>
    <t>黔东南洪瑀水电集约化管理有限公司</t>
  </si>
  <si>
    <t>2026-06-10</t>
  </si>
  <si>
    <t>中纺粮油（福建）有限公司</t>
  </si>
  <si>
    <t>湖南省欧阳海灌区水利水电工程管理局</t>
  </si>
  <si>
    <t>44.00万元</t>
  </si>
  <si>
    <t>黄山市月潭水库管理处</t>
  </si>
  <si>
    <t>56.00万元</t>
  </si>
  <si>
    <t>2026-05-22</t>
  </si>
  <si>
    <t>中国市政工程东北设计研究总院有限公司</t>
  </si>
  <si>
    <t>275.90万元</t>
  </si>
  <si>
    <t>2026-05-14</t>
  </si>
  <si>
    <t>长沙振望投资发展有限公司</t>
  </si>
  <si>
    <t>2026-04-10</t>
  </si>
  <si>
    <t>安徽省龙河口水库管理处</t>
  </si>
  <si>
    <t>潮州市凤电水电有限公司</t>
  </si>
  <si>
    <t>2026-03-20</t>
  </si>
  <si>
    <t>固原市住房和城乡建设局</t>
  </si>
  <si>
    <t>2026-03-18</t>
  </si>
  <si>
    <t>浏阳汇远实业有限公司</t>
  </si>
  <si>
    <t>2026-02-12</t>
  </si>
  <si>
    <t>安徽建工水利开发投资集团有限公司</t>
  </si>
  <si>
    <t>新华水力发电有限公司</t>
  </si>
  <si>
    <t>吉首市腾达环保有限公司</t>
  </si>
  <si>
    <t>2026-01-06</t>
  </si>
  <si>
    <t>上海电力建设有限责任公司</t>
  </si>
  <si>
    <t>2026-01-05</t>
  </si>
  <si>
    <t>上海宝冶集团有限公司</t>
  </si>
  <si>
    <t>2025-12-12</t>
  </si>
  <si>
    <t>清远市方能电力工程安装有限公司</t>
  </si>
  <si>
    <t>广东方夏集团有限公司</t>
  </si>
  <si>
    <t>2025-12-02</t>
  </si>
  <si>
    <t>娄底市第四污水处理有限公司</t>
  </si>
  <si>
    <t>10712.00万元</t>
  </si>
  <si>
    <t>2025-11-25</t>
  </si>
  <si>
    <t>中粮米业（岳阳）有限公司</t>
  </si>
  <si>
    <t>2025-11-24</t>
  </si>
  <si>
    <t>湖南信息职业技术学院</t>
  </si>
  <si>
    <t>2025-11-19</t>
  </si>
  <si>
    <t>湖北大禹建设股份有限公司</t>
  </si>
  <si>
    <t>2025-11-15</t>
  </si>
  <si>
    <t>中国铁路郑州局集团有限公司</t>
  </si>
  <si>
    <t>2025-11-12</t>
  </si>
  <si>
    <t>郑州市水利局</t>
  </si>
  <si>
    <t>2025-11-04</t>
  </si>
  <si>
    <t>黔东南州全丰实业有限责任公司</t>
  </si>
  <si>
    <t>119.78万元</t>
  </si>
  <si>
    <t>2025-10-17</t>
  </si>
  <si>
    <t>南方电网储能股份有限公司</t>
  </si>
  <si>
    <t>2025-09-19</t>
  </si>
  <si>
    <t>水城县金狮子水电发展有限公司</t>
  </si>
  <si>
    <t>广西电网有限责任公司</t>
  </si>
  <si>
    <t>2025-09-15</t>
  </si>
  <si>
    <t>井冈山风景旅游集团有限公司</t>
  </si>
  <si>
    <t>温州公用事业发展集团苍南水务有限公司</t>
  </si>
  <si>
    <t>平罗县德渊城乡水务有限公司</t>
  </si>
  <si>
    <t>383.13万元</t>
  </si>
  <si>
    <t>山西万家寨引黄北干支线水务有限公司</t>
  </si>
  <si>
    <t>798.17万元</t>
  </si>
  <si>
    <t>2025-08-21</t>
  </si>
  <si>
    <t>湖南津嘉能源有限责任公司</t>
  </si>
  <si>
    <t>中化学生态水利建设有限公司</t>
  </si>
  <si>
    <t>2025-08-18</t>
  </si>
  <si>
    <t>广东韶能集团股份有限公司</t>
  </si>
  <si>
    <t>2025-08-12</t>
  </si>
  <si>
    <t>广州华智建设工程有限公司</t>
  </si>
  <si>
    <t>2025-08-07</t>
  </si>
  <si>
    <t>宜春市方科污水处理有限公司</t>
  </si>
  <si>
    <t>2025-08-01</t>
  </si>
  <si>
    <t>贵州水投能源开发有限责任公司</t>
  </si>
  <si>
    <t>2025-07-21</t>
  </si>
  <si>
    <t>河南省燕山水库运行中心</t>
  </si>
  <si>
    <t>南方电网供应链（贵州）有限公司</t>
  </si>
  <si>
    <t>2025-07-14</t>
  </si>
  <si>
    <t>国网陕西省电力有限公司</t>
  </si>
  <si>
    <t>2025-07-04</t>
  </si>
  <si>
    <t>国网电力科学研究院有限公司</t>
  </si>
  <si>
    <t>三亚市大隆水利工程管理局</t>
  </si>
  <si>
    <t>2025-06-17</t>
  </si>
  <si>
    <t>国银金融租赁股份有限公司</t>
  </si>
  <si>
    <t>2025-06-16</t>
  </si>
  <si>
    <t>洪江能创风力发电有限公司</t>
  </si>
  <si>
    <t>永州市零陵区住房和城乡建设局</t>
  </si>
  <si>
    <t>2025-05-30</t>
  </si>
  <si>
    <t>上榜榜单</t>
  </si>
  <si>
    <t>该维度共20条数据</t>
  </si>
  <si>
    <t>榜单名称</t>
  </si>
  <si>
    <t>榜单类型</t>
  </si>
  <si>
    <t>来源</t>
  </si>
  <si>
    <t>榜内位置</t>
  </si>
  <si>
    <t>榜内名称</t>
  </si>
  <si>
    <t>发布年份</t>
  </si>
  <si>
    <t>2025工业互联网解决方案提供商TOP100</t>
  </si>
  <si>
    <t>企业榜</t>
  </si>
  <si>
    <t>德本咨询</t>
  </si>
  <si>
    <t>第61位</t>
  </si>
  <si>
    <t>2024固态电池技术服务企业TOP50</t>
  </si>
  <si>
    <t>硅谷动力</t>
  </si>
  <si>
    <t>第26位</t>
  </si>
  <si>
    <t>2024工业互联网500强</t>
  </si>
  <si>
    <t>第166位</t>
  </si>
  <si>
    <t>2023年度智能制造100强</t>
  </si>
  <si>
    <t>品牌产品榜</t>
  </si>
  <si>
    <t>第82位</t>
  </si>
  <si>
    <t>2022湖南制造业企业100强</t>
  </si>
  <si>
    <t>湖南省工业和信息化厅、湖南省企业和工业经济联合会</t>
  </si>
  <si>
    <t>第76位</t>
  </si>
  <si>
    <t>2022工业互联网500强（201-300）</t>
  </si>
  <si>
    <t>第263位</t>
  </si>
  <si>
    <t>“2021民营企业科技创新影响力100强”榜单</t>
  </si>
  <si>
    <t>第36位</t>
  </si>
  <si>
    <t>2021年湖南省软件和信息技术服务业企业50强</t>
  </si>
  <si>
    <t>湖南省软件行业协会</t>
  </si>
  <si>
    <t>第14位</t>
  </si>
  <si>
    <t>2020湖南省民营企业100强名单</t>
  </si>
  <si>
    <t>湖南省工商联</t>
  </si>
  <si>
    <t>第92位</t>
  </si>
  <si>
    <t>2020湖南制造业企业100强排行榜</t>
  </si>
  <si>
    <t>湖南省企业和工业经济联合会</t>
  </si>
  <si>
    <t>第85位</t>
  </si>
  <si>
    <t>2020年湖南软件和信息技术服务业企业50强名单-2020年湖南软件和信息技术服务业企业50强</t>
  </si>
  <si>
    <t>第12位</t>
  </si>
  <si>
    <t>2020中国智能工厂自动化集成商100强</t>
  </si>
  <si>
    <t>第53位</t>
  </si>
  <si>
    <t>2018年国家高新区瞪羚企业榜单</t>
  </si>
  <si>
    <t>科学技术部火炬高技术产业开发中心</t>
  </si>
  <si>
    <t>2021湖南制造业企业100强排行榜</t>
  </si>
  <si>
    <t>第100位</t>
  </si>
  <si>
    <t>2022年湖南高新技术企业综合创新能力百强榜</t>
  </si>
  <si>
    <t>湖南省科学技术信息研究所</t>
  </si>
  <si>
    <t>第43位</t>
  </si>
  <si>
    <t>第八批国家级制造业单项冠军企业名单</t>
  </si>
  <si>
    <t>工业和信息化部办公厅、中国工业联合会</t>
  </si>
  <si>
    <t>第324位</t>
  </si>
  <si>
    <t>2020年湖南省软件和信息技术服务业企业50强</t>
  </si>
  <si>
    <t>2019中国先进制造业品牌500强名单</t>
  </si>
  <si>
    <t>赛迪顾问智能装备产业研究中心</t>
  </si>
  <si>
    <t>第125位</t>
  </si>
  <si>
    <t>绿色设计+制造类企业</t>
  </si>
  <si>
    <t>工业和信息化部</t>
  </si>
  <si>
    <t>第11位</t>
  </si>
  <si>
    <t>2021湖南省软件和信息技术服务竞争力50强企业</t>
  </si>
  <si>
    <t>第9位</t>
  </si>
  <si>
    <t>食品安全</t>
  </si>
  <si>
    <t>主要指标</t>
  </si>
  <si>
    <t>2026一季度</t>
  </si>
  <si>
    <t>2025年报</t>
  </si>
  <si>
    <t>2025三季度</t>
  </si>
  <si>
    <t>2025中报</t>
  </si>
  <si>
    <t>2025一季度</t>
  </si>
  <si>
    <t>2024年报</t>
  </si>
  <si>
    <t>2024三季度</t>
  </si>
  <si>
    <t>2024中报</t>
  </si>
  <si>
    <t>2024一季度</t>
  </si>
  <si>
    <t>2023年报</t>
  </si>
  <si>
    <t>2023三季度</t>
  </si>
  <si>
    <t>2023中报</t>
  </si>
  <si>
    <t>2023一季度</t>
  </si>
  <si>
    <t>2022年报</t>
  </si>
  <si>
    <t>2022三季度</t>
  </si>
  <si>
    <t>2022中报</t>
  </si>
  <si>
    <t>2022一季度</t>
  </si>
  <si>
    <t>2021年报</t>
  </si>
  <si>
    <t>2021三季度</t>
  </si>
  <si>
    <t>2021中报</t>
  </si>
  <si>
    <t>2021一季度</t>
  </si>
  <si>
    <t>2020年报</t>
  </si>
  <si>
    <t>2020三季度</t>
  </si>
  <si>
    <t>2020中报</t>
  </si>
  <si>
    <t>2020一季度</t>
  </si>
  <si>
    <t>2019年报</t>
  </si>
  <si>
    <t>2019三季度</t>
  </si>
  <si>
    <t>2019中报</t>
  </si>
  <si>
    <t>2019一季度</t>
  </si>
  <si>
    <t>2018年报</t>
  </si>
  <si>
    <t>2018三季度</t>
  </si>
  <si>
    <t>2018中报</t>
  </si>
  <si>
    <t>2018一季度</t>
  </si>
  <si>
    <t>2017年报</t>
  </si>
  <si>
    <t>2017三季度</t>
  </si>
  <si>
    <t>2017中报</t>
  </si>
  <si>
    <t>2017一季度</t>
  </si>
  <si>
    <t>2016年报</t>
  </si>
  <si>
    <t>2016三季度</t>
  </si>
  <si>
    <t>2016中报</t>
  </si>
  <si>
    <t>2016一季度</t>
  </si>
  <si>
    <t>利润表</t>
  </si>
  <si>
    <t>营业总收入</t>
  </si>
  <si>
    <t>9亿</t>
  </si>
  <si>
    <t>23亿</t>
  </si>
  <si>
    <t>15亿</t>
  </si>
  <si>
    <t>10亿</t>
  </si>
  <si>
    <t>3亿</t>
  </si>
  <si>
    <t>19亿</t>
  </si>
  <si>
    <t>14亿</t>
  </si>
  <si>
    <t>12亿</t>
  </si>
  <si>
    <t>8亿</t>
  </si>
  <si>
    <t>24亿</t>
  </si>
  <si>
    <t>21亿</t>
  </si>
  <si>
    <t>4亿</t>
  </si>
  <si>
    <t>17亿</t>
  </si>
  <si>
    <t>13亿</t>
  </si>
  <si>
    <t>11亿</t>
  </si>
  <si>
    <t>7亿</t>
  </si>
  <si>
    <t>5亿</t>
  </si>
  <si>
    <t>1亿</t>
  </si>
  <si>
    <t>6亿</t>
  </si>
  <si>
    <t>2亿</t>
  </si>
  <si>
    <t>营业总收入同比(%)</t>
  </si>
  <si>
    <t>166.12</t>
  </si>
  <si>
    <t>23.01</t>
  </si>
  <si>
    <t>7.88</t>
  </si>
  <si>
    <t>-18.29</t>
  </si>
  <si>
    <t>-56.76</t>
  </si>
  <si>
    <t>-19.39</t>
  </si>
  <si>
    <t>-31.24</t>
  </si>
  <si>
    <t>-18.92</t>
  </si>
  <si>
    <t>95.39</t>
  </si>
  <si>
    <t>40.99</t>
  </si>
  <si>
    <t>64.68</t>
  </si>
  <si>
    <t>66.57</t>
  </si>
  <si>
    <t>-2.44</t>
  </si>
  <si>
    <t>-27.85</t>
  </si>
  <si>
    <t>11.54</t>
  </si>
  <si>
    <t>16.38</t>
  </si>
  <si>
    <t>52.03</t>
  </si>
  <si>
    <t>100.34</t>
  </si>
  <si>
    <t>110.34</t>
  </si>
  <si>
    <t>129.06</t>
  </si>
  <si>
    <t>118.93</t>
  </si>
  <si>
    <t>-19.22</t>
  </si>
  <si>
    <t>-39.74</t>
  </si>
  <si>
    <t>-43.3</t>
  </si>
  <si>
    <t>-43.77</t>
  </si>
  <si>
    <t>4.27</t>
  </si>
  <si>
    <t>21.04</t>
  </si>
  <si>
    <t>19.8</t>
  </si>
  <si>
    <t>13.58</t>
  </si>
  <si>
    <t>122.18</t>
  </si>
  <si>
    <t>115.54</t>
  </si>
  <si>
    <t>107.98</t>
  </si>
  <si>
    <t>81.68</t>
  </si>
  <si>
    <t>20.55</t>
  </si>
  <si>
    <t>1.29</t>
  </si>
  <si>
    <t>2.42</t>
  </si>
  <si>
    <t>-3.47</t>
  </si>
  <si>
    <t>22.87</t>
  </si>
  <si>
    <t>16.56</t>
  </si>
  <si>
    <t>17.77</t>
  </si>
  <si>
    <t>28.76</t>
  </si>
  <si>
    <t>-3亿</t>
  </si>
  <si>
    <t>-2亿</t>
  </si>
  <si>
    <t>-7806万</t>
  </si>
  <si>
    <t>-4亿</t>
  </si>
  <si>
    <t>-5240万</t>
  </si>
  <si>
    <t>-1206万</t>
  </si>
  <si>
    <t>1909万</t>
  </si>
  <si>
    <t>-1929万</t>
  </si>
  <si>
    <t>-4750万</t>
  </si>
  <si>
    <t>-5亿</t>
  </si>
  <si>
    <t>-9076万</t>
  </si>
  <si>
    <t>-3777万</t>
  </si>
  <si>
    <t>-1602万</t>
  </si>
  <si>
    <t>4481万</t>
  </si>
  <si>
    <t>2801万</t>
  </si>
  <si>
    <t>2657万</t>
  </si>
  <si>
    <t>280万</t>
  </si>
  <si>
    <t>2827万</t>
  </si>
  <si>
    <t>-2168万</t>
  </si>
  <si>
    <t>-2896万</t>
  </si>
  <si>
    <t>-1655万</t>
  </si>
  <si>
    <t>5926万</t>
  </si>
  <si>
    <t>2840万</t>
  </si>
  <si>
    <t>466万</t>
  </si>
  <si>
    <t>4812万</t>
  </si>
  <si>
    <t>2784万</t>
  </si>
  <si>
    <t>1214万</t>
  </si>
  <si>
    <t>6342万</t>
  </si>
  <si>
    <t>2752万</t>
  </si>
  <si>
    <t>1879万</t>
  </si>
  <si>
    <t>760万</t>
  </si>
  <si>
    <t>5468万</t>
  </si>
  <si>
    <t>3130万</t>
  </si>
  <si>
    <t>2307万</t>
  </si>
  <si>
    <t>986万</t>
  </si>
  <si>
    <t>7234万</t>
  </si>
  <si>
    <t>-1亿</t>
  </si>
  <si>
    <t>-7536万</t>
  </si>
  <si>
    <t>-4802万</t>
  </si>
  <si>
    <t>-654万</t>
  </si>
  <si>
    <t>2062万</t>
  </si>
  <si>
    <t>-818万</t>
  </si>
  <si>
    <t>-3998万</t>
  </si>
  <si>
    <t>-7955万</t>
  </si>
  <si>
    <t>-3612万</t>
  </si>
  <si>
    <t>-1528万</t>
  </si>
  <si>
    <t>4920万</t>
  </si>
  <si>
    <t>2167万</t>
  </si>
  <si>
    <t>1953万</t>
  </si>
  <si>
    <t>92万</t>
  </si>
  <si>
    <t>3213万</t>
  </si>
  <si>
    <t>-1122万</t>
  </si>
  <si>
    <t>-2386万</t>
  </si>
  <si>
    <t>-1647万</t>
  </si>
  <si>
    <t>8827万</t>
  </si>
  <si>
    <t>5380万</t>
  </si>
  <si>
    <t>2512万</t>
  </si>
  <si>
    <t>304万</t>
  </si>
  <si>
    <t>9872万</t>
  </si>
  <si>
    <t>4240万</t>
  </si>
  <si>
    <t>2266万</t>
  </si>
  <si>
    <t>977万</t>
  </si>
  <si>
    <t>5615万</t>
  </si>
  <si>
    <t>2446万</t>
  </si>
  <si>
    <t>1667万</t>
  </si>
  <si>
    <t>639万</t>
  </si>
  <si>
    <t>5315万</t>
  </si>
  <si>
    <t>2769万</t>
  </si>
  <si>
    <t>2029万</t>
  </si>
  <si>
    <t>860万</t>
  </si>
  <si>
    <t>净利润同比(%)</t>
  </si>
  <si>
    <t>195.99</t>
  </si>
  <si>
    <t>33.86</t>
  </si>
  <si>
    <t>-27.41</t>
  </si>
  <si>
    <t>-205.69</t>
  </si>
  <si>
    <t>-1051.96</t>
  </si>
  <si>
    <t>-114.19</t>
  </si>
  <si>
    <t>-878.93</t>
  </si>
  <si>
    <t>-486.81</t>
  </si>
  <si>
    <t>83.63</t>
  </si>
  <si>
    <t>55.64</t>
  </si>
  <si>
    <t>125.92</t>
  </si>
  <si>
    <t>77.35</t>
  </si>
  <si>
    <t>-161.54</t>
  </si>
  <si>
    <t>-1004.8</t>
  </si>
  <si>
    <t>-467.08</t>
  </si>
  <si>
    <t>-284.93</t>
  </si>
  <si>
    <t>-1761.81</t>
  </si>
  <si>
    <t>53.13</t>
  </si>
  <si>
    <t>293.15</t>
  </si>
  <si>
    <t>181.86</t>
  </si>
  <si>
    <t>105.58</t>
  </si>
  <si>
    <t>-63.6</t>
  </si>
  <si>
    <t>-120.86</t>
  </si>
  <si>
    <t>-194.99</t>
  </si>
  <si>
    <t>-642.44</t>
  </si>
  <si>
    <t>-10.59</t>
  </si>
  <si>
    <t>26.87</t>
  </si>
  <si>
    <t>10.87</t>
  </si>
  <si>
    <t>-68.91</t>
  </si>
  <si>
    <t>75.82</t>
  </si>
  <si>
    <t>73.33</t>
  </si>
  <si>
    <t>35.91</t>
  </si>
  <si>
    <t>52.81</t>
  </si>
  <si>
    <t>5.65</t>
  </si>
  <si>
    <t>-11.65</t>
  </si>
  <si>
    <t>-17.81</t>
  </si>
  <si>
    <t>-25.69</t>
  </si>
  <si>
    <t>17.54</t>
  </si>
  <si>
    <t>-11.58</t>
  </si>
  <si>
    <t>-11.89</t>
  </si>
  <si>
    <t>-4.13</t>
  </si>
  <si>
    <t>资产负债表</t>
  </si>
  <si>
    <t>资产总计</t>
  </si>
  <si>
    <t>70亿</t>
  </si>
  <si>
    <t>67亿</t>
  </si>
  <si>
    <t>63亿</t>
  </si>
  <si>
    <t>66亿</t>
  </si>
  <si>
    <t>65亿</t>
  </si>
  <si>
    <t>57亿</t>
  </si>
  <si>
    <t>54亿</t>
  </si>
  <si>
    <t>55亿</t>
  </si>
  <si>
    <t>51亿</t>
  </si>
  <si>
    <t>49亿</t>
  </si>
  <si>
    <t>44亿</t>
  </si>
  <si>
    <t>42亿</t>
  </si>
  <si>
    <t>43亿</t>
  </si>
  <si>
    <t>35亿</t>
  </si>
  <si>
    <t>31亿</t>
  </si>
  <si>
    <t>30亿</t>
  </si>
  <si>
    <t>32亿</t>
  </si>
  <si>
    <t>28亿</t>
  </si>
  <si>
    <t>25亿</t>
  </si>
  <si>
    <t>资产总计同比(%)</t>
  </si>
  <si>
    <t>5.05</t>
  </si>
  <si>
    <t>7.63</t>
  </si>
  <si>
    <t>6.09</t>
  </si>
  <si>
    <t>1.7</t>
  </si>
  <si>
    <t>1.31</t>
  </si>
  <si>
    <t>-10.94</t>
  </si>
  <si>
    <t>-0.36</t>
  </si>
  <si>
    <t>1.25</t>
  </si>
  <si>
    <t>1.92</t>
  </si>
  <si>
    <t>24.12</t>
  </si>
  <si>
    <t>22.26</t>
  </si>
  <si>
    <t>20.1</t>
  </si>
  <si>
    <t>26.98</t>
  </si>
  <si>
    <t>15.37</t>
  </si>
  <si>
    <t>24.33</t>
  </si>
  <si>
    <t>29.85</t>
  </si>
  <si>
    <t>19.65</t>
  </si>
  <si>
    <t>40.34</t>
  </si>
  <si>
    <t>40.05</t>
  </si>
  <si>
    <t>39.43</t>
  </si>
  <si>
    <t>41.24</t>
  </si>
  <si>
    <t>11.11</t>
  </si>
  <si>
    <t>-2.57</t>
  </si>
  <si>
    <t>-4.36</t>
  </si>
  <si>
    <t>-3.19</t>
  </si>
  <si>
    <t>13.53</t>
  </si>
  <si>
    <t>3.48</t>
  </si>
  <si>
    <t>25.34</t>
  </si>
  <si>
    <t>33.08</t>
  </si>
  <si>
    <t>20.48</t>
  </si>
  <si>
    <t>223.9</t>
  </si>
  <si>
    <t>177.29</t>
  </si>
  <si>
    <t>159.68</t>
  </si>
  <si>
    <t>151.84</t>
  </si>
  <si>
    <t>2.43</t>
  </si>
  <si>
    <t>-1.99</t>
  </si>
  <si>
    <t>-4.59</t>
  </si>
  <si>
    <t>-7.66</t>
  </si>
  <si>
    <t>21.52</t>
  </si>
  <si>
    <t>24.1</t>
  </si>
  <si>
    <t>34.88</t>
  </si>
  <si>
    <t>负债总计</t>
  </si>
  <si>
    <t>48亿</t>
  </si>
  <si>
    <t>46亿</t>
  </si>
  <si>
    <t>45亿</t>
  </si>
  <si>
    <t>39亿</t>
  </si>
  <si>
    <t>40亿</t>
  </si>
  <si>
    <t>38亿</t>
  </si>
  <si>
    <t>36亿</t>
  </si>
  <si>
    <t>29亿</t>
  </si>
  <si>
    <t>22亿</t>
  </si>
  <si>
    <t>所有者权益总计</t>
  </si>
  <si>
    <t>26亿</t>
  </si>
  <si>
    <t>18亿</t>
  </si>
  <si>
    <t>16亿</t>
  </si>
  <si>
    <t>所有者权益总计同比(%)</t>
  </si>
  <si>
    <t>-5.29</t>
  </si>
  <si>
    <t>-11.32</t>
  </si>
  <si>
    <t>-16.86</t>
  </si>
  <si>
    <t>-18.45</t>
  </si>
  <si>
    <t>-17.89</t>
  </si>
  <si>
    <t>-15.4</t>
  </si>
  <si>
    <t>-13.33</t>
  </si>
  <si>
    <t>-9.66</t>
  </si>
  <si>
    <t>-6.3</t>
  </si>
  <si>
    <t>31.25</t>
  </si>
  <si>
    <t>21.19</t>
  </si>
  <si>
    <t>17.3</t>
  </si>
  <si>
    <t>-15.38</t>
  </si>
  <si>
    <t>16.23</t>
  </si>
  <si>
    <t>30.95</t>
  </si>
  <si>
    <t>33.72</t>
  </si>
  <si>
    <t>42.46</t>
  </si>
  <si>
    <t>24.88</t>
  </si>
  <si>
    <t>9.32</t>
  </si>
  <si>
    <t>7.75</t>
  </si>
  <si>
    <t>-0.67</t>
  </si>
  <si>
    <t>-0.97</t>
  </si>
  <si>
    <t>2.94</t>
  </si>
  <si>
    <t>5.55</t>
  </si>
  <si>
    <t>7.27</t>
  </si>
  <si>
    <t>36.77</t>
  </si>
  <si>
    <t>36.32</t>
  </si>
  <si>
    <t>36.92</t>
  </si>
  <si>
    <t>143.98</t>
  </si>
  <si>
    <t>106.69</t>
  </si>
  <si>
    <t>106.3</t>
  </si>
  <si>
    <t>106.86</t>
  </si>
  <si>
    <t>14.17</t>
  </si>
  <si>
    <t>10.34</t>
  </si>
  <si>
    <t>8.7</t>
  </si>
  <si>
    <t>9.23</t>
  </si>
  <si>
    <t>72.45</t>
  </si>
  <si>
    <t>66.42</t>
  </si>
  <si>
    <t>76.39</t>
  </si>
  <si>
    <t>现金流量表</t>
  </si>
  <si>
    <t>经营活动产生的现金流量净额</t>
  </si>
  <si>
    <t>4664万</t>
  </si>
  <si>
    <t>-1667万</t>
  </si>
  <si>
    <t>-6715万</t>
  </si>
  <si>
    <t>-3481万</t>
  </si>
  <si>
    <t>8278万</t>
  </si>
  <si>
    <t>-6亿</t>
  </si>
  <si>
    <t>-4682万</t>
  </si>
  <si>
    <t>-2321万</t>
  </si>
  <si>
    <t>-4187万</t>
  </si>
  <si>
    <t>-6028万</t>
  </si>
  <si>
    <t>4212万</t>
  </si>
  <si>
    <t>-8215万</t>
  </si>
  <si>
    <t>-4822万</t>
  </si>
  <si>
    <t>-9084万</t>
  </si>
  <si>
    <t>-2267万</t>
  </si>
  <si>
    <t>-2997万</t>
  </si>
  <si>
    <t>-1173万</t>
  </si>
  <si>
    <t>-3745万</t>
  </si>
  <si>
    <t>-2207万</t>
  </si>
  <si>
    <t>-4211万</t>
  </si>
  <si>
    <t>-4076万</t>
  </si>
  <si>
    <t>-5166万</t>
  </si>
  <si>
    <t>-4547万</t>
  </si>
  <si>
    <t>-4693万</t>
  </si>
  <si>
    <t>经营活动产生的现金流量净额同比(%)</t>
  </si>
  <si>
    <t>-492.84</t>
  </si>
  <si>
    <t>110.14</t>
  </si>
  <si>
    <t>96.19</t>
  </si>
  <si>
    <t>80.9</t>
  </si>
  <si>
    <t>-80.36</t>
  </si>
  <si>
    <t>-655.68</t>
  </si>
  <si>
    <t>32.79</t>
  </si>
  <si>
    <t>44.8</t>
  </si>
  <si>
    <t>-138.74</t>
  </si>
  <si>
    <t>-43.23</t>
  </si>
  <si>
    <t>-44.94</t>
  </si>
  <si>
    <t>15.91</t>
  </si>
  <si>
    <t>238</t>
  </si>
  <si>
    <t>170.53</t>
  </si>
  <si>
    <t>618.07</t>
  </si>
  <si>
    <t>-231.22</t>
  </si>
  <si>
    <t>638.85</t>
  </si>
  <si>
    <t>296.88</t>
  </si>
  <si>
    <t>-22.33</t>
  </si>
  <si>
    <t>233.52</t>
  </si>
  <si>
    <t>-71.74</t>
  </si>
  <si>
    <t>-13.16</t>
  </si>
  <si>
    <t>-33.65</t>
  </si>
  <si>
    <t>-137.39</t>
  </si>
  <si>
    <t>-29.15</t>
  </si>
  <si>
    <t>112.67</t>
  </si>
  <si>
    <t>203.14</t>
  </si>
  <si>
    <t>860.3</t>
  </si>
  <si>
    <t>209.59</t>
  </si>
  <si>
    <t>2.72</t>
  </si>
  <si>
    <t>-28.84</t>
  </si>
  <si>
    <t>-71.22</t>
  </si>
  <si>
    <t>-27.51</t>
  </si>
  <si>
    <t>-51.46</t>
  </si>
  <si>
    <t>-10.26</t>
  </si>
  <si>
    <t>-216.61</t>
  </si>
  <si>
    <t>-958.9</t>
  </si>
  <si>
    <t>529.16</t>
  </si>
  <si>
    <t>96.52</t>
  </si>
  <si>
    <t>投资活动产生的现金流量净额</t>
  </si>
  <si>
    <t>-1308万</t>
  </si>
  <si>
    <t>-6781万</t>
  </si>
  <si>
    <t>-5181万</t>
  </si>
  <si>
    <t>-3088万</t>
  </si>
  <si>
    <t>-1050万</t>
  </si>
  <si>
    <t>-8134万</t>
  </si>
  <si>
    <t>-2968万</t>
  </si>
  <si>
    <t>-8564万</t>
  </si>
  <si>
    <t>-7674万</t>
  </si>
  <si>
    <t>-2339万</t>
  </si>
  <si>
    <t>-1521万</t>
  </si>
  <si>
    <t>-9005万</t>
  </si>
  <si>
    <t>-2365万</t>
  </si>
  <si>
    <t>-7911万</t>
  </si>
  <si>
    <t>-3497万</t>
  </si>
  <si>
    <t>-857万</t>
  </si>
  <si>
    <t>-6807万</t>
  </si>
  <si>
    <t>-5717万</t>
  </si>
  <si>
    <t>-3608万</t>
  </si>
  <si>
    <t>-2866万</t>
  </si>
  <si>
    <t>-3445万</t>
  </si>
  <si>
    <t>-1423万</t>
  </si>
  <si>
    <t>-510万</t>
  </si>
  <si>
    <t>投资活动产生的现金流量净额同比(%)</t>
  </si>
  <si>
    <t>-24.53</t>
  </si>
  <si>
    <t>16.64</t>
  </si>
  <si>
    <t>68.83</t>
  </si>
  <si>
    <t>84.76</t>
  </si>
  <si>
    <t>-64.62</t>
  </si>
  <si>
    <t>-85.01</t>
  </si>
  <si>
    <t>94.09</t>
  </si>
  <si>
    <t>164.01</t>
  </si>
  <si>
    <t>-75.29</t>
  </si>
  <si>
    <t>194.01</t>
  </si>
  <si>
    <t>-35.47</t>
  </si>
  <si>
    <t>-25.48</t>
  </si>
  <si>
    <t>413.45</t>
  </si>
  <si>
    <t>-43.01</t>
  </si>
  <si>
    <t>-9.77</t>
  </si>
  <si>
    <t>-6.53</t>
  </si>
  <si>
    <t>53.78</t>
  </si>
  <si>
    <t>93.34</t>
  </si>
  <si>
    <t>15.28</t>
  </si>
  <si>
    <t>22.34</t>
  </si>
  <si>
    <t>-35.69</t>
  </si>
  <si>
    <t>31.55</t>
  </si>
  <si>
    <t>61.26</t>
  </si>
  <si>
    <t>157.49</t>
  </si>
  <si>
    <t>176.02</t>
  </si>
  <si>
    <t>-71.29</t>
  </si>
  <si>
    <t>16.22</t>
  </si>
  <si>
    <t>-38.83</t>
  </si>
  <si>
    <t>-76.25</t>
  </si>
  <si>
    <t>1447.88</t>
  </si>
  <si>
    <t>97.61</t>
  </si>
  <si>
    <t>301.75</t>
  </si>
  <si>
    <t>608.03</t>
  </si>
  <si>
    <t>-83.06</t>
  </si>
  <si>
    <t>-80.34</t>
  </si>
  <si>
    <t>-91.41</t>
  </si>
  <si>
    <t>-96.52</t>
  </si>
  <si>
    <t>857.99</t>
  </si>
  <si>
    <t>4778.06</t>
  </si>
  <si>
    <t>3083.34</t>
  </si>
  <si>
    <t>4万</t>
  </si>
  <si>
    <t>筹资活动产生的现金流量净额</t>
  </si>
  <si>
    <t>1408万</t>
  </si>
  <si>
    <t>-3584万</t>
  </si>
  <si>
    <t>4874万</t>
  </si>
  <si>
    <t>8879万</t>
  </si>
  <si>
    <t>5154万</t>
  </si>
  <si>
    <t>9104万</t>
  </si>
  <si>
    <t>-416万</t>
  </si>
  <si>
    <t>628万</t>
  </si>
  <si>
    <t>4875万</t>
  </si>
  <si>
    <t>3316万</t>
  </si>
  <si>
    <t>-1314万</t>
  </si>
  <si>
    <t>-102万</t>
  </si>
  <si>
    <t>-1518万</t>
  </si>
  <si>
    <t>-2721万</t>
  </si>
  <si>
    <t>-2979万</t>
  </si>
  <si>
    <t>-830万</t>
  </si>
  <si>
    <t>筹资活动产生的现金流量净额同比(%)</t>
  </si>
  <si>
    <t>35.3</t>
  </si>
  <si>
    <t>-96.19</t>
  </si>
  <si>
    <t>-108.13</t>
  </si>
  <si>
    <t>-88.25</t>
  </si>
  <si>
    <t>-63.56</t>
  </si>
  <si>
    <t>-39.32</t>
  </si>
  <si>
    <t>-21.65</t>
  </si>
  <si>
    <t>-16.41</t>
  </si>
  <si>
    <t>-69.49</t>
  </si>
  <si>
    <t>27.81</t>
  </si>
  <si>
    <t>-18.6</t>
  </si>
  <si>
    <t>-8.25</t>
  </si>
  <si>
    <t>132.52</t>
  </si>
  <si>
    <t>2.69</t>
  </si>
  <si>
    <t>163.48</t>
  </si>
  <si>
    <t>68.73</t>
  </si>
  <si>
    <t>-43.24</t>
  </si>
  <si>
    <t>160.44</t>
  </si>
  <si>
    <t>101.87</t>
  </si>
  <si>
    <t>203.19</t>
  </si>
  <si>
    <t>1073.9</t>
  </si>
  <si>
    <t>95.71</t>
  </si>
  <si>
    <t>7.3</t>
  </si>
  <si>
    <t>-43.67</t>
  </si>
  <si>
    <t>-70.55</t>
  </si>
  <si>
    <t>-83.02</t>
  </si>
  <si>
    <t>-73.83</t>
  </si>
  <si>
    <t>-4612.96</t>
  </si>
  <si>
    <t>2685.72</t>
  </si>
  <si>
    <t>999.49</t>
  </si>
  <si>
    <t>1296.22</t>
  </si>
  <si>
    <t>-68.35</t>
  </si>
  <si>
    <t>-715.59</t>
  </si>
  <si>
    <t>-421.21</t>
  </si>
  <si>
    <t>-221.88</t>
  </si>
  <si>
    <t>-55.87</t>
  </si>
  <si>
    <t>-87.7</t>
  </si>
  <si>
    <t>-107.6</t>
  </si>
  <si>
    <t>781.85</t>
  </si>
  <si>
    <t>299.75</t>
  </si>
  <si>
    <t>-20.1</t>
  </si>
  <si>
    <t>每股指标</t>
  </si>
  <si>
    <t>基本每股收益(元)</t>
  </si>
  <si>
    <t>0.21</t>
  </si>
  <si>
    <t>-0.65</t>
  </si>
  <si>
    <t>-0.47</t>
  </si>
  <si>
    <t>-0.35</t>
  </si>
  <si>
    <t>-0.18</t>
  </si>
  <si>
    <t>-1.01</t>
  </si>
  <si>
    <t>0.01</t>
  </si>
  <si>
    <t>0.06</t>
  </si>
  <si>
    <t>-0.1</t>
  </si>
  <si>
    <t>-1.31</t>
  </si>
  <si>
    <t>-0.19</t>
  </si>
  <si>
    <t>-0.07</t>
  </si>
  <si>
    <t>-0.04</t>
  </si>
  <si>
    <t>0.17</t>
  </si>
  <si>
    <t>0.12</t>
  </si>
  <si>
    <t>0.09</t>
  </si>
  <si>
    <t>0.11</t>
  </si>
  <si>
    <t>-0.05</t>
  </si>
  <si>
    <t>-0.06</t>
  </si>
  <si>
    <t>0.34</t>
  </si>
  <si>
    <t>0.22</t>
  </si>
  <si>
    <t>0.1</t>
  </si>
  <si>
    <t>0.43</t>
  </si>
  <si>
    <t>0.2</t>
  </si>
  <si>
    <t>0.04</t>
  </si>
  <si>
    <t>0.28</t>
  </si>
  <si>
    <t>0.13</t>
  </si>
  <si>
    <t>0.03</t>
  </si>
  <si>
    <t>0.24</t>
  </si>
  <si>
    <t>0.14</t>
  </si>
  <si>
    <t>稀释每股收益(元)</t>
  </si>
  <si>
    <t>-1.3</t>
  </si>
  <si>
    <t>每股净资产(元)</t>
  </si>
  <si>
    <t>每股经营现金流(元)</t>
  </si>
  <si>
    <t>-0.52</t>
  </si>
  <si>
    <t>-0.17</t>
  </si>
  <si>
    <t>-1.15</t>
  </si>
  <si>
    <t>-1.1</t>
  </si>
  <si>
    <t>-0.89</t>
  </si>
  <si>
    <t>-0.45</t>
  </si>
  <si>
    <t>-0.83</t>
  </si>
  <si>
    <t>-0.63</t>
  </si>
  <si>
    <t>-0.31</t>
  </si>
  <si>
    <t>-1.76</t>
  </si>
  <si>
    <t>-1.37</t>
  </si>
  <si>
    <t>-1.03</t>
  </si>
  <si>
    <t>-0.56</t>
  </si>
  <si>
    <t>-0.6</t>
  </si>
  <si>
    <t>0.55</t>
  </si>
  <si>
    <t>-0.16</t>
  </si>
  <si>
    <t>-0.23</t>
  </si>
  <si>
    <t>0.16</t>
  </si>
  <si>
    <t>-0.43</t>
  </si>
  <si>
    <t>-0.44</t>
  </si>
  <si>
    <t>-0.13</t>
  </si>
  <si>
    <t>-0.11</t>
  </si>
  <si>
    <t>-0.21</t>
  </si>
  <si>
    <t>-0.2</t>
  </si>
  <si>
    <t>-0.26</t>
  </si>
  <si>
    <t>盈利能力</t>
  </si>
  <si>
    <t>加权净资产收益率(%)</t>
  </si>
  <si>
    <t>-1.29</t>
  </si>
  <si>
    <t>-6.6</t>
  </si>
  <si>
    <t>0.9</t>
  </si>
  <si>
    <t>-1.49</t>
  </si>
  <si>
    <t>-18.78</t>
  </si>
  <si>
    <t>-2.59</t>
  </si>
  <si>
    <t>-1.07</t>
  </si>
  <si>
    <t>-0.48</t>
  </si>
  <si>
    <t>2.19</t>
  </si>
  <si>
    <t>1.79</t>
  </si>
  <si>
    <t>1.3</t>
  </si>
  <si>
    <t>0.19</t>
  </si>
  <si>
    <t>-0.7</t>
  </si>
  <si>
    <t>-1.38</t>
  </si>
  <si>
    <t>-0.85</t>
  </si>
  <si>
    <t>5.14</t>
  </si>
  <si>
    <t>3.3</t>
  </si>
  <si>
    <t>1.55</t>
  </si>
  <si>
    <t>7.49</t>
  </si>
  <si>
    <t>3.62</t>
  </si>
  <si>
    <t>1.95</t>
  </si>
  <si>
    <t>0.76</t>
  </si>
  <si>
    <t>8.77</t>
  </si>
  <si>
    <t>4.36</t>
  </si>
  <si>
    <t>3.16</t>
  </si>
  <si>
    <t>1.18</t>
  </si>
  <si>
    <t>8.54</t>
  </si>
  <si>
    <t>3.68</t>
  </si>
  <si>
    <t>毛利率(%)</t>
  </si>
  <si>
    <t>25.45</t>
  </si>
  <si>
    <t>14.87</t>
  </si>
  <si>
    <t>13.45</t>
  </si>
  <si>
    <t>10.92</t>
  </si>
  <si>
    <t>11.15</t>
  </si>
  <si>
    <t>15.88</t>
  </si>
  <si>
    <t>17.74</t>
  </si>
  <si>
    <t>19.12</t>
  </si>
  <si>
    <t>15.62</t>
  </si>
  <si>
    <t>19.4</t>
  </si>
  <si>
    <t>21.98</t>
  </si>
  <si>
    <t>18.88</t>
  </si>
  <si>
    <t>20.62</t>
  </si>
  <si>
    <t>21.93</t>
  </si>
  <si>
    <t>23.46</t>
  </si>
  <si>
    <t>24.61</t>
  </si>
  <si>
    <t>24.77</t>
  </si>
  <si>
    <t>24.95</t>
  </si>
  <si>
    <t>28.84</t>
  </si>
  <si>
    <t>28.69</t>
  </si>
  <si>
    <t>32.77</t>
  </si>
  <si>
    <t>32.17</t>
  </si>
  <si>
    <t>37.16</t>
  </si>
  <si>
    <t>38.25</t>
  </si>
  <si>
    <t>39.24</t>
  </si>
  <si>
    <t>31.42</t>
  </si>
  <si>
    <t>34.56</t>
  </si>
  <si>
    <t>32.37</t>
  </si>
  <si>
    <t>33.46</t>
  </si>
  <si>
    <t>34.45</t>
  </si>
  <si>
    <t>35.92</t>
  </si>
  <si>
    <t>34.72</t>
  </si>
  <si>
    <t>36.34</t>
  </si>
  <si>
    <t>40.39</t>
  </si>
  <si>
    <t>39.56</t>
  </si>
  <si>
    <t>38.95</t>
  </si>
  <si>
    <t>39.79</t>
  </si>
  <si>
    <t>35.79</t>
  </si>
  <si>
    <t>37.35</t>
  </si>
  <si>
    <t>38.72</t>
  </si>
  <si>
    <t>净利率(%)</t>
  </si>
  <si>
    <t>8.14</t>
  </si>
  <si>
    <t>-11.91</t>
  </si>
  <si>
    <t>-13.29</t>
  </si>
  <si>
    <t>-15.35</t>
  </si>
  <si>
    <t>-22.57</t>
  </si>
  <si>
    <t>-22.16</t>
  </si>
  <si>
    <t>-11.25</t>
  </si>
  <si>
    <t>-4.1</t>
  </si>
  <si>
    <t>-8.34</t>
  </si>
  <si>
    <t>0.99</t>
  </si>
  <si>
    <t>-0.57</t>
  </si>
  <si>
    <t>-10.12</t>
  </si>
  <si>
    <t>-26.5</t>
  </si>
  <si>
    <t>-6.31</t>
  </si>
  <si>
    <t>-4.17</t>
  </si>
  <si>
    <t>-3.77</t>
  </si>
  <si>
    <t>2.11</t>
  </si>
  <si>
    <t>2.62</t>
  </si>
  <si>
    <t>0.35</t>
  </si>
  <si>
    <t>2.76</t>
  </si>
  <si>
    <t>-2.09</t>
  </si>
  <si>
    <t>-7.34</t>
  </si>
  <si>
    <t>-13.53</t>
  </si>
  <si>
    <t>6.13</t>
  </si>
  <si>
    <t>6.03</t>
  </si>
  <si>
    <t>4.38</t>
  </si>
  <si>
    <t>1.4</t>
  </si>
  <si>
    <t>7.15</t>
  </si>
  <si>
    <t>5.76</t>
  </si>
  <si>
    <t>4.73</t>
  </si>
  <si>
    <t>5.12</t>
  </si>
  <si>
    <t>9.04</t>
  </si>
  <si>
    <t>7.16</t>
  </si>
  <si>
    <t>7.24</t>
  </si>
  <si>
    <t>10.32</t>
  </si>
  <si>
    <t>8.21</t>
  </si>
  <si>
    <t>9.03</t>
  </si>
  <si>
    <t>7.91</t>
  </si>
  <si>
    <t>盈利质量</t>
  </si>
  <si>
    <t>预收款/营业收入</t>
  </si>
  <si>
    <t>销售现金流/营业收入</t>
  </si>
  <si>
    <t>经营现金流/营业收入</t>
  </si>
  <si>
    <t>运营能力</t>
  </si>
  <si>
    <t>总资产周转率(次)</t>
  </si>
  <si>
    <t>0.36</t>
  </si>
  <si>
    <t>0.23</t>
  </si>
  <si>
    <t>0.15</t>
  </si>
  <si>
    <t>0.05</t>
  </si>
  <si>
    <t>0.29</t>
  </si>
  <si>
    <t>0.37</t>
  </si>
  <si>
    <t>0.07</t>
  </si>
  <si>
    <t>0.32</t>
  </si>
  <si>
    <t>0.08</t>
  </si>
  <si>
    <t>0.49</t>
  </si>
  <si>
    <t>0.3</t>
  </si>
  <si>
    <t>0.54</t>
  </si>
  <si>
    <t>0.27</t>
  </si>
  <si>
    <t>0.39</t>
  </si>
  <si>
    <t>0.25</t>
  </si>
  <si>
    <t>应收账款周转天数(天)</t>
  </si>
  <si>
    <t>157.62</t>
  </si>
  <si>
    <t>213.64</t>
  </si>
  <si>
    <t>258.31</t>
  </si>
  <si>
    <t>274.17</t>
  </si>
  <si>
    <t>388.63</t>
  </si>
  <si>
    <t>308.15</t>
  </si>
  <si>
    <t>317.54</t>
  </si>
  <si>
    <t>266.64</t>
  </si>
  <si>
    <t>205.15</t>
  </si>
  <si>
    <t>257.34</t>
  </si>
  <si>
    <t>220.97</t>
  </si>
  <si>
    <t>198.05</t>
  </si>
  <si>
    <t>343.29</t>
  </si>
  <si>
    <t>337.1</t>
  </si>
  <si>
    <t>342.23</t>
  </si>
  <si>
    <t>333.67</t>
  </si>
  <si>
    <t>344.79</t>
  </si>
  <si>
    <t>194.55</t>
  </si>
  <si>
    <t>240.86</t>
  </si>
  <si>
    <t>240.16</t>
  </si>
  <si>
    <t>315.82</t>
  </si>
  <si>
    <t>288.67</t>
  </si>
  <si>
    <t>460.03</t>
  </si>
  <si>
    <t>502.79</t>
  </si>
  <si>
    <t>677.2</t>
  </si>
  <si>
    <t>228.35</t>
  </si>
  <si>
    <t>314.7</t>
  </si>
  <si>
    <t>294.7</t>
  </si>
  <si>
    <t>391.3</t>
  </si>
  <si>
    <t>188.29</t>
  </si>
  <si>
    <t>228.8</t>
  </si>
  <si>
    <t>222.99</t>
  </si>
  <si>
    <t>267.46</t>
  </si>
  <si>
    <t>245.68</t>
  </si>
  <si>
    <t>238.26</t>
  </si>
  <si>
    <t>227.42</t>
  </si>
  <si>
    <t>245.83</t>
  </si>
  <si>
    <t>169.98</t>
  </si>
  <si>
    <t>184.61</t>
  </si>
  <si>
    <t>173.56</t>
  </si>
  <si>
    <t>176.4</t>
  </si>
  <si>
    <t>存货周转天数(天)</t>
  </si>
  <si>
    <t>279.59</t>
  </si>
  <si>
    <t>312.96</t>
  </si>
  <si>
    <t>367.85</t>
  </si>
  <si>
    <t>357.21</t>
  </si>
  <si>
    <t>475.44</t>
  </si>
  <si>
    <t>334.79</t>
  </si>
  <si>
    <t>342.55</t>
  </si>
  <si>
    <t>270.84</t>
  </si>
  <si>
    <t>188.68</t>
  </si>
  <si>
    <t>249.57</t>
  </si>
  <si>
    <t>174.69</t>
  </si>
  <si>
    <t>165.88</t>
  </si>
  <si>
    <t>291.26</t>
  </si>
  <si>
    <t>248.34</t>
  </si>
  <si>
    <t>238.45</t>
  </si>
  <si>
    <t>234.65</t>
  </si>
  <si>
    <t>248</t>
  </si>
  <si>
    <t>111.2</t>
  </si>
  <si>
    <t>183.5</t>
  </si>
  <si>
    <t>151.98</t>
  </si>
  <si>
    <t>128.77</t>
  </si>
  <si>
    <t>269.91</t>
  </si>
  <si>
    <t>283.24</t>
  </si>
  <si>
    <t>392.84</t>
  </si>
  <si>
    <t>122.12</t>
  </si>
  <si>
    <t>171.54</t>
  </si>
  <si>
    <t>165.94</t>
  </si>
  <si>
    <t>234.93</t>
  </si>
  <si>
    <t>117.19</t>
  </si>
  <si>
    <t>208.39</t>
  </si>
  <si>
    <t>172.94</t>
  </si>
  <si>
    <t>184.65</t>
  </si>
  <si>
    <t>170.64</t>
  </si>
  <si>
    <t>121.56</t>
  </si>
  <si>
    <t>116.28</t>
  </si>
  <si>
    <t>142.05</t>
  </si>
  <si>
    <t>150.82</t>
  </si>
  <si>
    <t>203</t>
  </si>
  <si>
    <t>220.7</t>
  </si>
  <si>
    <t>239.23</t>
  </si>
  <si>
    <t>偿还能力</t>
  </si>
  <si>
    <t>资产负债率(%)</t>
  </si>
  <si>
    <t>68.68</t>
  </si>
  <si>
    <t>68.41</t>
  </si>
  <si>
    <t>68.57</t>
  </si>
  <si>
    <t>66.61</t>
  </si>
  <si>
    <t>65.26</t>
  </si>
  <si>
    <t>61.66</t>
  </si>
  <si>
    <t>59.89</t>
  </si>
  <si>
    <t>58.36</t>
  </si>
  <si>
    <t>57.14</t>
  </si>
  <si>
    <t>59.64</t>
  </si>
  <si>
    <t>53.89</t>
  </si>
  <si>
    <t>53.33</t>
  </si>
  <si>
    <t>53.37</t>
  </si>
  <si>
    <t>61.83</t>
  </si>
  <si>
    <t>53.49</t>
  </si>
  <si>
    <t>53.48</t>
  </si>
  <si>
    <t>49.53</t>
  </si>
  <si>
    <t>47.96</t>
  </si>
  <si>
    <t>50.25</t>
  </si>
  <si>
    <t>53.87</t>
  </si>
  <si>
    <t>54.84</t>
  </si>
  <si>
    <t>48.74</t>
  </si>
  <si>
    <t>44.21</t>
  </si>
  <si>
    <t>41.16</t>
  </si>
  <si>
    <t>40.79</t>
  </si>
  <si>
    <t>42.66</t>
  </si>
  <si>
    <t>45.11</t>
  </si>
  <si>
    <t>45.33</t>
  </si>
  <si>
    <t>45.03</t>
  </si>
  <si>
    <t>38.32</t>
  </si>
  <si>
    <t>47.05</t>
  </si>
  <si>
    <t>49.9</t>
  </si>
  <si>
    <t>46.33</t>
  </si>
  <si>
    <t>45.72</t>
  </si>
  <si>
    <t>29.7</t>
  </si>
  <si>
    <t>32.45</t>
  </si>
  <si>
    <t>33.92</t>
  </si>
  <si>
    <t>36.93</t>
  </si>
  <si>
    <t>40.3</t>
  </si>
  <si>
    <t>40.71</t>
  </si>
  <si>
    <t>流动负债/总负债(%)</t>
  </si>
  <si>
    <t>92.85</t>
  </si>
  <si>
    <t>92.57</t>
  </si>
  <si>
    <t>92.11</t>
  </si>
  <si>
    <t>90.83</t>
  </si>
  <si>
    <t>91.1</t>
  </si>
  <si>
    <t>90.55</t>
  </si>
  <si>
    <t>89.12</t>
  </si>
  <si>
    <t>88.45</t>
  </si>
  <si>
    <t>89.15</t>
  </si>
  <si>
    <t>91.03</t>
  </si>
  <si>
    <t>87.18</t>
  </si>
  <si>
    <t>86.51</t>
  </si>
  <si>
    <t>85.6</t>
  </si>
  <si>
    <t>88.37</t>
  </si>
  <si>
    <t>89.71</t>
  </si>
  <si>
    <t>92.51</t>
  </si>
  <si>
    <t>91.71</t>
  </si>
  <si>
    <t>78.57</t>
  </si>
  <si>
    <t>70.02</t>
  </si>
  <si>
    <t>71.3</t>
  </si>
  <si>
    <t>90.92</t>
  </si>
  <si>
    <t>92.67</t>
  </si>
  <si>
    <t>92.99</t>
  </si>
  <si>
    <t>97.12</t>
  </si>
  <si>
    <t>97.2</t>
  </si>
  <si>
    <t>98.99</t>
  </si>
  <si>
    <t>98.85</t>
  </si>
  <si>
    <t>98.58</t>
  </si>
  <si>
    <t>97.94</t>
  </si>
  <si>
    <t>98.52</t>
  </si>
  <si>
    <t>98.14</t>
  </si>
  <si>
    <t>97.67</t>
  </si>
  <si>
    <t>97.42</t>
  </si>
  <si>
    <t>95.08</t>
  </si>
  <si>
    <t>94.3</t>
  </si>
  <si>
    <t>94.19</t>
  </si>
  <si>
    <t>94.5</t>
  </si>
  <si>
    <t>95.03</t>
  </si>
  <si>
    <t>95.41</t>
  </si>
  <si>
    <t>95.54</t>
  </si>
  <si>
    <t>流动比率</t>
  </si>
  <si>
    <t>1.1</t>
  </si>
  <si>
    <t>1.07</t>
  </si>
  <si>
    <t>1.08</t>
  </si>
  <si>
    <t>1.11</t>
  </si>
  <si>
    <t>1.13</t>
  </si>
  <si>
    <t>1.16</t>
  </si>
  <si>
    <t>1.2</t>
  </si>
  <si>
    <t>1.21</t>
  </si>
  <si>
    <t>1.37</t>
  </si>
  <si>
    <t>1.38</t>
  </si>
  <si>
    <t>1.45</t>
  </si>
  <si>
    <t>1.28</t>
  </si>
  <si>
    <t>1.44</t>
  </si>
  <si>
    <t>1.46</t>
  </si>
  <si>
    <t>1.64</t>
  </si>
  <si>
    <t>1.66</t>
  </si>
  <si>
    <t>1.35</t>
  </si>
  <si>
    <t>1.43</t>
  </si>
  <si>
    <t>1.42</t>
  </si>
  <si>
    <t>1.49</t>
  </si>
  <si>
    <t>1.32</t>
  </si>
  <si>
    <t>1.09</t>
  </si>
  <si>
    <t>2.23</t>
  </si>
  <si>
    <t>2.1</t>
  </si>
  <si>
    <t>2.2</t>
  </si>
  <si>
    <t>2.12</t>
  </si>
  <si>
    <t>2.15</t>
  </si>
  <si>
    <t>2.01</t>
  </si>
  <si>
    <t>速动比率</t>
  </si>
  <si>
    <t>0.67</t>
  </si>
  <si>
    <t>0.61</t>
  </si>
  <si>
    <t>0.64</t>
  </si>
  <si>
    <t>0.7</t>
  </si>
  <si>
    <t>0.74</t>
  </si>
  <si>
    <t>0.78</t>
  </si>
  <si>
    <t>0.85</t>
  </si>
  <si>
    <t>0.8</t>
  </si>
  <si>
    <t>1.17</t>
  </si>
  <si>
    <t>0.91</t>
  </si>
  <si>
    <t>1.03</t>
  </si>
  <si>
    <t>1.04</t>
  </si>
  <si>
    <t>1.15</t>
  </si>
  <si>
    <t>1.23</t>
  </si>
  <si>
    <t>1.33</t>
  </si>
  <si>
    <t>1.5</t>
  </si>
  <si>
    <t>1.01</t>
  </si>
  <si>
    <t>0.97</t>
  </si>
  <si>
    <t>0.98</t>
  </si>
  <si>
    <t>0.66</t>
  </si>
  <si>
    <t>0.82</t>
  </si>
  <si>
    <t>1.9</t>
  </si>
  <si>
    <t>1.61</t>
  </si>
  <si>
    <t>1.59</t>
  </si>
  <si>
    <t>1.19</t>
  </si>
  <si>
    <t>流动资产</t>
  </si>
  <si>
    <t>货币资金</t>
  </si>
  <si>
    <t>定期存款</t>
  </si>
  <si>
    <t>交易性金融资产</t>
  </si>
  <si>
    <t>468万</t>
  </si>
  <si>
    <t>428万</t>
  </si>
  <si>
    <t>493万</t>
  </si>
  <si>
    <t>503万</t>
  </si>
  <si>
    <t>500万</t>
  </si>
  <si>
    <t>6415万</t>
  </si>
  <si>
    <t>316万</t>
  </si>
  <si>
    <t>546万</t>
  </si>
  <si>
    <t>2300万</t>
  </si>
  <si>
    <t>600万</t>
  </si>
  <si>
    <t>807万</t>
  </si>
  <si>
    <t>1834万</t>
  </si>
  <si>
    <t>1245万</t>
  </si>
  <si>
    <t>4633万</t>
  </si>
  <si>
    <t>5821万</t>
  </si>
  <si>
    <t>4483万</t>
  </si>
  <si>
    <t>6150万</t>
  </si>
  <si>
    <t>6132万</t>
  </si>
  <si>
    <t>25万</t>
  </si>
  <si>
    <t>14万</t>
  </si>
  <si>
    <t>431万</t>
  </si>
  <si>
    <t>38万</t>
  </si>
  <si>
    <t>35万</t>
  </si>
  <si>
    <t>9万</t>
  </si>
  <si>
    <t>29万</t>
  </si>
  <si>
    <t>23万</t>
  </si>
  <si>
    <t>衍生金融资产</t>
  </si>
  <si>
    <t>应收票据及应收账款</t>
  </si>
  <si>
    <t>应收票据</t>
  </si>
  <si>
    <t>9526万</t>
  </si>
  <si>
    <t>9760万</t>
  </si>
  <si>
    <t>9814万</t>
  </si>
  <si>
    <t>9533万</t>
  </si>
  <si>
    <t>4075万</t>
  </si>
  <si>
    <t>4412万</t>
  </si>
  <si>
    <t>1071万</t>
  </si>
  <si>
    <t>3112万</t>
  </si>
  <si>
    <t>2156万</t>
  </si>
  <si>
    <t>2722万</t>
  </si>
  <si>
    <t>2896万</t>
  </si>
  <si>
    <t>2687万</t>
  </si>
  <si>
    <t>506万</t>
  </si>
  <si>
    <t>2519万</t>
  </si>
  <si>
    <t>2386万</t>
  </si>
  <si>
    <t>4904万</t>
  </si>
  <si>
    <t>3651万</t>
  </si>
  <si>
    <t>2271万</t>
  </si>
  <si>
    <t>1679万</t>
  </si>
  <si>
    <t>9574万</t>
  </si>
  <si>
    <t>2534万</t>
  </si>
  <si>
    <t>411万</t>
  </si>
  <si>
    <t>535万</t>
  </si>
  <si>
    <t>141万</t>
  </si>
  <si>
    <t>211万</t>
  </si>
  <si>
    <t>298万</t>
  </si>
  <si>
    <t>1159万</t>
  </si>
  <si>
    <t>505万</t>
  </si>
  <si>
    <t>应收账款</t>
  </si>
  <si>
    <t>应收款项</t>
  </si>
  <si>
    <t>应收款项融资</t>
  </si>
  <si>
    <t>8848万</t>
  </si>
  <si>
    <t>6482万</t>
  </si>
  <si>
    <t>4901万</t>
  </si>
  <si>
    <t>3336万</t>
  </si>
  <si>
    <t>4159万</t>
  </si>
  <si>
    <t>8651万</t>
  </si>
  <si>
    <t>8966万</t>
  </si>
  <si>
    <t>7815万</t>
  </si>
  <si>
    <t>应收款项类投资</t>
  </si>
  <si>
    <t>预付款项</t>
  </si>
  <si>
    <t>8674万</t>
  </si>
  <si>
    <t>5830万</t>
  </si>
  <si>
    <t>8412万</t>
  </si>
  <si>
    <t>8220万</t>
  </si>
  <si>
    <t>5778万</t>
  </si>
  <si>
    <t>4281万</t>
  </si>
  <si>
    <t>7384万</t>
  </si>
  <si>
    <t>7594万</t>
  </si>
  <si>
    <t>8906万</t>
  </si>
  <si>
    <t>9162万</t>
  </si>
  <si>
    <t>4146万</t>
  </si>
  <si>
    <t>2711万</t>
  </si>
  <si>
    <t>2055万</t>
  </si>
  <si>
    <t>2476万</t>
  </si>
  <si>
    <t>1561万</t>
  </si>
  <si>
    <t>2229万</t>
  </si>
  <si>
    <t>1899万</t>
  </si>
  <si>
    <t>2634万</t>
  </si>
  <si>
    <t>其他应收款合计</t>
  </si>
  <si>
    <t>4641万</t>
  </si>
  <si>
    <t>4607万</t>
  </si>
  <si>
    <t>3675万</t>
  </si>
  <si>
    <t>4319万</t>
  </si>
  <si>
    <t>3777万</t>
  </si>
  <si>
    <t>5115万</t>
  </si>
  <si>
    <t>3388万</t>
  </si>
  <si>
    <t>4338万</t>
  </si>
  <si>
    <t>2145万</t>
  </si>
  <si>
    <t>2945万</t>
  </si>
  <si>
    <t>2731万</t>
  </si>
  <si>
    <t>1325万</t>
  </si>
  <si>
    <t>1736万</t>
  </si>
  <si>
    <t>1453万</t>
  </si>
  <si>
    <t>1458万</t>
  </si>
  <si>
    <t>应收股利</t>
  </si>
  <si>
    <t>应收利息</t>
  </si>
  <si>
    <t>其他应收款</t>
  </si>
  <si>
    <t>存货</t>
  </si>
  <si>
    <t>8777万</t>
  </si>
  <si>
    <t>8329万</t>
  </si>
  <si>
    <t>9823万</t>
  </si>
  <si>
    <t>合同资产</t>
  </si>
  <si>
    <t>7165万</t>
  </si>
  <si>
    <t>7130万</t>
  </si>
  <si>
    <t>7322万</t>
  </si>
  <si>
    <t>6255万</t>
  </si>
  <si>
    <t>8890万</t>
  </si>
  <si>
    <t>1281万</t>
  </si>
  <si>
    <t>1571万</t>
  </si>
  <si>
    <t>687万</t>
  </si>
  <si>
    <t>持有待售资产</t>
  </si>
  <si>
    <t>2974万</t>
  </si>
  <si>
    <t>一年内到期的非流动资产</t>
  </si>
  <si>
    <t>7万</t>
  </si>
  <si>
    <t>以公允价值计量且其变动计入当期损益的金融资产</t>
  </si>
  <si>
    <t>指定以公允价值计量且其变动计入当期损益的金融资产</t>
  </si>
  <si>
    <t>以摊余成本计量的金融资产</t>
  </si>
  <si>
    <t>以公允价值计量且其变动计入其他综合收益的金融资产</t>
  </si>
  <si>
    <t>贵金属</t>
  </si>
  <si>
    <t>应收出口退税</t>
  </si>
  <si>
    <t>应收补贴款</t>
  </si>
  <si>
    <t>内部应收款</t>
  </si>
  <si>
    <t>其他流动资产</t>
  </si>
  <si>
    <t>4737万</t>
  </si>
  <si>
    <t>6406万</t>
  </si>
  <si>
    <t>8852万</t>
  </si>
  <si>
    <t>5337万</t>
  </si>
  <si>
    <t>5633万</t>
  </si>
  <si>
    <t>5611万</t>
  </si>
  <si>
    <t>3360万</t>
  </si>
  <si>
    <t>3409万</t>
  </si>
  <si>
    <t>3067万</t>
  </si>
  <si>
    <t>3348万</t>
  </si>
  <si>
    <t>3555万</t>
  </si>
  <si>
    <t>2947万</t>
  </si>
  <si>
    <t>2667万</t>
  </si>
  <si>
    <t>2135万</t>
  </si>
  <si>
    <t>2343万</t>
  </si>
  <si>
    <t>1626万</t>
  </si>
  <si>
    <t>1535万</t>
  </si>
  <si>
    <t>1620万</t>
  </si>
  <si>
    <t>862万</t>
  </si>
  <si>
    <t>3161万</t>
  </si>
  <si>
    <t>1806万</t>
  </si>
  <si>
    <t>935万</t>
  </si>
  <si>
    <t>971万</t>
  </si>
  <si>
    <t>809万</t>
  </si>
  <si>
    <t>2621万</t>
  </si>
  <si>
    <t>3800万</t>
  </si>
  <si>
    <t>4008万</t>
  </si>
  <si>
    <t>流动资产合计</t>
  </si>
  <si>
    <t>41亿</t>
  </si>
  <si>
    <t>37亿</t>
  </si>
  <si>
    <t>33亿</t>
  </si>
  <si>
    <t>34亿</t>
  </si>
  <si>
    <t>27亿</t>
  </si>
  <si>
    <t>20亿</t>
  </si>
  <si>
    <r>
      <rPr>
        <b/>
        <sz val="12"/>
        <color rgb="FFFFFFFF"/>
        <rFont val="等线"/>
        <charset val="134"/>
        <scheme val="minor"/>
      </rPr>
      <t>非流动资产</t>
    </r>
    <r>
      <rPr>
        <b/>
        <sz val="12"/>
        <rFont val="等线"/>
        <charset val="134"/>
        <scheme val="minor"/>
      </rPr>
      <t xml:space="preserve">
</t>
    </r>
  </si>
  <si>
    <t>债权投资</t>
  </si>
  <si>
    <t>债权计划投资</t>
  </si>
  <si>
    <t>其他债权投资</t>
  </si>
  <si>
    <t>长期应收款</t>
  </si>
  <si>
    <t>长期股权投资</t>
  </si>
  <si>
    <t>9919万</t>
  </si>
  <si>
    <t>9829万</t>
  </si>
  <si>
    <t>9853万</t>
  </si>
  <si>
    <t>9785万</t>
  </si>
  <si>
    <t>9670万</t>
  </si>
  <si>
    <t>9793万</t>
  </si>
  <si>
    <t>9608万</t>
  </si>
  <si>
    <t>9326万</t>
  </si>
  <si>
    <t>8846万</t>
  </si>
  <si>
    <t>8752万</t>
  </si>
  <si>
    <t>7521万</t>
  </si>
  <si>
    <t>6977万</t>
  </si>
  <si>
    <t>6989万</t>
  </si>
  <si>
    <t>6975万</t>
  </si>
  <si>
    <t>6142万</t>
  </si>
  <si>
    <t>6122万</t>
  </si>
  <si>
    <t>5514万</t>
  </si>
  <si>
    <t>5488万</t>
  </si>
  <si>
    <t>5475万</t>
  </si>
  <si>
    <t>5464万</t>
  </si>
  <si>
    <t>2675万</t>
  </si>
  <si>
    <t>2762万</t>
  </si>
  <si>
    <t>2546万</t>
  </si>
  <si>
    <t>2345万</t>
  </si>
  <si>
    <t>1040万</t>
  </si>
  <si>
    <t>755万</t>
  </si>
  <si>
    <t>827万</t>
  </si>
  <si>
    <t>793万</t>
  </si>
  <si>
    <t>819万</t>
  </si>
  <si>
    <t>787万</t>
  </si>
  <si>
    <t>472万</t>
  </si>
  <si>
    <t>2685万</t>
  </si>
  <si>
    <t>182万</t>
  </si>
  <si>
    <t>204万</t>
  </si>
  <si>
    <t>217万</t>
  </si>
  <si>
    <t>其他权益工具投资</t>
  </si>
  <si>
    <t>4732万</t>
  </si>
  <si>
    <t>3992万</t>
  </si>
  <si>
    <t>3492万</t>
  </si>
  <si>
    <t>3392万</t>
  </si>
  <si>
    <t>3338万</t>
  </si>
  <si>
    <t>3358万</t>
  </si>
  <si>
    <t>3415万</t>
  </si>
  <si>
    <t>3418万</t>
  </si>
  <si>
    <t>3662万</t>
  </si>
  <si>
    <t>3664万</t>
  </si>
  <si>
    <t>3264万</t>
  </si>
  <si>
    <t>2942万</t>
  </si>
  <si>
    <t>2821万</t>
  </si>
  <si>
    <t>2886万</t>
  </si>
  <si>
    <t>2806万</t>
  </si>
  <si>
    <t>2455万</t>
  </si>
  <si>
    <t>2500万</t>
  </si>
  <si>
    <t>2200万</t>
  </si>
  <si>
    <t>其他非流动金融资产</t>
  </si>
  <si>
    <t>投资性房地产</t>
  </si>
  <si>
    <t>5873万</t>
  </si>
  <si>
    <t>5957万</t>
  </si>
  <si>
    <t>3281万</t>
  </si>
  <si>
    <t>3305万</t>
  </si>
  <si>
    <t>3242万</t>
  </si>
  <si>
    <t>3286万</t>
  </si>
  <si>
    <t>3308万</t>
  </si>
  <si>
    <t>5688万</t>
  </si>
  <si>
    <t>5740万</t>
  </si>
  <si>
    <t>6065万</t>
  </si>
  <si>
    <t>5843万</t>
  </si>
  <si>
    <t>固定资产</t>
  </si>
  <si>
    <t>9655万</t>
  </si>
  <si>
    <t>9773万</t>
  </si>
  <si>
    <t>9866万</t>
  </si>
  <si>
    <t>9559万</t>
  </si>
  <si>
    <t>9186万</t>
  </si>
  <si>
    <t>9226万</t>
  </si>
  <si>
    <t>在建工程</t>
  </si>
  <si>
    <t>1532万</t>
  </si>
  <si>
    <t>570万</t>
  </si>
  <si>
    <t>3914万</t>
  </si>
  <si>
    <t>2793万</t>
  </si>
  <si>
    <t>2361万</t>
  </si>
  <si>
    <t>833万</t>
  </si>
  <si>
    <t>2944万</t>
  </si>
  <si>
    <t>1843万</t>
  </si>
  <si>
    <t>4727万</t>
  </si>
  <si>
    <t>3988万</t>
  </si>
  <si>
    <t>8644万</t>
  </si>
  <si>
    <t>7708万</t>
  </si>
  <si>
    <t>9996万</t>
  </si>
  <si>
    <t>9294万</t>
  </si>
  <si>
    <t>5879万</t>
  </si>
  <si>
    <t>6175万</t>
  </si>
  <si>
    <t>1616万</t>
  </si>
  <si>
    <t>生产性生物资产</t>
  </si>
  <si>
    <t>油气资产</t>
  </si>
  <si>
    <t>使用权资产</t>
  </si>
  <si>
    <t>6200万</t>
  </si>
  <si>
    <t>6380万</t>
  </si>
  <si>
    <t>7068万</t>
  </si>
  <si>
    <t>7568万</t>
  </si>
  <si>
    <t>7966万</t>
  </si>
  <si>
    <t>8467万</t>
  </si>
  <si>
    <t>9612万</t>
  </si>
  <si>
    <t>9664万</t>
  </si>
  <si>
    <t>219万</t>
  </si>
  <si>
    <t>172万</t>
  </si>
  <si>
    <t>241万</t>
  </si>
  <si>
    <t>266万</t>
  </si>
  <si>
    <t>无形资产</t>
  </si>
  <si>
    <t>9197万</t>
  </si>
  <si>
    <t>9259万</t>
  </si>
  <si>
    <t>9183万</t>
  </si>
  <si>
    <t>9257万</t>
  </si>
  <si>
    <t>9335万</t>
  </si>
  <si>
    <t>9413万</t>
  </si>
  <si>
    <t>9500万</t>
  </si>
  <si>
    <t>9581万</t>
  </si>
  <si>
    <t>9661万</t>
  </si>
  <si>
    <t>9703万</t>
  </si>
  <si>
    <t>9882万</t>
  </si>
  <si>
    <t>9956万</t>
  </si>
  <si>
    <t>9541万</t>
  </si>
  <si>
    <t>9728万</t>
  </si>
  <si>
    <t>9913万</t>
  </si>
  <si>
    <t>5755万</t>
  </si>
  <si>
    <t>5802万</t>
  </si>
  <si>
    <t>5847万</t>
  </si>
  <si>
    <t>5793万</t>
  </si>
  <si>
    <t>5764万</t>
  </si>
  <si>
    <t>5803万</t>
  </si>
  <si>
    <t>5846万</t>
  </si>
  <si>
    <t>开发支出</t>
  </si>
  <si>
    <t>商誉</t>
  </si>
  <si>
    <t>长期待摊费用</t>
  </si>
  <si>
    <t>232万</t>
  </si>
  <si>
    <t>294万</t>
  </si>
  <si>
    <t>168万</t>
  </si>
  <si>
    <t>197万</t>
  </si>
  <si>
    <t>240万</t>
  </si>
  <si>
    <t>283万</t>
  </si>
  <si>
    <t>287万</t>
  </si>
  <si>
    <t>314万</t>
  </si>
  <si>
    <t>290万</t>
  </si>
  <si>
    <t>245万</t>
  </si>
  <si>
    <t>259万</t>
  </si>
  <si>
    <t>96万</t>
  </si>
  <si>
    <t>164万</t>
  </si>
  <si>
    <t>151万</t>
  </si>
  <si>
    <t>146万</t>
  </si>
  <si>
    <t>175万</t>
  </si>
  <si>
    <t>222万</t>
  </si>
  <si>
    <t>8万</t>
  </si>
  <si>
    <t>18万</t>
  </si>
  <si>
    <t>116万</t>
  </si>
  <si>
    <t>41万</t>
  </si>
  <si>
    <t>47万</t>
  </si>
  <si>
    <t>44万</t>
  </si>
  <si>
    <t>49万</t>
  </si>
  <si>
    <t>45万</t>
  </si>
  <si>
    <t>55万</t>
  </si>
  <si>
    <t>63万</t>
  </si>
  <si>
    <t>67万</t>
  </si>
  <si>
    <t>11万</t>
  </si>
  <si>
    <t>21万</t>
  </si>
  <si>
    <t>递延所得税资产</t>
  </si>
  <si>
    <t>6474万</t>
  </si>
  <si>
    <t>5349万</t>
  </si>
  <si>
    <t>4912万</t>
  </si>
  <si>
    <t>4770万</t>
  </si>
  <si>
    <t>2924万</t>
  </si>
  <si>
    <t>2884万</t>
  </si>
  <si>
    <t>2612万</t>
  </si>
  <si>
    <t>2665万</t>
  </si>
  <si>
    <t>2176万</t>
  </si>
  <si>
    <t>2147万</t>
  </si>
  <si>
    <t>1962万</t>
  </si>
  <si>
    <t>1950万</t>
  </si>
  <si>
    <t>1839万</t>
  </si>
  <si>
    <t>1815万</t>
  </si>
  <si>
    <t>1988万</t>
  </si>
  <si>
    <t>1746万</t>
  </si>
  <si>
    <t>1295万</t>
  </si>
  <si>
    <t>1324万</t>
  </si>
  <si>
    <t>1257万</t>
  </si>
  <si>
    <t>1248万</t>
  </si>
  <si>
    <t>649万</t>
  </si>
  <si>
    <t>599万</t>
  </si>
  <si>
    <t>559万</t>
  </si>
  <si>
    <t>532万</t>
  </si>
  <si>
    <t>可供出售金融资产</t>
  </si>
  <si>
    <t>持有至到期投资</t>
  </si>
  <si>
    <t>对子公司的投资</t>
  </si>
  <si>
    <t>对联营和合营企业的投资</t>
  </si>
  <si>
    <t>工程物资</t>
  </si>
  <si>
    <t>固定资产清理</t>
  </si>
  <si>
    <t>待处理抵债资产</t>
  </si>
  <si>
    <t>减:抵债资产减值准备</t>
  </si>
  <si>
    <t>待处理抵债资产净额</t>
  </si>
  <si>
    <t>其他非流动资产</t>
  </si>
  <si>
    <t>2272万</t>
  </si>
  <si>
    <t>4842万</t>
  </si>
  <si>
    <t>3319万</t>
  </si>
  <si>
    <t>5061万</t>
  </si>
  <si>
    <t>3592万</t>
  </si>
  <si>
    <t>5587万</t>
  </si>
  <si>
    <t>7917万</t>
  </si>
  <si>
    <t>8139万</t>
  </si>
  <si>
    <t>7869万</t>
  </si>
  <si>
    <t>6039万</t>
  </si>
  <si>
    <t>6107万</t>
  </si>
  <si>
    <t>1592万</t>
  </si>
  <si>
    <t>1545万</t>
  </si>
  <si>
    <t>1423万</t>
  </si>
  <si>
    <t>1441万</t>
  </si>
  <si>
    <t>2053万</t>
  </si>
  <si>
    <t>51万</t>
  </si>
  <si>
    <t>2471万</t>
  </si>
  <si>
    <t>1358万</t>
  </si>
  <si>
    <t>124万</t>
  </si>
  <si>
    <t>73万</t>
  </si>
  <si>
    <t>1708万</t>
  </si>
  <si>
    <t>843万</t>
  </si>
  <si>
    <t>908万</t>
  </si>
  <si>
    <t>800万</t>
  </si>
  <si>
    <t>2003万</t>
  </si>
  <si>
    <t>2496万</t>
  </si>
  <si>
    <t>2941万</t>
  </si>
  <si>
    <t>非流动资产合计</t>
  </si>
  <si>
    <t>流动负债</t>
  </si>
  <si>
    <t>短期借款</t>
  </si>
  <si>
    <t>交易性金融负债</t>
  </si>
  <si>
    <t>衍生金融负债</t>
  </si>
  <si>
    <t>应付票据及应付账款</t>
  </si>
  <si>
    <t>应付票据</t>
  </si>
  <si>
    <t>9867万</t>
  </si>
  <si>
    <t>7548万</t>
  </si>
  <si>
    <t>8341万</t>
  </si>
  <si>
    <t>5581万</t>
  </si>
  <si>
    <t>5141万</t>
  </si>
  <si>
    <t>4801万</t>
  </si>
  <si>
    <t>5705万</t>
  </si>
  <si>
    <t>6395万</t>
  </si>
  <si>
    <t>6782万</t>
  </si>
  <si>
    <t>应付账款</t>
  </si>
  <si>
    <t>预收款项</t>
  </si>
  <si>
    <t>15万</t>
  </si>
  <si>
    <t>3万</t>
  </si>
  <si>
    <t>27万</t>
  </si>
  <si>
    <t>56万</t>
  </si>
  <si>
    <t>81万</t>
  </si>
  <si>
    <t>68万</t>
  </si>
  <si>
    <t>32万</t>
  </si>
  <si>
    <t>8950万</t>
  </si>
  <si>
    <t>9902万</t>
  </si>
  <si>
    <t>合同负债</t>
  </si>
  <si>
    <t>存款证及应付票据</t>
  </si>
  <si>
    <t>其中:存款证</t>
  </si>
  <si>
    <t>应付短期融资款</t>
  </si>
  <si>
    <t>以公允价值计量且其变动计入当期损益的金融负债</t>
  </si>
  <si>
    <t>应付职工薪酬</t>
  </si>
  <si>
    <t>723万</t>
  </si>
  <si>
    <t>2071万</t>
  </si>
  <si>
    <t>796万</t>
  </si>
  <si>
    <t>895万</t>
  </si>
  <si>
    <t>1043万</t>
  </si>
  <si>
    <t>1873万</t>
  </si>
  <si>
    <t>812万</t>
  </si>
  <si>
    <t>820万</t>
  </si>
  <si>
    <t>973万</t>
  </si>
  <si>
    <t>3472万</t>
  </si>
  <si>
    <t>851万</t>
  </si>
  <si>
    <t>891万</t>
  </si>
  <si>
    <t>874万</t>
  </si>
  <si>
    <t>3057万</t>
  </si>
  <si>
    <t>836万</t>
  </si>
  <si>
    <t>729万</t>
  </si>
  <si>
    <t>667万</t>
  </si>
  <si>
    <t>2576万</t>
  </si>
  <si>
    <t>606万</t>
  </si>
  <si>
    <t>670万</t>
  </si>
  <si>
    <t>2086万</t>
  </si>
  <si>
    <t>461万</t>
  </si>
  <si>
    <t>876万</t>
  </si>
  <si>
    <t>710万</t>
  </si>
  <si>
    <t>1976万</t>
  </si>
  <si>
    <t>544万</t>
  </si>
  <si>
    <t>547万</t>
  </si>
  <si>
    <t>558万</t>
  </si>
  <si>
    <t>2188万</t>
  </si>
  <si>
    <t>680万</t>
  </si>
  <si>
    <t>674万</t>
  </si>
  <si>
    <t>868万</t>
  </si>
  <si>
    <t>1785万</t>
  </si>
  <si>
    <t>34万</t>
  </si>
  <si>
    <t>2万</t>
  </si>
  <si>
    <t>756万</t>
  </si>
  <si>
    <t>1285.49</t>
  </si>
  <si>
    <t>337</t>
  </si>
  <si>
    <t>610</t>
  </si>
  <si>
    <t>应交税费</t>
  </si>
  <si>
    <t>516万</t>
  </si>
  <si>
    <t>1999万</t>
  </si>
  <si>
    <t>857万</t>
  </si>
  <si>
    <t>1146万</t>
  </si>
  <si>
    <t>665万</t>
  </si>
  <si>
    <t>432万</t>
  </si>
  <si>
    <t>937万</t>
  </si>
  <si>
    <t>757万</t>
  </si>
  <si>
    <t>2091万</t>
  </si>
  <si>
    <t>673万</t>
  </si>
  <si>
    <t>257万</t>
  </si>
  <si>
    <t>3699万</t>
  </si>
  <si>
    <t>3886万</t>
  </si>
  <si>
    <t>3115万</t>
  </si>
  <si>
    <t>3311万</t>
  </si>
  <si>
    <t>6477万</t>
  </si>
  <si>
    <t>3087万</t>
  </si>
  <si>
    <t>3586万</t>
  </si>
  <si>
    <t>3804万</t>
  </si>
  <si>
    <t>7120万</t>
  </si>
  <si>
    <t>1504万</t>
  </si>
  <si>
    <t>1437万</t>
  </si>
  <si>
    <t>1658万</t>
  </si>
  <si>
    <t>3954万</t>
  </si>
  <si>
    <t>1514万</t>
  </si>
  <si>
    <t>1289万</t>
  </si>
  <si>
    <t>1479万</t>
  </si>
  <si>
    <t>4404万</t>
  </si>
  <si>
    <t>209万</t>
  </si>
  <si>
    <t>814万</t>
  </si>
  <si>
    <t>387万</t>
  </si>
  <si>
    <t>2358万</t>
  </si>
  <si>
    <t>515万</t>
  </si>
  <si>
    <t>567万</t>
  </si>
  <si>
    <t>350万</t>
  </si>
  <si>
    <t>994万</t>
  </si>
  <si>
    <t>131万</t>
  </si>
  <si>
    <t>406万</t>
  </si>
  <si>
    <t>应付手续费及佣金</t>
  </si>
  <si>
    <t>其他应付款合计</t>
  </si>
  <si>
    <t>1332万</t>
  </si>
  <si>
    <t>2846万</t>
  </si>
  <si>
    <t>6729万</t>
  </si>
  <si>
    <t>6418万</t>
  </si>
  <si>
    <t>300万</t>
  </si>
  <si>
    <t>213万</t>
  </si>
  <si>
    <t>269万</t>
  </si>
  <si>
    <t>364万</t>
  </si>
  <si>
    <t>307万</t>
  </si>
  <si>
    <t>212万</t>
  </si>
  <si>
    <t>308万</t>
  </si>
  <si>
    <t>应付利息</t>
  </si>
  <si>
    <t>12万</t>
  </si>
  <si>
    <t>应付股利</t>
  </si>
  <si>
    <t>应付短期债券</t>
  </si>
  <si>
    <t>应付分保账款</t>
  </si>
  <si>
    <t>其他应付款</t>
  </si>
  <si>
    <t>内部应付款</t>
  </si>
  <si>
    <t>预计流动负债</t>
  </si>
  <si>
    <t>持有待售负债</t>
  </si>
  <si>
    <t>一年内到期非流动负债</t>
  </si>
  <si>
    <t>以摊余成本计量的金融负债</t>
  </si>
  <si>
    <t>其他流动负债</t>
  </si>
  <si>
    <t>流动负债合计</t>
  </si>
  <si>
    <t>非流动负债</t>
  </si>
  <si>
    <t>长期借款</t>
  </si>
  <si>
    <t>7871万</t>
  </si>
  <si>
    <t>应付债券</t>
  </si>
  <si>
    <t>优先股</t>
  </si>
  <si>
    <t>永续债</t>
  </si>
  <si>
    <t>应付次级债券</t>
  </si>
  <si>
    <t>租赁负债</t>
  </si>
  <si>
    <t>7185万</t>
  </si>
  <si>
    <t>6967万</t>
  </si>
  <si>
    <t>9079万</t>
  </si>
  <si>
    <t>9107万</t>
  </si>
  <si>
    <t>9076万</t>
  </si>
  <si>
    <t>9904万</t>
  </si>
  <si>
    <t>247万</t>
  </si>
  <si>
    <t>199万</t>
  </si>
  <si>
    <t>207万</t>
  </si>
  <si>
    <t>234万</t>
  </si>
  <si>
    <t>长期应付款</t>
  </si>
  <si>
    <t>110万</t>
  </si>
  <si>
    <t>90万</t>
  </si>
  <si>
    <t>预计负债</t>
  </si>
  <si>
    <t>3956万</t>
  </si>
  <si>
    <t>2002万</t>
  </si>
  <si>
    <t>1752万</t>
  </si>
  <si>
    <t>1790万</t>
  </si>
  <si>
    <t>1756万</t>
  </si>
  <si>
    <t>1874万</t>
  </si>
  <si>
    <t>1890万</t>
  </si>
  <si>
    <t>1713万</t>
  </si>
  <si>
    <t>1825万</t>
  </si>
  <si>
    <t>1050万</t>
  </si>
  <si>
    <t>607万</t>
  </si>
  <si>
    <t>777万</t>
  </si>
  <si>
    <t>948万</t>
  </si>
  <si>
    <t>676万</t>
  </si>
  <si>
    <t>786万</t>
  </si>
  <si>
    <t>775万</t>
  </si>
  <si>
    <t>1250万</t>
  </si>
  <si>
    <t>518万</t>
  </si>
  <si>
    <t>1198万</t>
  </si>
  <si>
    <t>228万</t>
  </si>
  <si>
    <t>429万</t>
  </si>
  <si>
    <t>548万</t>
  </si>
  <si>
    <t>596万</t>
  </si>
  <si>
    <t>750万</t>
  </si>
  <si>
    <t>592万</t>
  </si>
  <si>
    <t>634万</t>
  </si>
  <si>
    <t>672万</t>
  </si>
  <si>
    <t>693万</t>
  </si>
  <si>
    <t>递延收益</t>
  </si>
  <si>
    <t>3173万</t>
  </si>
  <si>
    <t>3312万</t>
  </si>
  <si>
    <t>3153万</t>
  </si>
  <si>
    <t>3282万</t>
  </si>
  <si>
    <t>3502万</t>
  </si>
  <si>
    <t>3364万</t>
  </si>
  <si>
    <t>3157万</t>
  </si>
  <si>
    <t>3203万</t>
  </si>
  <si>
    <t>2637万</t>
  </si>
  <si>
    <t>1857万</t>
  </si>
  <si>
    <t>1835万</t>
  </si>
  <si>
    <t>1851万</t>
  </si>
  <si>
    <t>1816万</t>
  </si>
  <si>
    <t>1824万</t>
  </si>
  <si>
    <t>1832万</t>
  </si>
  <si>
    <t>1840万</t>
  </si>
  <si>
    <t>1849万</t>
  </si>
  <si>
    <t>1789万</t>
  </si>
  <si>
    <t>1810万</t>
  </si>
  <si>
    <t>1836万</t>
  </si>
  <si>
    <t>递延所得税负债</t>
  </si>
  <si>
    <t>1629万</t>
  </si>
  <si>
    <t>1688万</t>
  </si>
  <si>
    <t>1776万</t>
  </si>
  <si>
    <t>2069万</t>
  </si>
  <si>
    <t>2141万</t>
  </si>
  <si>
    <t>2162万</t>
  </si>
  <si>
    <t>2242万</t>
  </si>
  <si>
    <t>2323万</t>
  </si>
  <si>
    <t>2391万</t>
  </si>
  <si>
    <t>2497万</t>
  </si>
  <si>
    <t>2527万</t>
  </si>
  <si>
    <t>2540万</t>
  </si>
  <si>
    <t>2614万</t>
  </si>
  <si>
    <t>163万</t>
  </si>
  <si>
    <t>174万</t>
  </si>
  <si>
    <t>185万</t>
  </si>
  <si>
    <t>233万</t>
  </si>
  <si>
    <t>928万</t>
  </si>
  <si>
    <t>1354万</t>
  </si>
  <si>
    <t>1350万</t>
  </si>
  <si>
    <t>332万</t>
  </si>
  <si>
    <t>352万</t>
  </si>
  <si>
    <t>414万</t>
  </si>
  <si>
    <t>464万</t>
  </si>
  <si>
    <t>496万</t>
  </si>
  <si>
    <t>529万</t>
  </si>
  <si>
    <t>577万</t>
  </si>
  <si>
    <t>长期应付职工薪酬</t>
  </si>
  <si>
    <t>专项应付款</t>
  </si>
  <si>
    <t>其他非流动负债</t>
  </si>
  <si>
    <t>60万</t>
  </si>
  <si>
    <t>非流动负债合计</t>
  </si>
  <si>
    <t>8699万</t>
  </si>
  <si>
    <t>3547万</t>
  </si>
  <si>
    <t>3751万</t>
  </si>
  <si>
    <t>1462万</t>
  </si>
  <si>
    <t>1646万</t>
  </si>
  <si>
    <t>1991万</t>
  </si>
  <si>
    <t>2183万</t>
  </si>
  <si>
    <t>2338万</t>
  </si>
  <si>
    <t>2526万</t>
  </si>
  <si>
    <t>2712万</t>
  </si>
  <si>
    <t>1393万</t>
  </si>
  <si>
    <t>1695万</t>
  </si>
  <si>
    <t>1699万</t>
  </si>
  <si>
    <t>1704万</t>
  </si>
  <si>
    <t>1709万</t>
  </si>
  <si>
    <t>1718万</t>
  </si>
  <si>
    <t>所有者权益</t>
  </si>
  <si>
    <t>实收资本(或股本)</t>
  </si>
  <si>
    <t>其他权益工具</t>
  </si>
  <si>
    <t>7979万</t>
  </si>
  <si>
    <t>资本公积</t>
  </si>
  <si>
    <t>减:库存股</t>
  </si>
  <si>
    <t>7300万</t>
  </si>
  <si>
    <t>7446万</t>
  </si>
  <si>
    <t>6346万</t>
  </si>
  <si>
    <t>5255万</t>
  </si>
  <si>
    <t>255万</t>
  </si>
  <si>
    <t>365万</t>
  </si>
  <si>
    <t>1454万</t>
  </si>
  <si>
    <t>1723万</t>
  </si>
  <si>
    <t>2902万</t>
  </si>
  <si>
    <t>3184万</t>
  </si>
  <si>
    <t>3198万</t>
  </si>
  <si>
    <t>4458万</t>
  </si>
  <si>
    <t>4668万</t>
  </si>
  <si>
    <t>4373万</t>
  </si>
  <si>
    <t>其他综合收益</t>
  </si>
  <si>
    <t>113万</t>
  </si>
  <si>
    <t>-158万</t>
  </si>
  <si>
    <t>-213万</t>
  </si>
  <si>
    <t>-165万</t>
  </si>
  <si>
    <t>-48万</t>
  </si>
  <si>
    <t>专项储备</t>
  </si>
  <si>
    <t>盈余公积</t>
  </si>
  <si>
    <t>3694万</t>
  </si>
  <si>
    <t>3696万</t>
  </si>
  <si>
    <t>2968万</t>
  </si>
  <si>
    <t>2295万</t>
  </si>
  <si>
    <t>1844万</t>
  </si>
  <si>
    <t>一般风险准备</t>
  </si>
  <si>
    <t>未分配利润</t>
  </si>
  <si>
    <t>-8亿</t>
  </si>
  <si>
    <t>-9亿</t>
  </si>
  <si>
    <t>-7亿</t>
  </si>
  <si>
    <t>-2028万</t>
  </si>
  <si>
    <t>-4044万</t>
  </si>
  <si>
    <t>-7578万</t>
  </si>
  <si>
    <t>-4381万</t>
  </si>
  <si>
    <t>其中:建议分派股利</t>
  </si>
  <si>
    <t>套期储备</t>
  </si>
  <si>
    <t>投资重估储备</t>
  </si>
  <si>
    <t>交易风险准备</t>
  </si>
  <si>
    <t>拟分配现金股利</t>
  </si>
  <si>
    <t>外币报表折算差额</t>
  </si>
  <si>
    <t>未确认的投资损失</t>
  </si>
  <si>
    <t>归属于母公司股东权益合计</t>
  </si>
  <si>
    <t>少数股东权益</t>
  </si>
  <si>
    <t>-2542万</t>
  </si>
  <si>
    <t>-1475万</t>
  </si>
  <si>
    <t>-341万</t>
  </si>
  <si>
    <t>425万</t>
  </si>
  <si>
    <t>870万</t>
  </si>
  <si>
    <t>1013万</t>
  </si>
  <si>
    <t>1754万</t>
  </si>
  <si>
    <t>2287万</t>
  </si>
  <si>
    <t>5050万</t>
  </si>
  <si>
    <t>6053万</t>
  </si>
  <si>
    <t>8348万</t>
  </si>
  <si>
    <t>7304万</t>
  </si>
  <si>
    <t>7659万</t>
  </si>
  <si>
    <t>8294万</t>
  </si>
  <si>
    <t>8841万</t>
  </si>
  <si>
    <t>9230万</t>
  </si>
  <si>
    <t>9316万</t>
  </si>
  <si>
    <t>6783万</t>
  </si>
  <si>
    <t>4145万</t>
  </si>
  <si>
    <t>4004万</t>
  </si>
  <si>
    <t>4037万</t>
  </si>
  <si>
    <t>4280万</t>
  </si>
  <si>
    <t>4150万</t>
  </si>
  <si>
    <t>4062万</t>
  </si>
  <si>
    <t>3659万</t>
  </si>
  <si>
    <t>3797万</t>
  </si>
  <si>
    <t>3457万</t>
  </si>
  <si>
    <t>3639万</t>
  </si>
  <si>
    <t>3410万</t>
  </si>
  <si>
    <t>3465万</t>
  </si>
  <si>
    <t>3552万</t>
  </si>
  <si>
    <t>3603万</t>
  </si>
  <si>
    <t>3549万</t>
  </si>
  <si>
    <t>3019万</t>
  </si>
  <si>
    <t>2098万</t>
  </si>
  <si>
    <t>2277万</t>
  </si>
  <si>
    <t>2691万</t>
  </si>
  <si>
    <t>负债和股东权益总计</t>
  </si>
  <si>
    <t>营业收入</t>
  </si>
  <si>
    <t>利息收入</t>
  </si>
  <si>
    <t>手续费及佣金收入</t>
  </si>
  <si>
    <t>已赚保费</t>
  </si>
  <si>
    <t>营业总成本</t>
  </si>
  <si>
    <t>9928万</t>
  </si>
  <si>
    <t>营业成本</t>
  </si>
  <si>
    <t>7395万</t>
  </si>
  <si>
    <t>6315万</t>
  </si>
  <si>
    <t>6659万</t>
  </si>
  <si>
    <t>手续费及佣金支出</t>
  </si>
  <si>
    <t>营业税金及附加</t>
  </si>
  <si>
    <t>379万</t>
  </si>
  <si>
    <t>2438万</t>
  </si>
  <si>
    <t>1750万</t>
  </si>
  <si>
    <t>1272万</t>
  </si>
  <si>
    <t>751万</t>
  </si>
  <si>
    <t>2041万</t>
  </si>
  <si>
    <t>1451万</t>
  </si>
  <si>
    <t>1000万</t>
  </si>
  <si>
    <t>574万</t>
  </si>
  <si>
    <t>2309万</t>
  </si>
  <si>
    <t>1172万</t>
  </si>
  <si>
    <t>1303万</t>
  </si>
  <si>
    <t>582万</t>
  </si>
  <si>
    <t>1705万</t>
  </si>
  <si>
    <t>941万</t>
  </si>
  <si>
    <t>619万</t>
  </si>
  <si>
    <t>221万</t>
  </si>
  <si>
    <t>1389万</t>
  </si>
  <si>
    <t>394万</t>
  </si>
  <si>
    <t>1190万</t>
  </si>
  <si>
    <t>690万</t>
  </si>
  <si>
    <t>390万</t>
  </si>
  <si>
    <t>140万</t>
  </si>
  <si>
    <t>1184万</t>
  </si>
  <si>
    <t>139万</t>
  </si>
  <si>
    <t>792万</t>
  </si>
  <si>
    <t>410万</t>
  </si>
  <si>
    <t>263万</t>
  </si>
  <si>
    <t>572万</t>
  </si>
  <si>
    <t>293万</t>
  </si>
  <si>
    <t>200万</t>
  </si>
  <si>
    <t>120万</t>
  </si>
  <si>
    <t>退保金</t>
  </si>
  <si>
    <t>销售费用</t>
  </si>
  <si>
    <t>4237万</t>
  </si>
  <si>
    <t>7679万</t>
  </si>
  <si>
    <t>3720万</t>
  </si>
  <si>
    <t>7353万</t>
  </si>
  <si>
    <t>3753万</t>
  </si>
  <si>
    <t>6644万</t>
  </si>
  <si>
    <t>3123万</t>
  </si>
  <si>
    <t>7236万</t>
  </si>
  <si>
    <t>9532万</t>
  </si>
  <si>
    <t>6130万</t>
  </si>
  <si>
    <t>2865万</t>
  </si>
  <si>
    <t>4924万</t>
  </si>
  <si>
    <t>2158万</t>
  </si>
  <si>
    <t>9022万</t>
  </si>
  <si>
    <t>5643万</t>
  </si>
  <si>
    <t>2858万</t>
  </si>
  <si>
    <t>8404万</t>
  </si>
  <si>
    <t>5366万</t>
  </si>
  <si>
    <t>2256万</t>
  </si>
  <si>
    <t>8103万</t>
  </si>
  <si>
    <t>4539万</t>
  </si>
  <si>
    <t>2844万</t>
  </si>
  <si>
    <t>1384万</t>
  </si>
  <si>
    <t>6685万</t>
  </si>
  <si>
    <t>4556万</t>
  </si>
  <si>
    <t>1528万</t>
  </si>
  <si>
    <t>管理费用</t>
  </si>
  <si>
    <t>4463万</t>
  </si>
  <si>
    <t>9476万</t>
  </si>
  <si>
    <t>4650万</t>
  </si>
  <si>
    <t>5078万</t>
  </si>
  <si>
    <t>5629万</t>
  </si>
  <si>
    <t>8854万</t>
  </si>
  <si>
    <t>4271万</t>
  </si>
  <si>
    <t>6622万</t>
  </si>
  <si>
    <t>3205万</t>
  </si>
  <si>
    <t>7562万</t>
  </si>
  <si>
    <t>4868万</t>
  </si>
  <si>
    <t>2185万</t>
  </si>
  <si>
    <t>8369万</t>
  </si>
  <si>
    <t>5274万</t>
  </si>
  <si>
    <t>2379万</t>
  </si>
  <si>
    <t>7771万</t>
  </si>
  <si>
    <t>8460万</t>
  </si>
  <si>
    <t>3773万</t>
  </si>
  <si>
    <t>6333万</t>
  </si>
  <si>
    <t>3995万</t>
  </si>
  <si>
    <t>1955万</t>
  </si>
  <si>
    <t>7295万</t>
  </si>
  <si>
    <t>4998万</t>
  </si>
  <si>
    <t>3307万</t>
  </si>
  <si>
    <t>1613万</t>
  </si>
  <si>
    <t>研发费用</t>
  </si>
  <si>
    <t>3895万</t>
  </si>
  <si>
    <t>3833万</t>
  </si>
  <si>
    <t>6527万</t>
  </si>
  <si>
    <t>3178万</t>
  </si>
  <si>
    <t>6779万</t>
  </si>
  <si>
    <t>3081万</t>
  </si>
  <si>
    <t>7475万</t>
  </si>
  <si>
    <t>4532万</t>
  </si>
  <si>
    <t>2236万</t>
  </si>
  <si>
    <t>8067万</t>
  </si>
  <si>
    <t>4815万</t>
  </si>
  <si>
    <t>3089万</t>
  </si>
  <si>
    <t>1386万</t>
  </si>
  <si>
    <t>6630万</t>
  </si>
  <si>
    <t>4236万</t>
  </si>
  <si>
    <t>2108万</t>
  </si>
  <si>
    <t>9242万</t>
  </si>
  <si>
    <t>5761万</t>
  </si>
  <si>
    <t>财务费用</t>
  </si>
  <si>
    <t>1204万</t>
  </si>
  <si>
    <t>2541万</t>
  </si>
  <si>
    <t>3433万</t>
  </si>
  <si>
    <t>2140万</t>
  </si>
  <si>
    <t>1123万</t>
  </si>
  <si>
    <t>5171万</t>
  </si>
  <si>
    <t>3697万</t>
  </si>
  <si>
    <t>854万</t>
  </si>
  <si>
    <t>3814万</t>
  </si>
  <si>
    <t>2904万</t>
  </si>
  <si>
    <t>2123万</t>
  </si>
  <si>
    <t>1121万</t>
  </si>
  <si>
    <t>4945万</t>
  </si>
  <si>
    <t>2988万</t>
  </si>
  <si>
    <t>1826万</t>
  </si>
  <si>
    <t>3452万</t>
  </si>
  <si>
    <t>2138万</t>
  </si>
  <si>
    <t>1380万</t>
  </si>
  <si>
    <t>1431万</t>
  </si>
  <si>
    <t>401万</t>
  </si>
  <si>
    <t>1492万</t>
  </si>
  <si>
    <t>1112万</t>
  </si>
  <si>
    <t>236万</t>
  </si>
  <si>
    <t>1313万</t>
  </si>
  <si>
    <t>722万</t>
  </si>
  <si>
    <t>279万</t>
  </si>
  <si>
    <t>129万</t>
  </si>
  <si>
    <t>5220.5</t>
  </si>
  <si>
    <t>-26.05</t>
  </si>
  <si>
    <t>-127万</t>
  </si>
  <si>
    <t>-107万</t>
  </si>
  <si>
    <t>-92万</t>
  </si>
  <si>
    <t>利息费用</t>
  </si>
  <si>
    <t>3463万</t>
  </si>
  <si>
    <t>3118万</t>
  </si>
  <si>
    <t>1078万</t>
  </si>
  <si>
    <t>4591万</t>
  </si>
  <si>
    <t>3106万</t>
  </si>
  <si>
    <t>1886万</t>
  </si>
  <si>
    <t>397万</t>
  </si>
  <si>
    <t>3557万</t>
  </si>
  <si>
    <t>2219万</t>
  </si>
  <si>
    <t>1413万</t>
  </si>
  <si>
    <t>526万</t>
  </si>
  <si>
    <t>2102万</t>
  </si>
  <si>
    <t>1305万</t>
  </si>
  <si>
    <t>858万</t>
  </si>
  <si>
    <t>460万</t>
  </si>
  <si>
    <t>2043万</t>
  </si>
  <si>
    <t>1419万</t>
  </si>
  <si>
    <t>958万</t>
  </si>
  <si>
    <t>324万</t>
  </si>
  <si>
    <t>830万</t>
  </si>
  <si>
    <t>534万</t>
  </si>
  <si>
    <t>业务及管理费</t>
  </si>
  <si>
    <t>资产减值损失</t>
  </si>
  <si>
    <t>-149万</t>
  </si>
  <si>
    <t>3045万</t>
  </si>
  <si>
    <t>462万</t>
  </si>
  <si>
    <t>412万</t>
  </si>
  <si>
    <t>1310万</t>
  </si>
  <si>
    <t>769万</t>
  </si>
  <si>
    <t>446万</t>
  </si>
  <si>
    <t>178万</t>
  </si>
  <si>
    <t>1221万</t>
  </si>
  <si>
    <t>553万</t>
  </si>
  <si>
    <t>201万</t>
  </si>
  <si>
    <t>其他业务成本</t>
  </si>
  <si>
    <t>其他经营收益</t>
  </si>
  <si>
    <t>投资收益</t>
  </si>
  <si>
    <t>-128万</t>
  </si>
  <si>
    <t>336万</t>
  </si>
  <si>
    <t>223万</t>
  </si>
  <si>
    <t>1014万</t>
  </si>
  <si>
    <t>494万</t>
  </si>
  <si>
    <t>133万</t>
  </si>
  <si>
    <t>74万</t>
  </si>
  <si>
    <t>654万</t>
  </si>
  <si>
    <t>145万</t>
  </si>
  <si>
    <t>-18万</t>
  </si>
  <si>
    <t>-31万</t>
  </si>
  <si>
    <t>210万</t>
  </si>
  <si>
    <t>258万</t>
  </si>
  <si>
    <t>88万</t>
  </si>
  <si>
    <t>10万</t>
  </si>
  <si>
    <t>-804万</t>
  </si>
  <si>
    <t>-780万</t>
  </si>
  <si>
    <t>-56万</t>
  </si>
  <si>
    <t>-312万</t>
  </si>
  <si>
    <t>-33万</t>
  </si>
  <si>
    <t>42万</t>
  </si>
  <si>
    <t>58万</t>
  </si>
  <si>
    <t>13万</t>
  </si>
  <si>
    <t>54万</t>
  </si>
  <si>
    <t>20万</t>
  </si>
  <si>
    <t>311万</t>
  </si>
  <si>
    <t>230万</t>
  </si>
  <si>
    <t>24万</t>
  </si>
  <si>
    <t>对联营企业和合营企业的投资收益</t>
  </si>
  <si>
    <t>汇兑收益</t>
  </si>
  <si>
    <t>净敞口套期收益</t>
  </si>
  <si>
    <t>公允价值变动收益</t>
  </si>
  <si>
    <t>可供出售金融资产公允价值变动损益</t>
  </si>
  <si>
    <t>资产处置收益</t>
  </si>
  <si>
    <t>6万</t>
  </si>
  <si>
    <t>80万</t>
  </si>
  <si>
    <t>64万</t>
  </si>
  <si>
    <t>36万</t>
  </si>
  <si>
    <t>242万</t>
  </si>
  <si>
    <t>-2007.03</t>
  </si>
  <si>
    <t>-2万</t>
  </si>
  <si>
    <t>-3万</t>
  </si>
  <si>
    <t>-19万</t>
  </si>
  <si>
    <t>-6万</t>
  </si>
  <si>
    <t>-12万</t>
  </si>
  <si>
    <t>-597.7</t>
  </si>
  <si>
    <t>-1万</t>
  </si>
  <si>
    <t>其他收益</t>
  </si>
  <si>
    <t>437万</t>
  </si>
  <si>
    <t>1105万</t>
  </si>
  <si>
    <t>617万</t>
  </si>
  <si>
    <t>396万</t>
  </si>
  <si>
    <t>2352万</t>
  </si>
  <si>
    <t>1560万</t>
  </si>
  <si>
    <t>176万</t>
  </si>
  <si>
    <t>2054万</t>
  </si>
  <si>
    <t>1312万</t>
  </si>
  <si>
    <t>904万</t>
  </si>
  <si>
    <t>3181万</t>
  </si>
  <si>
    <t>934万</t>
  </si>
  <si>
    <t>112万</t>
  </si>
  <si>
    <t>3028万</t>
  </si>
  <si>
    <t>2259万</t>
  </si>
  <si>
    <t>744万</t>
  </si>
  <si>
    <t>1993万</t>
  </si>
  <si>
    <t>1249万</t>
  </si>
  <si>
    <t>845万</t>
  </si>
  <si>
    <t>1928万</t>
  </si>
  <si>
    <t>707万</t>
  </si>
  <si>
    <t>信用减值损失</t>
  </si>
  <si>
    <t>1755万</t>
  </si>
  <si>
    <t>752万</t>
  </si>
  <si>
    <t>100万</t>
  </si>
  <si>
    <t>1445万</t>
  </si>
  <si>
    <t>968万</t>
  </si>
  <si>
    <t>758万</t>
  </si>
  <si>
    <t>其他业务收入</t>
  </si>
  <si>
    <t>营业利润</t>
  </si>
  <si>
    <t>-7842万</t>
  </si>
  <si>
    <t>-5370万</t>
  </si>
  <si>
    <t>-1315万</t>
  </si>
  <si>
    <t>1946万</t>
  </si>
  <si>
    <t>-1918万</t>
  </si>
  <si>
    <t>-4739万</t>
  </si>
  <si>
    <t>-9185万</t>
  </si>
  <si>
    <t>-3862万</t>
  </si>
  <si>
    <t>-1600万</t>
  </si>
  <si>
    <t>4531万</t>
  </si>
  <si>
    <t>2770万</t>
  </si>
  <si>
    <t>2790万</t>
  </si>
  <si>
    <t>-2221万</t>
  </si>
  <si>
    <t>-2857万</t>
  </si>
  <si>
    <t>-1621万</t>
  </si>
  <si>
    <t>5774万</t>
  </si>
  <si>
    <t>2828万</t>
  </si>
  <si>
    <t>456万</t>
  </si>
  <si>
    <t>4823万</t>
  </si>
  <si>
    <t>2887万</t>
  </si>
  <si>
    <t>1286万</t>
  </si>
  <si>
    <t>6345万</t>
  </si>
  <si>
    <t>1690万</t>
  </si>
  <si>
    <t>581万</t>
  </si>
  <si>
    <t>3125万</t>
  </si>
  <si>
    <t>1628万</t>
  </si>
  <si>
    <t>1598万</t>
  </si>
  <si>
    <t>853万</t>
  </si>
  <si>
    <t>营业外收入</t>
  </si>
  <si>
    <t>337万</t>
  </si>
  <si>
    <t>161万</t>
  </si>
  <si>
    <t>39万</t>
  </si>
  <si>
    <t>158万</t>
  </si>
  <si>
    <t>149万</t>
  </si>
  <si>
    <t>122万</t>
  </si>
  <si>
    <t>482万</t>
  </si>
  <si>
    <t>17万</t>
  </si>
  <si>
    <t>5万</t>
  </si>
  <si>
    <t>127万</t>
  </si>
  <si>
    <t>137万</t>
  </si>
  <si>
    <t>106万</t>
  </si>
  <si>
    <t>50万</t>
  </si>
  <si>
    <t>22万</t>
  </si>
  <si>
    <t>167万</t>
  </si>
  <si>
    <t>179万</t>
  </si>
  <si>
    <t>16万</t>
  </si>
  <si>
    <t>587万</t>
  </si>
  <si>
    <t>184万</t>
  </si>
  <si>
    <t>71万</t>
  </si>
  <si>
    <t>28万</t>
  </si>
  <si>
    <t>1502万</t>
  </si>
  <si>
    <t>709万</t>
  </si>
  <si>
    <t>营业外支出</t>
  </si>
  <si>
    <t>285万</t>
  </si>
  <si>
    <t>53万</t>
  </si>
  <si>
    <t>19万</t>
  </si>
  <si>
    <t>282万</t>
  </si>
  <si>
    <t>135万</t>
  </si>
  <si>
    <t>143万</t>
  </si>
  <si>
    <t>130万</t>
  </si>
  <si>
    <t>84万</t>
  </si>
  <si>
    <t>77万</t>
  </si>
  <si>
    <t>29.25</t>
  </si>
  <si>
    <t>4410.74</t>
  </si>
  <si>
    <t>4410.64</t>
  </si>
  <si>
    <t>所得税费用</t>
  </si>
  <si>
    <t>2965万</t>
  </si>
  <si>
    <t>-2801万</t>
  </si>
  <si>
    <t>-1874万</t>
  </si>
  <si>
    <t>-1161万</t>
  </si>
  <si>
    <t>-269万</t>
  </si>
  <si>
    <t>-327万</t>
  </si>
  <si>
    <t>-1258万</t>
  </si>
  <si>
    <t>-438万</t>
  </si>
  <si>
    <t>-552万</t>
  </si>
  <si>
    <t>-595万</t>
  </si>
  <si>
    <t>-153万</t>
  </si>
  <si>
    <t>-1111万</t>
  </si>
  <si>
    <t>-753万</t>
  </si>
  <si>
    <t>-4347万</t>
  </si>
  <si>
    <t>-1121万</t>
  </si>
  <si>
    <t>-74万</t>
  </si>
  <si>
    <t>-439万</t>
  </si>
  <si>
    <t>633万</t>
  </si>
  <si>
    <t>704万</t>
  </si>
  <si>
    <t>188万</t>
  </si>
  <si>
    <t>-386万</t>
  </si>
  <si>
    <t>-1046万</t>
  </si>
  <si>
    <t>-8万</t>
  </si>
  <si>
    <t>1924万</t>
  </si>
  <si>
    <t>327万</t>
  </si>
  <si>
    <t>1239万</t>
  </si>
  <si>
    <t>571万</t>
  </si>
  <si>
    <t>237万</t>
  </si>
  <si>
    <t>727万</t>
  </si>
  <si>
    <t>306万</t>
  </si>
  <si>
    <t>121万</t>
  </si>
  <si>
    <t>153万</t>
  </si>
  <si>
    <t>361万</t>
  </si>
  <si>
    <t>126万</t>
  </si>
  <si>
    <t>按经营持续性分类</t>
  </si>
  <si>
    <t>持续经营净利润</t>
  </si>
  <si>
    <t>4865万</t>
  </si>
  <si>
    <t>终止经营净利润</t>
  </si>
  <si>
    <t>按所有权归属分类</t>
  </si>
  <si>
    <t>归属于母公司股东的净利润</t>
  </si>
  <si>
    <t>8302万</t>
  </si>
  <si>
    <t>-7168万</t>
  </si>
  <si>
    <t>-3621万</t>
  </si>
  <si>
    <t>339万</t>
  </si>
  <si>
    <t>2353万</t>
  </si>
  <si>
    <t>-3197万</t>
  </si>
  <si>
    <t>-6500万</t>
  </si>
  <si>
    <t>-2670万</t>
  </si>
  <si>
    <t>-1194万</t>
  </si>
  <si>
    <t>4512万</t>
  </si>
  <si>
    <t>3148万</t>
  </si>
  <si>
    <t>2282万</t>
  </si>
  <si>
    <t>335万</t>
  </si>
  <si>
    <t>3006万</t>
  </si>
  <si>
    <t>-1236万</t>
  </si>
  <si>
    <t>-2412万</t>
  </si>
  <si>
    <t>-1449万</t>
  </si>
  <si>
    <t>8794万</t>
  </si>
  <si>
    <t>5612万</t>
  </si>
  <si>
    <t>2610万</t>
  </si>
  <si>
    <t>371万</t>
  </si>
  <si>
    <t>4448万</t>
  </si>
  <si>
    <t>2367万</t>
  </si>
  <si>
    <t>923万</t>
  </si>
  <si>
    <t>5712万</t>
  </si>
  <si>
    <t>2561万</t>
  </si>
  <si>
    <t>1823万</t>
  </si>
  <si>
    <t>4821万</t>
  </si>
  <si>
    <t>少数股东损益</t>
  </si>
  <si>
    <t>归属母公司所有者的其他综合收益的税后净额</t>
  </si>
  <si>
    <t>-2254万</t>
  </si>
  <si>
    <t>4603万</t>
  </si>
  <si>
    <t>8805万</t>
  </si>
  <si>
    <t>归属于少数股东的其他综合收益的税后净额</t>
  </si>
  <si>
    <t>综合收益总额</t>
  </si>
  <si>
    <t>5011万</t>
  </si>
  <si>
    <t>3154万</t>
  </si>
  <si>
    <t>8838万</t>
  </si>
  <si>
    <t>归属于母公司所有者的综合收益总额</t>
  </si>
  <si>
    <t>归属于少数股东的综合收益总额</t>
  </si>
  <si>
    <t>每股收益</t>
  </si>
  <si>
    <t>基本每股收益</t>
  </si>
  <si>
    <t>稀释每股收益</t>
  </si>
  <si>
    <t>经营活动产生的现金流量</t>
  </si>
  <si>
    <t>销售商品、提供劳务收到的现金</t>
  </si>
  <si>
    <t>9566万</t>
  </si>
  <si>
    <t>7772万</t>
  </si>
  <si>
    <t>客户存款净增加额</t>
  </si>
  <si>
    <t>同业及其他金融机构存放款项净增加额</t>
  </si>
  <si>
    <t>存放中央银行和同业款项净减少额</t>
  </si>
  <si>
    <t>存放中央银行款项净减少额</t>
  </si>
  <si>
    <t>存放同业及其他金融机构款项净减少额</t>
  </si>
  <si>
    <t>拆入资金及卖出回购金融资产款净增加额</t>
  </si>
  <si>
    <t>卖出回购金融资产款净增加额</t>
  </si>
  <si>
    <t>拆出资金及买入返售金融资产净减少额</t>
  </si>
  <si>
    <t>拆出资金净减少额</t>
  </si>
  <si>
    <t>买入返售金融资产净减少额</t>
  </si>
  <si>
    <t>收到再保险业务现金净额</t>
  </si>
  <si>
    <t>收取利息的现金</t>
  </si>
  <si>
    <t>收取手续费及佣金的现金</t>
  </si>
  <si>
    <t>处置抵债资产收到的现金</t>
  </si>
  <si>
    <t>收回的已于以前年度核销的贷款</t>
  </si>
  <si>
    <t>收到其他与经营活动有关的现金</t>
  </si>
  <si>
    <t>2083万</t>
  </si>
  <si>
    <t>8743万</t>
  </si>
  <si>
    <t>3405万</t>
  </si>
  <si>
    <t>7782万</t>
  </si>
  <si>
    <t>6596万</t>
  </si>
  <si>
    <t>7582万</t>
  </si>
  <si>
    <t>1107万</t>
  </si>
  <si>
    <t>2215万</t>
  </si>
  <si>
    <t>402万</t>
  </si>
  <si>
    <t>2436万</t>
  </si>
  <si>
    <t>3101万</t>
  </si>
  <si>
    <t>537万</t>
  </si>
  <si>
    <t>2082万</t>
  </si>
  <si>
    <t>3756万</t>
  </si>
  <si>
    <t>4578万</t>
  </si>
  <si>
    <t>2392万</t>
  </si>
  <si>
    <t>6013万</t>
  </si>
  <si>
    <t>2007万</t>
  </si>
  <si>
    <t>1468万</t>
  </si>
  <si>
    <t>7441万</t>
  </si>
  <si>
    <t>4872万</t>
  </si>
  <si>
    <t>4022万</t>
  </si>
  <si>
    <t>3220万</t>
  </si>
  <si>
    <t>1507万</t>
  </si>
  <si>
    <t>31万</t>
  </si>
  <si>
    <t>251万</t>
  </si>
  <si>
    <t>97万</t>
  </si>
  <si>
    <t>1972万</t>
  </si>
  <si>
    <t>675万</t>
  </si>
  <si>
    <t>514万</t>
  </si>
  <si>
    <t>154万</t>
  </si>
  <si>
    <t>银行业务及证券业务拆借资金净增加额</t>
  </si>
  <si>
    <t>银行及证券业务卖出回购资金净增加额</t>
  </si>
  <si>
    <t>银行及证券业务买入返售资金净减少额</t>
  </si>
  <si>
    <t>代理承销证券收到的现金净额</t>
  </si>
  <si>
    <t>客户交易结算资金增加</t>
  </si>
  <si>
    <t>直接投资经营资金增加</t>
  </si>
  <si>
    <t>交易性金融资产净减少额</t>
  </si>
  <si>
    <t>交易性金融负债净增加额</t>
  </si>
  <si>
    <t>经营活动现金流入小计</t>
  </si>
  <si>
    <t>9768万</t>
  </si>
  <si>
    <t>7926万</t>
  </si>
  <si>
    <t>购买商品、接受劳务支付的现金</t>
  </si>
  <si>
    <t>6956万</t>
  </si>
  <si>
    <t>6853万</t>
  </si>
  <si>
    <t>支付给职工以及为职工支付的现金</t>
  </si>
  <si>
    <t>8935万</t>
  </si>
  <si>
    <t>8685万</t>
  </si>
  <si>
    <t>7428万</t>
  </si>
  <si>
    <t>5430万</t>
  </si>
  <si>
    <t>6599万</t>
  </si>
  <si>
    <t>4797万</t>
  </si>
  <si>
    <t>7010万</t>
  </si>
  <si>
    <t>4885万</t>
  </si>
  <si>
    <t>2751万</t>
  </si>
  <si>
    <t>8217万</t>
  </si>
  <si>
    <t>5517万</t>
  </si>
  <si>
    <t>支付的各项税费</t>
  </si>
  <si>
    <t>2312万</t>
  </si>
  <si>
    <t>7687万</t>
  </si>
  <si>
    <t>5374万</t>
  </si>
  <si>
    <t>3634万</t>
  </si>
  <si>
    <t>1677万</t>
  </si>
  <si>
    <t>9665万</t>
  </si>
  <si>
    <t>8019万</t>
  </si>
  <si>
    <t>5851万</t>
  </si>
  <si>
    <t>4362万</t>
  </si>
  <si>
    <t>7570万</t>
  </si>
  <si>
    <t>3959万</t>
  </si>
  <si>
    <t>7062万</t>
  </si>
  <si>
    <t>4279万</t>
  </si>
  <si>
    <t>9603万</t>
  </si>
  <si>
    <t>7135万</t>
  </si>
  <si>
    <t>4071万</t>
  </si>
  <si>
    <t>7910万</t>
  </si>
  <si>
    <t>5695万</t>
  </si>
  <si>
    <t>4213万</t>
  </si>
  <si>
    <t>2617万</t>
  </si>
  <si>
    <t>9721万</t>
  </si>
  <si>
    <t>7284万</t>
  </si>
  <si>
    <t>5131万</t>
  </si>
  <si>
    <t>3423万</t>
  </si>
  <si>
    <t>8044万</t>
  </si>
  <si>
    <t>6285万</t>
  </si>
  <si>
    <t>4552万</t>
  </si>
  <si>
    <t>3062万</t>
  </si>
  <si>
    <t>5696万</t>
  </si>
  <si>
    <t>3201万</t>
  </si>
  <si>
    <t>1168万</t>
  </si>
  <si>
    <t>4346万</t>
  </si>
  <si>
    <t>3632万</t>
  </si>
  <si>
    <t>1712万</t>
  </si>
  <si>
    <t>存放中央银行款项净增加额</t>
  </si>
  <si>
    <t>存放同业及其他金融机构款项净增加额</t>
  </si>
  <si>
    <t>保户储金及投资款净减少额</t>
  </si>
  <si>
    <t>同业及其他机构存放款减少净额</t>
  </si>
  <si>
    <t>已发行存款证净减少额</t>
  </si>
  <si>
    <t>拆出资金及买入返售金融资产净增加额</t>
  </si>
  <si>
    <t>拆入资金及卖出回购金融资产款净减少额</t>
  </si>
  <si>
    <t>拆入资金净减少额</t>
  </si>
  <si>
    <t>卖出回购金融资产净减少额</t>
  </si>
  <si>
    <t>交易性金融负债净减少额</t>
  </si>
  <si>
    <t>支付原保险合同赔付款项的现金</t>
  </si>
  <si>
    <t>支付利息、手续费及佣金的现金</t>
  </si>
  <si>
    <t>支付利息的现金</t>
  </si>
  <si>
    <t>支付手续费及佣金的现金</t>
  </si>
  <si>
    <t>支付保单红利的现金</t>
  </si>
  <si>
    <t>发放贷款及垫款的净减少额</t>
  </si>
  <si>
    <t>支付再保险业务现金净额</t>
  </si>
  <si>
    <t>银行业务及证券业务拆借资金净减少额</t>
  </si>
  <si>
    <t>银行业务及证券业务买入返售资金净增加额</t>
  </si>
  <si>
    <t>支付交易性金融资产现金净额</t>
  </si>
  <si>
    <t>买入返售金融资产支付的现金净额</t>
  </si>
  <si>
    <t>客户交易结算资金减少</t>
  </si>
  <si>
    <t>直接投资经营资金减少</t>
  </si>
  <si>
    <t>回购业务资金净减少额</t>
  </si>
  <si>
    <t>代理买卖证券支付的现金净额(净减少额)</t>
  </si>
  <si>
    <t>购买融资租赁资产支付的现金</t>
  </si>
  <si>
    <t>向中央银行借款净减少额</t>
  </si>
  <si>
    <t>支付其他与经营活动有关的现金</t>
  </si>
  <si>
    <t>7973万</t>
  </si>
  <si>
    <t>8746万</t>
  </si>
  <si>
    <t>8576万</t>
  </si>
  <si>
    <t>2982万</t>
  </si>
  <si>
    <t>9188万</t>
  </si>
  <si>
    <t>6973万</t>
  </si>
  <si>
    <t>3474万</t>
  </si>
  <si>
    <t>9707万</t>
  </si>
  <si>
    <t>6544万</t>
  </si>
  <si>
    <t>8579万</t>
  </si>
  <si>
    <t>3329万</t>
  </si>
  <si>
    <t>2682万</t>
  </si>
  <si>
    <t>3104万</t>
  </si>
  <si>
    <t>6877万</t>
  </si>
  <si>
    <t>5483万</t>
  </si>
  <si>
    <t>3431万</t>
  </si>
  <si>
    <t>1897万</t>
  </si>
  <si>
    <t>经营活动现金流出小计</t>
  </si>
  <si>
    <t>投资活动产生的现金流量</t>
  </si>
  <si>
    <t>收回投资收到的现金</t>
  </si>
  <si>
    <t>1374万</t>
  </si>
  <si>
    <t>1336万</t>
  </si>
  <si>
    <t>9791万</t>
  </si>
  <si>
    <t>1052万</t>
  </si>
  <si>
    <t>7054万</t>
  </si>
  <si>
    <t>1804万</t>
  </si>
  <si>
    <t>8401万</t>
  </si>
  <si>
    <t>4806万</t>
  </si>
  <si>
    <t>2079万</t>
  </si>
  <si>
    <t>630万</t>
  </si>
  <si>
    <t>4032万</t>
  </si>
  <si>
    <t>568万</t>
  </si>
  <si>
    <t>1793万</t>
  </si>
  <si>
    <t>138万</t>
  </si>
  <si>
    <t>91万</t>
  </si>
  <si>
    <t>622万</t>
  </si>
  <si>
    <t>420万</t>
  </si>
  <si>
    <t>3497万</t>
  </si>
  <si>
    <t>2212万</t>
  </si>
  <si>
    <t>1398万</t>
  </si>
  <si>
    <t>取得投资收益收到的现金</t>
  </si>
  <si>
    <t>398万</t>
  </si>
  <si>
    <t>391万</t>
  </si>
  <si>
    <t>380万</t>
  </si>
  <si>
    <t>442万</t>
  </si>
  <si>
    <t>383万</t>
  </si>
  <si>
    <t>2140.18</t>
  </si>
  <si>
    <t>5812.53</t>
  </si>
  <si>
    <t>136万</t>
  </si>
  <si>
    <t>分得股利或利润所收到的现金</t>
  </si>
  <si>
    <t>处置固定资产、无形资产和其他长期资产收回的现金净额</t>
  </si>
  <si>
    <t>540万</t>
  </si>
  <si>
    <t>2150</t>
  </si>
  <si>
    <t>1110万</t>
  </si>
  <si>
    <t>8000</t>
  </si>
  <si>
    <t>3435万</t>
  </si>
  <si>
    <t>3238万</t>
  </si>
  <si>
    <t>243万</t>
  </si>
  <si>
    <t>2549.86</t>
  </si>
  <si>
    <t>600</t>
  </si>
  <si>
    <t>5040.88</t>
  </si>
  <si>
    <t>741.15</t>
  </si>
  <si>
    <t>627</t>
  </si>
  <si>
    <t>处置子公司及其他营业单位收到的现金净额</t>
  </si>
  <si>
    <t>减少质押和定期存款所收到的现金</t>
  </si>
  <si>
    <t>收到其他与投资活动有关的现金</t>
  </si>
  <si>
    <t>2161.25</t>
  </si>
  <si>
    <t>78万</t>
  </si>
  <si>
    <t>1237万</t>
  </si>
  <si>
    <t>投资活动现金流入小计</t>
  </si>
  <si>
    <t>1914万</t>
  </si>
  <si>
    <t>1770万</t>
  </si>
  <si>
    <t>8916万</t>
  </si>
  <si>
    <t>5042万</t>
  </si>
  <si>
    <t>8457万</t>
  </si>
  <si>
    <t>5049万</t>
  </si>
  <si>
    <t>643万</t>
  </si>
  <si>
    <t>576万</t>
  </si>
  <si>
    <t>115万</t>
  </si>
  <si>
    <t>1884万</t>
  </si>
  <si>
    <t>192万</t>
  </si>
  <si>
    <t>694万</t>
  </si>
  <si>
    <t>440万</t>
  </si>
  <si>
    <t>4761万</t>
  </si>
  <si>
    <t>2334万</t>
  </si>
  <si>
    <t>1496万</t>
  </si>
  <si>
    <t>购建固定资产、无形资产和其他长期资产支付的现金</t>
  </si>
  <si>
    <t>1448万</t>
  </si>
  <si>
    <t>4672万</t>
  </si>
  <si>
    <t>2414万</t>
  </si>
  <si>
    <t>1264万</t>
  </si>
  <si>
    <t>8292万</t>
  </si>
  <si>
    <t>9778万</t>
  </si>
  <si>
    <t>3091万</t>
  </si>
  <si>
    <t>9617万</t>
  </si>
  <si>
    <t>7638万</t>
  </si>
  <si>
    <t>1442万</t>
  </si>
  <si>
    <t>5216万</t>
  </si>
  <si>
    <t>1521万</t>
  </si>
  <si>
    <t>8224万</t>
  </si>
  <si>
    <t>2153万</t>
  </si>
  <si>
    <t>7310万</t>
  </si>
  <si>
    <t>3476万</t>
  </si>
  <si>
    <t>470万</t>
  </si>
  <si>
    <t>8972万</t>
  </si>
  <si>
    <t>6647万</t>
  </si>
  <si>
    <t>5290万</t>
  </si>
  <si>
    <t>3577万</t>
  </si>
  <si>
    <t>5097万</t>
  </si>
  <si>
    <t>4231万</t>
  </si>
  <si>
    <t>2919万</t>
  </si>
  <si>
    <t>737万</t>
  </si>
  <si>
    <t>5929万</t>
  </si>
  <si>
    <t>5197万</t>
  </si>
  <si>
    <t>646万</t>
  </si>
  <si>
    <t>投资支付的现金</t>
  </si>
  <si>
    <t>1762万</t>
  </si>
  <si>
    <t>1556万</t>
  </si>
  <si>
    <t>8729万</t>
  </si>
  <si>
    <t>1800万</t>
  </si>
  <si>
    <t>9836万</t>
  </si>
  <si>
    <t>8125万</t>
  </si>
  <si>
    <t>4757万</t>
  </si>
  <si>
    <t>1540万</t>
  </si>
  <si>
    <t>9833万</t>
  </si>
  <si>
    <t>4040万</t>
  </si>
  <si>
    <t>1240万</t>
  </si>
  <si>
    <t>806万</t>
  </si>
  <si>
    <t>3569万</t>
  </si>
  <si>
    <t>400万</t>
  </si>
  <si>
    <t>368万</t>
  </si>
  <si>
    <t>321万</t>
  </si>
  <si>
    <t>333万</t>
  </si>
  <si>
    <t>2530万</t>
  </si>
  <si>
    <t>1544万</t>
  </si>
  <si>
    <t>取得子公司及其他营业单位支付的现金净额</t>
  </si>
  <si>
    <t>增加质押和定期存款所支付的现金</t>
  </si>
  <si>
    <t>处置可供出售金融资产净减少额</t>
  </si>
  <si>
    <t>支付其他与投资活动有关的现金投资活动现金流出小计</t>
  </si>
  <si>
    <t>筹资活动产生的现金流量</t>
  </si>
  <si>
    <t>吸收投资收到的现金</t>
  </si>
  <si>
    <t>其中:子公司吸收少数股东投资收到的现金</t>
  </si>
  <si>
    <t>取得借款收到的现金</t>
  </si>
  <si>
    <t>4000万</t>
  </si>
  <si>
    <t>发行债券收到的现金</t>
  </si>
  <si>
    <t>发行次级债券所收到的现金</t>
  </si>
  <si>
    <t>发行其他债券所收到的现金</t>
  </si>
  <si>
    <t>收到卖出回购金融资产款现金净额</t>
  </si>
  <si>
    <t>增加股本所收到的现金</t>
  </si>
  <si>
    <t>收到其他与筹资活动有关的现金</t>
  </si>
  <si>
    <t>8703万</t>
  </si>
  <si>
    <t>5747万</t>
  </si>
  <si>
    <t>1589万</t>
  </si>
  <si>
    <t>978万</t>
  </si>
  <si>
    <t>8630万</t>
  </si>
  <si>
    <t>1363万</t>
  </si>
  <si>
    <t>2448万</t>
  </si>
  <si>
    <t>601万</t>
  </si>
  <si>
    <t>804万</t>
  </si>
  <si>
    <t>160万</t>
  </si>
  <si>
    <t>筹资活动现金流入小计</t>
  </si>
  <si>
    <t>4296万</t>
  </si>
  <si>
    <t>9043万</t>
  </si>
  <si>
    <t>4433万</t>
  </si>
  <si>
    <t>偿还债务支付的现金</t>
  </si>
  <si>
    <t>4388万</t>
  </si>
  <si>
    <t>8781万</t>
  </si>
  <si>
    <t>1225万</t>
  </si>
  <si>
    <t>7796万</t>
  </si>
  <si>
    <t>4786万</t>
  </si>
  <si>
    <t>2537万</t>
  </si>
  <si>
    <t>偿付债券利息支付的现金</t>
  </si>
  <si>
    <t>618万</t>
  </si>
  <si>
    <t>3380万</t>
  </si>
  <si>
    <t>2640万</t>
  </si>
  <si>
    <t>1721万</t>
  </si>
  <si>
    <t>3750万</t>
  </si>
  <si>
    <t>2922万</t>
  </si>
  <si>
    <t>1822万</t>
  </si>
  <si>
    <t>762万</t>
  </si>
  <si>
    <t>3490万</t>
  </si>
  <si>
    <t>2720万</t>
  </si>
  <si>
    <t>1085万</t>
  </si>
  <si>
    <t>4769万</t>
  </si>
  <si>
    <t>3636万</t>
  </si>
  <si>
    <t>2580万</t>
  </si>
  <si>
    <t>679万</t>
  </si>
  <si>
    <t>2458万</t>
  </si>
  <si>
    <t>1691万</t>
  </si>
  <si>
    <t>3013万</t>
  </si>
  <si>
    <t>2199万</t>
  </si>
  <si>
    <t>3369万</t>
  </si>
  <si>
    <t>2783万</t>
  </si>
  <si>
    <t>2245万</t>
  </si>
  <si>
    <t>1945万</t>
  </si>
  <si>
    <t>1534万</t>
  </si>
  <si>
    <t>1301万</t>
  </si>
  <si>
    <t>1023万</t>
  </si>
  <si>
    <t>2000万</t>
  </si>
  <si>
    <t>股份发行支付的费用</t>
  </si>
  <si>
    <t>分配股利、利润或偿付利息支付的现金</t>
  </si>
  <si>
    <t>其中:子公司支付给少数股东的股利、利润</t>
  </si>
  <si>
    <t>2528.9</t>
  </si>
  <si>
    <t>购买子公司少数股权而支付的现金</t>
  </si>
  <si>
    <t>其中:子公司减资支付给少数股东的现金</t>
  </si>
  <si>
    <t>支付卖出回购金融资产款现金净额</t>
  </si>
  <si>
    <t>支付其他与筹资活动有关的现金</t>
  </si>
  <si>
    <t>605万</t>
  </si>
  <si>
    <t>2481万</t>
  </si>
  <si>
    <t>5519万</t>
  </si>
  <si>
    <t>1261万</t>
  </si>
  <si>
    <t>9402万</t>
  </si>
  <si>
    <t>4748万</t>
  </si>
  <si>
    <t>2696万</t>
  </si>
  <si>
    <t>1664万</t>
  </si>
  <si>
    <t>7458万</t>
  </si>
  <si>
    <t>9407万</t>
  </si>
  <si>
    <t>9606万</t>
  </si>
  <si>
    <t>9750万</t>
  </si>
  <si>
    <t>2556万</t>
  </si>
  <si>
    <t>95万</t>
  </si>
  <si>
    <t>9382万</t>
  </si>
  <si>
    <t>2474万</t>
  </si>
  <si>
    <t>1142万</t>
  </si>
  <si>
    <t>873万</t>
  </si>
  <si>
    <t>996万</t>
  </si>
  <si>
    <t>93万</t>
  </si>
  <si>
    <t>301万</t>
  </si>
  <si>
    <t>102万</t>
  </si>
  <si>
    <t>881万</t>
  </si>
  <si>
    <t>979万</t>
  </si>
  <si>
    <t>筹资活动现金流出小计</t>
  </si>
  <si>
    <t>6814万</t>
  </si>
  <si>
    <t>1623万</t>
  </si>
  <si>
    <t>8113万</t>
  </si>
  <si>
    <t>4712万</t>
  </si>
  <si>
    <t>1176万</t>
  </si>
  <si>
    <t>4168万</t>
  </si>
  <si>
    <t>1116万</t>
  </si>
  <si>
    <t>1314万</t>
  </si>
  <si>
    <t>2881万</t>
  </si>
  <si>
    <t>2979万</t>
  </si>
  <si>
    <t>汇率变动对现金及现金等价物的影响</t>
  </si>
  <si>
    <t>-119万</t>
  </si>
  <si>
    <t>57万</t>
  </si>
  <si>
    <t>61万</t>
  </si>
  <si>
    <t>-21万</t>
  </si>
  <si>
    <t>-47万</t>
  </si>
  <si>
    <t>-182万</t>
  </si>
  <si>
    <t>-15万</t>
  </si>
  <si>
    <t>-7万</t>
  </si>
  <si>
    <t>-5万</t>
  </si>
  <si>
    <t>-98万</t>
  </si>
  <si>
    <t>-10万</t>
  </si>
  <si>
    <t>33万</t>
  </si>
  <si>
    <t>-54万</t>
  </si>
  <si>
    <t>-41万</t>
  </si>
  <si>
    <t>1503.01</t>
  </si>
  <si>
    <t>2511.17</t>
  </si>
  <si>
    <t>65万</t>
  </si>
  <si>
    <t>现金及现金等价物净增加额</t>
  </si>
  <si>
    <t>-652万</t>
  </si>
  <si>
    <t>-4788万</t>
  </si>
  <si>
    <t>4409万</t>
  </si>
  <si>
    <t>3689万</t>
  </si>
  <si>
    <t>7643万</t>
  </si>
  <si>
    <t>-2063万</t>
  </si>
  <si>
    <t>-1131万</t>
  </si>
  <si>
    <t>-1619万</t>
  </si>
  <si>
    <t>-4435万</t>
  </si>
  <si>
    <t>-5612万</t>
  </si>
  <si>
    <t>4422万</t>
  </si>
  <si>
    <t>-2084万</t>
  </si>
  <si>
    <t>-2610万</t>
  </si>
  <si>
    <t>-3231万</t>
  </si>
  <si>
    <t>613万</t>
  </si>
  <si>
    <t>-3981万</t>
  </si>
  <si>
    <t>7561万</t>
  </si>
  <si>
    <t>-2003万</t>
  </si>
  <si>
    <t>-8383万</t>
  </si>
  <si>
    <t>-6030万</t>
  </si>
  <si>
    <t>795万</t>
  </si>
  <si>
    <t>-3867万</t>
  </si>
  <si>
    <t>-4945万</t>
  </si>
  <si>
    <t>加:期初现金及现金等价物余额</t>
  </si>
  <si>
    <t>期末现金及现金等价物余额</t>
  </si>
  <si>
    <t>9009万</t>
  </si>
  <si>
    <t>6610万</t>
  </si>
  <si>
    <t>8963万</t>
  </si>
  <si>
    <t>9254万</t>
  </si>
  <si>
    <t>商标信息</t>
  </si>
  <si>
    <t>该维度共89条数据，此次为您导出50条</t>
  </si>
  <si>
    <t>商标图案</t>
  </si>
  <si>
    <t>商标名称</t>
  </si>
  <si>
    <t>国际分类</t>
  </si>
  <si>
    <t>商标状态</t>
  </si>
  <si>
    <t>申请/注册号</t>
  </si>
  <si>
    <t>申请日期</t>
  </si>
  <si>
    <t>注册公告日期</t>
  </si>
  <si>
    <t>HNAC</t>
  </si>
  <si>
    <t>09类-科学仪器</t>
  </si>
  <si>
    <t>商标已注册</t>
  </si>
  <si>
    <t>82742748</t>
  </si>
  <si>
    <t>商标已注册2024-12-24</t>
  </si>
  <si>
    <t>2025-06-28</t>
  </si>
  <si>
    <t>42类-网站服务</t>
  </si>
  <si>
    <t>82740942</t>
  </si>
  <si>
    <t>图形</t>
  </si>
  <si>
    <t>82341231</t>
  </si>
  <si>
    <t>商标已注册2024-12-04</t>
  </si>
  <si>
    <t>2025-08-14</t>
  </si>
  <si>
    <t>82344694</t>
  </si>
  <si>
    <t>35类-广告销售</t>
  </si>
  <si>
    <t>商标无效</t>
  </si>
  <si>
    <t>82349403</t>
  </si>
  <si>
    <t>商标无效2024-12-04</t>
  </si>
  <si>
    <t>华自充电 HNAC CHARGING</t>
  </si>
  <si>
    <t>82359440</t>
  </si>
  <si>
    <t>2025-06-14</t>
  </si>
  <si>
    <t>37类-建筑修理</t>
  </si>
  <si>
    <t>82341166</t>
  </si>
  <si>
    <t>82344619</t>
  </si>
  <si>
    <t>82346677</t>
  </si>
  <si>
    <t>自 华自充电 HNAC CHARGING</t>
  </si>
  <si>
    <t>82344884</t>
  </si>
  <si>
    <t>华自充电 自 HNAC CHARGING</t>
  </si>
  <si>
    <t>82351026</t>
  </si>
  <si>
    <t>82354795</t>
  </si>
  <si>
    <t>82360753</t>
  </si>
  <si>
    <t>82294286</t>
  </si>
  <si>
    <t>商标已注册2024-12-02</t>
  </si>
  <si>
    <t>2025-11-14</t>
  </si>
  <si>
    <t>华自共工</t>
  </si>
  <si>
    <t>07类-机械设备</t>
  </si>
  <si>
    <t>81109846</t>
  </si>
  <si>
    <t>商标已注册2024-09-25</t>
  </si>
  <si>
    <t>2025-03-14</t>
  </si>
  <si>
    <t>共工智水</t>
  </si>
  <si>
    <t>81115169</t>
  </si>
  <si>
    <t>11类-灯具空调</t>
  </si>
  <si>
    <t>81107021</t>
  </si>
  <si>
    <t>40类-材料加工</t>
  </si>
  <si>
    <t>初审公告</t>
  </si>
  <si>
    <t>81111468</t>
  </si>
  <si>
    <t>初审公告2024-09-25</t>
  </si>
  <si>
    <t>81100622</t>
  </si>
  <si>
    <t>17类-橡胶制品</t>
  </si>
  <si>
    <t>81102298</t>
  </si>
  <si>
    <t>驳回复审中</t>
  </si>
  <si>
    <t>81116717</t>
  </si>
  <si>
    <t>驳回复审中2024-09-25</t>
  </si>
  <si>
    <t>81098168</t>
  </si>
  <si>
    <t>81098184</t>
  </si>
  <si>
    <t>2026-02-28</t>
  </si>
  <si>
    <t>81109858</t>
  </si>
  <si>
    <t>38类-通讯服务</t>
  </si>
  <si>
    <t>81116769</t>
  </si>
  <si>
    <t>81100660</t>
  </si>
  <si>
    <t>39类-运输贮藏</t>
  </si>
  <si>
    <t>81111475</t>
  </si>
  <si>
    <t>81114949</t>
  </si>
  <si>
    <t>81098177</t>
  </si>
  <si>
    <t>04类-燃料油脂</t>
  </si>
  <si>
    <t>81100618</t>
  </si>
  <si>
    <t>共工</t>
  </si>
  <si>
    <t>81100675</t>
  </si>
  <si>
    <t>81107041</t>
  </si>
  <si>
    <t>81114078</t>
  </si>
  <si>
    <t>45类-社会服务</t>
  </si>
  <si>
    <t>81114935</t>
  </si>
  <si>
    <t>81102377</t>
  </si>
  <si>
    <t>2025-06-21</t>
  </si>
  <si>
    <t>华自</t>
  </si>
  <si>
    <t>70881255</t>
  </si>
  <si>
    <t>初审公告2023-04-13</t>
  </si>
  <si>
    <t>64067307</t>
  </si>
  <si>
    <t>商标已注册2022-04-19</t>
  </si>
  <si>
    <t>2023-10-21</t>
  </si>
  <si>
    <t>64069238</t>
  </si>
  <si>
    <t>64079546</t>
  </si>
  <si>
    <t>商标异议中</t>
  </si>
  <si>
    <t>63000870</t>
  </si>
  <si>
    <t>商标异议中2022-03-03</t>
  </si>
  <si>
    <t>2025-12-07</t>
  </si>
  <si>
    <t>61876331</t>
  </si>
  <si>
    <t>商标已注册2021-12-31</t>
  </si>
  <si>
    <t>2023-09-07</t>
  </si>
  <si>
    <t>61892180</t>
  </si>
  <si>
    <t>61887185</t>
  </si>
  <si>
    <t>2023-06-14</t>
  </si>
  <si>
    <t>58799713</t>
  </si>
  <si>
    <t>商标已注册2021-08-26</t>
  </si>
  <si>
    <t>58799728</t>
  </si>
  <si>
    <t>2023-08-28</t>
  </si>
  <si>
    <t>36类-金融物管</t>
  </si>
  <si>
    <t>58799752</t>
  </si>
  <si>
    <t>06类-金属材料</t>
  </si>
  <si>
    <t>58785617</t>
  </si>
  <si>
    <t>58786081</t>
  </si>
  <si>
    <t>12类-运输工具</t>
  </si>
  <si>
    <t>58793151</t>
  </si>
  <si>
    <t>58794876</t>
  </si>
  <si>
    <t>商标文书</t>
  </si>
  <si>
    <t>该维度共18条数据</t>
  </si>
  <si>
    <t>标题</t>
  </si>
  <si>
    <t>商标文书号</t>
  </si>
  <si>
    <t>被申请人</t>
  </si>
  <si>
    <t>文书类型</t>
  </si>
  <si>
    <t>关于第63000870号“华自”商标驳回复审决定书</t>
  </si>
  <si>
    <t>商评字[2024]第0000233965号</t>
  </si>
  <si>
    <t>商标评审裁定/决定文书</t>
  </si>
  <si>
    <t>2024-09-04</t>
  </si>
  <si>
    <t>关于第58687167号“华自”商标驳回复审决定书</t>
  </si>
  <si>
    <t>商评字[2024]第0000233964号</t>
  </si>
  <si>
    <t>关于第64067307号“华自”商标驳回复审决定书</t>
  </si>
  <si>
    <t>商评字[2023]第0000156255号</t>
  </si>
  <si>
    <t>2023-05-30</t>
  </si>
  <si>
    <t>关于第64079546号“华自”商标驳回复审决定书</t>
  </si>
  <si>
    <t>商评字[2023]第0000156249号</t>
  </si>
  <si>
    <t>关于第64069238号“HNAC”商标驳回复审决定书</t>
  </si>
  <si>
    <t>商评字[2023]第0000121399号</t>
  </si>
  <si>
    <t>2023-04-23</t>
  </si>
  <si>
    <t>关于第61876331号“HNAC”商标驳回复审决定书</t>
  </si>
  <si>
    <t>商评字[2023]第0000111403号</t>
  </si>
  <si>
    <t>2023-04-21</t>
  </si>
  <si>
    <t>关于第39640710号“华自企服”商标评审案件结案通知书</t>
  </si>
  <si>
    <t>商评字[2023]第0000077618号</t>
  </si>
  <si>
    <t>赵祖祥</t>
  </si>
  <si>
    <t>2023-03-20</t>
  </si>
  <si>
    <t>关于第61892180号“华自”商标驳回复审决定书</t>
  </si>
  <si>
    <t>商评字[2023]第0000067756号</t>
  </si>
  <si>
    <t>2023-03-10</t>
  </si>
  <si>
    <t>关于第27890497号“HNAC华自”商标评审案件结案通知书</t>
  </si>
  <si>
    <t>商评字[2023]第0000029710号</t>
  </si>
  <si>
    <t>陈观福</t>
  </si>
  <si>
    <t>2023-02-01</t>
  </si>
  <si>
    <t>关于第58798741号“华自”商标驳回复审决定书</t>
  </si>
  <si>
    <t>商评字[2022]第0000367413号</t>
  </si>
  <si>
    <t>2022-12-13</t>
  </si>
  <si>
    <t>关于第58799728号“华自”商标驳回复审决定书</t>
  </si>
  <si>
    <t>商评字[2022]第0000367414号</t>
  </si>
  <si>
    <t>关于第58772325号“HNAC”商标驳回复审决定书</t>
  </si>
  <si>
    <t>商评字[2022]第0000366311号</t>
  </si>
  <si>
    <t>2022-12-06</t>
  </si>
  <si>
    <t>关于第58792183号“HNAC”商标驳回复审决定书</t>
  </si>
  <si>
    <t>商评字[2022]第0000312543号</t>
  </si>
  <si>
    <t>2022-09-27</t>
  </si>
  <si>
    <t>关于第39080460号“华白”商标无效宣告请求裁定书</t>
  </si>
  <si>
    <t>商评字[2021]第0000034168号</t>
  </si>
  <si>
    <t>北京尊扬科技有限公司</t>
  </si>
  <si>
    <t>2021-02-08</t>
  </si>
  <si>
    <t>关于第39074251号“华白”商标无效宣告请求裁定书</t>
  </si>
  <si>
    <t>商评字[2021]第0000034169号</t>
  </si>
  <si>
    <t>关于第26314797号“华目科技”商标无效宣告请求裁定书</t>
  </si>
  <si>
    <t>商评字[2021]第0000034171号</t>
  </si>
  <si>
    <t>杭州华目科技有限公司</t>
  </si>
  <si>
    <t>关于第26314805号“华目科技”商标无效宣告请求裁定书</t>
  </si>
  <si>
    <t>商评字[2021]第0000034166号</t>
  </si>
  <si>
    <t>关于第27890497号“华自HNAC”商标无效宣告请求裁定书</t>
  </si>
  <si>
    <t>商评字[2019]第0000313332号</t>
  </si>
  <si>
    <t>2019-12-20</t>
  </si>
  <si>
    <t>专利信息</t>
  </si>
  <si>
    <t>该维度共424条数据，此次为您导出50条</t>
  </si>
  <si>
    <t>专利名称</t>
  </si>
  <si>
    <t>专利类型</t>
  </si>
  <si>
    <t>法律状态</t>
  </si>
  <si>
    <t>申请号</t>
  </si>
  <si>
    <t>公开(公告)号</t>
  </si>
  <si>
    <t>公开(公告)日期</t>
  </si>
  <si>
    <t>发明人</t>
  </si>
  <si>
    <t>一种污水处理系统及方法</t>
  </si>
  <si>
    <t>发明公布</t>
  </si>
  <si>
    <t>专利公开</t>
  </si>
  <si>
    <t>CN202610935470.X</t>
  </si>
  <si>
    <t>2026-06-26</t>
  </si>
  <si>
    <t>CN122482619A</t>
  </si>
  <si>
    <t>江海鑫、文叶轩、蒋国华、陈洪斌、胡轶波、王涛、唐白石</t>
  </si>
  <si>
    <t>一种捕获污水中碳磷的系统及方法</t>
  </si>
  <si>
    <t>CN202610935466.3</t>
  </si>
  <si>
    <t>CN122464534A</t>
  </si>
  <si>
    <t>2026-07-28</t>
  </si>
  <si>
    <t>江海鑫、文叶轩、曾元、陈洪斌、胡轶波、王涛、唐白石</t>
  </si>
  <si>
    <t>一种基于表格模板的多源数据融合与展示方法、系统及设备</t>
  </si>
  <si>
    <t>实质审查</t>
  </si>
  <si>
    <t>CN202610776343.X</t>
  </si>
  <si>
    <t>CN122365396A</t>
  </si>
  <si>
    <t>刘辉、宁龙、张景元、杨奇英、熊有盛</t>
  </si>
  <si>
    <t>一种报警处理方法、装置及电子设备和存储介质</t>
  </si>
  <si>
    <t>CN202610574365.8</t>
  </si>
  <si>
    <t>2026-04-28</t>
  </si>
  <si>
    <t>CN122435748A</t>
  </si>
  <si>
    <t>2026-07-21</t>
  </si>
  <si>
    <t>吴先强、郑艳龙、孙彦吉、刘旺、黄兴、朱玺</t>
  </si>
  <si>
    <t>一种SCADA事故反演方法、装置、设备及介质</t>
  </si>
  <si>
    <t>CN202610451416.8</t>
  </si>
  <si>
    <t>2026-04-08</t>
  </si>
  <si>
    <t>CN122317353A</t>
  </si>
  <si>
    <t>2026-06-30</t>
  </si>
  <si>
    <t>钟阳晋、柳文广、李晨、何想、侯文齐</t>
  </si>
  <si>
    <t>一种节点间数据交互方法、装置、设备及可读存储介质</t>
  </si>
  <si>
    <t>CN202610388930.1</t>
  </si>
  <si>
    <t>2026-03-27</t>
  </si>
  <si>
    <t>CN122284430A</t>
  </si>
  <si>
    <t>康明卫、曹建平、张春燕、朱玺、傅元秀</t>
  </si>
  <si>
    <t>立式水轮机组及其立式水轮机用轴向推力减载装置</t>
  </si>
  <si>
    <t>CN202610386555.7</t>
  </si>
  <si>
    <t>CN121932323A</t>
  </si>
  <si>
    <t>周松萍、李凯、张龙龙</t>
  </si>
  <si>
    <t>基于站-箱变-桩三层结构的充电系统及其动态功率分配方法</t>
  </si>
  <si>
    <t>CN202610337914.X</t>
  </si>
  <si>
    <t>2026-03-19</t>
  </si>
  <si>
    <t>CN122034776A</t>
  </si>
  <si>
    <t>2026-05-15</t>
  </si>
  <si>
    <t>胡杰宇、朱玺、胡聪崴、刘港、谈群</t>
  </si>
  <si>
    <t>一种基于前池水位控制水电站多机组负荷的方法及装置</t>
  </si>
  <si>
    <t>CN202610206615.2</t>
  </si>
  <si>
    <t>CN122052189A</t>
  </si>
  <si>
    <t>彭厚嘉、刘旺、郑艳龙、何金宇、戴凯</t>
  </si>
  <si>
    <t>一种基于多层级评估体系的储能电站健康管理方法及系统</t>
  </si>
  <si>
    <t>CN202610200147.8</t>
  </si>
  <si>
    <t>2026-02-11</t>
  </si>
  <si>
    <t>CN122085162A</t>
  </si>
  <si>
    <t>2026-05-26</t>
  </si>
  <si>
    <t>郜振亚、谈群、苗洪雷、朱玺</t>
  </si>
  <si>
    <t>一种虚拟同步发电机失步后的无扰动再同步控制方法、系统、设备及介质</t>
  </si>
  <si>
    <t>CN202610200146.3</t>
  </si>
  <si>
    <t>CN122068451A</t>
  </si>
  <si>
    <t>田斌、胡清波、龙宇平、田博雅、张一帆、胡轶波</t>
  </si>
  <si>
    <t>一种污水碳源投加前馈结合预测反馈的控制方法、设备及介质</t>
  </si>
  <si>
    <t>CN202511871607.1</t>
  </si>
  <si>
    <t>CN121657453A</t>
  </si>
  <si>
    <t>唐白石、郜振亚、江海鑫、何梦娟、王涛</t>
  </si>
  <si>
    <t>一种三相逆变器功率均衡及电压平衡的控制方法及系统</t>
  </si>
  <si>
    <t>CN202511877163.2</t>
  </si>
  <si>
    <t>CN121566947A</t>
  </si>
  <si>
    <t>2026-02-24</t>
  </si>
  <si>
    <t>胡清波、龙宇平、田斌、田博雅、张一帆、胡轶波</t>
  </si>
  <si>
    <t>离网型光储充场站的功率控制方法及相关设备</t>
  </si>
  <si>
    <t>CN202511875775.8</t>
  </si>
  <si>
    <t>CN121566570A</t>
  </si>
  <si>
    <t>傅卓兴、李义清、罗富成、鄢有名</t>
  </si>
  <si>
    <t>光电编码器信号处理方法、系统、装置及可读存储介质</t>
  </si>
  <si>
    <t>CN202511513969.3</t>
  </si>
  <si>
    <t>2025-10-22</t>
  </si>
  <si>
    <t>CN121239062A</t>
  </si>
  <si>
    <t>田博雅、胡清波、胡轶波</t>
  </si>
  <si>
    <t>一种电池测试系统的中位机功能测试方法、装置、设备及存储介质</t>
  </si>
  <si>
    <t>CN202511448760.3</t>
  </si>
  <si>
    <t>2025-10-11</t>
  </si>
  <si>
    <t>CN121091115A</t>
  </si>
  <si>
    <t>2025-12-09</t>
  </si>
  <si>
    <t>潘前华、周滔、贺韧、李能卡、胡轶波</t>
  </si>
  <si>
    <t>一种水轮机组及其主轴轴向推力减载装置</t>
  </si>
  <si>
    <t>CN202511424196.1</t>
  </si>
  <si>
    <t>2025-09-30</t>
  </si>
  <si>
    <t>CN120889692A</t>
  </si>
  <si>
    <t>周松萍、苗军、姜春、胡庆中、陈星亮、杨建泉、赵珍、王超烽、秦子璇</t>
  </si>
  <si>
    <t>一种四端口直流变换电源装置</t>
  </si>
  <si>
    <t>CN202511384337.1</t>
  </si>
  <si>
    <t>2025-09-26</t>
  </si>
  <si>
    <t>CN121395914A</t>
  </si>
  <si>
    <t>2026-01-23</t>
  </si>
  <si>
    <t>宋晨</t>
  </si>
  <si>
    <t>一种双电源单负载供电电路</t>
  </si>
  <si>
    <t>CN202511384125.3</t>
  </si>
  <si>
    <t>CN121097891A</t>
  </si>
  <si>
    <t>宋晨、苗洪雷、彭佳东、李科明、孙千</t>
  </si>
  <si>
    <t>一种光伏电源供电系统</t>
  </si>
  <si>
    <t>CN202511383839.2</t>
  </si>
  <si>
    <t>CN121097910A</t>
  </si>
  <si>
    <t>宋晨、张福兴、李科明、彭佳东</t>
  </si>
  <si>
    <t>一种防逆流控制方法、防逆流系统及介质</t>
  </si>
  <si>
    <t>CN202511321744.8</t>
  </si>
  <si>
    <t>CN121123939A</t>
  </si>
  <si>
    <t>曾昭愈、李义清、曹攀、詹毅、陈少靖</t>
  </si>
  <si>
    <t>一种水轮机及其主轴振动主动控制磁力轴瓦装置</t>
  </si>
  <si>
    <t>实用新型</t>
  </si>
  <si>
    <t>专利授权</t>
  </si>
  <si>
    <t>CN202521603021.2</t>
  </si>
  <si>
    <t>2025-07-30</t>
  </si>
  <si>
    <t>CN224497119U</t>
  </si>
  <si>
    <t>2026-07-14</t>
  </si>
  <si>
    <t>周松萍、姜春、胡庆中、张福兴、张凯华</t>
  </si>
  <si>
    <t>膜生物反应器的膜污染状态评价方法、装置、设备及介质</t>
  </si>
  <si>
    <t>CN202510950034.5</t>
  </si>
  <si>
    <t>CN120789932A</t>
  </si>
  <si>
    <t>侯玉林、张春燕、刘国亮、何梦娟、江海鑫</t>
  </si>
  <si>
    <t>一种用于电池柜的多功能专用配电盒</t>
  </si>
  <si>
    <t>CN202521398839.5</t>
  </si>
  <si>
    <t>CN224481354U</t>
  </si>
  <si>
    <t>曹攀、李义清、朱俊杰、陈少靖</t>
  </si>
  <si>
    <t>水轮发电机组的导叶开度控制方法、装置、存储介质及电子设备</t>
  </si>
  <si>
    <t>CN202510807675.5</t>
  </si>
  <si>
    <t>CN120332064A</t>
  </si>
  <si>
    <t>2025-07-18</t>
  </si>
  <si>
    <t>程小龙、彭厚嘉、郑艳龙、戴凯、曹亚龙</t>
  </si>
  <si>
    <t>一种智能曝气系统的气量管理方法及系统</t>
  </si>
  <si>
    <t>CN202510736472.1</t>
  </si>
  <si>
    <t>2025-06-04</t>
  </si>
  <si>
    <t>CN120540250A</t>
  </si>
  <si>
    <t>王涛、江海鑫、陆平、唐白石</t>
  </si>
  <si>
    <t>一种电压测量装置及系统</t>
  </si>
  <si>
    <t>CN202521029415.1</t>
  </si>
  <si>
    <t>CN224216772U</t>
  </si>
  <si>
    <t>2026-05-08</t>
  </si>
  <si>
    <t>陈浩、张凯华、罗佳宇、刘超</t>
  </si>
  <si>
    <t>一种风冷散热结构及电池簇</t>
  </si>
  <si>
    <t>CN202520814061.5</t>
  </si>
  <si>
    <t>2025-04-27</t>
  </si>
  <si>
    <t>CN224204155U</t>
  </si>
  <si>
    <t>2026-05-05</t>
  </si>
  <si>
    <t>范芳坤、方瑛、曾晴、胡凌、陈晓雷</t>
  </si>
  <si>
    <t>一种混合变流器机柜</t>
  </si>
  <si>
    <t>CN202520620571.9</t>
  </si>
  <si>
    <t>2025-04-03</t>
  </si>
  <si>
    <t>CN224401370U</t>
  </si>
  <si>
    <t>2026-06-23</t>
  </si>
  <si>
    <t>郭吉恩、曾晴、方瑛、范芳坤、周康</t>
  </si>
  <si>
    <t>一种单片机程序下载与看门狗自动适配的控制电路</t>
  </si>
  <si>
    <t>CN202520553827.9</t>
  </si>
  <si>
    <t>2025-03-27</t>
  </si>
  <si>
    <t>CN223986319U</t>
  </si>
  <si>
    <t>刘超、古铖、谭宁飞、陈浩、张凯华</t>
  </si>
  <si>
    <t>一种数据采集电路及装置</t>
  </si>
  <si>
    <t>CN202520553822.6</t>
  </si>
  <si>
    <t>CN223987095U</t>
  </si>
  <si>
    <t>古铖、龙宇平、颜外平、杨俊、孙宏伟</t>
  </si>
  <si>
    <t>一种水力机械叶片角度调节装置</t>
  </si>
  <si>
    <t>CN202520458942.8</t>
  </si>
  <si>
    <t>2025-03-17</t>
  </si>
  <si>
    <t>CN223938170U</t>
  </si>
  <si>
    <t>谭千侨、程小龙、戴凯、刘伟、申少林</t>
  </si>
  <si>
    <t>一种跨数据库的智能转换方法及系统</t>
  </si>
  <si>
    <t>CN202510269983.7</t>
  </si>
  <si>
    <t>2025-03-07</t>
  </si>
  <si>
    <t>CN120123406A</t>
  </si>
  <si>
    <t>2025-06-10</t>
  </si>
  <si>
    <t>李耀、宁龙、朱敏、张景元、熊有盛</t>
  </si>
  <si>
    <t>一种储能变流器及储能控制系统</t>
  </si>
  <si>
    <t>CN202520314402.2</t>
  </si>
  <si>
    <t>CN224218114U</t>
  </si>
  <si>
    <t>古铖、颜外平、杨俊、孙宏伟、郭铭铭</t>
  </si>
  <si>
    <t>一种电力负荷管理联控方法、装置及系统</t>
  </si>
  <si>
    <t>CN202510203017.5</t>
  </si>
  <si>
    <t>2025-02-24</t>
  </si>
  <si>
    <t>CN119994930A</t>
  </si>
  <si>
    <t>张志峰、古铖、彭学恒、杨俊</t>
  </si>
  <si>
    <t>一种储能电池补电量计算方法、装置及设备</t>
  </si>
  <si>
    <t>CN202510175009.4</t>
  </si>
  <si>
    <t>2025-02-18</t>
  </si>
  <si>
    <t>CN119986424A</t>
  </si>
  <si>
    <t>郜振亚、谈群、朱玺</t>
  </si>
  <si>
    <t>一种变流器及供电设备</t>
  </si>
  <si>
    <t>CN202520244014.1</t>
  </si>
  <si>
    <t>2025-02-17</t>
  </si>
  <si>
    <t>CN223713657U</t>
  </si>
  <si>
    <t>2025-12-23</t>
  </si>
  <si>
    <t>顾伟伟、孙千、王海军</t>
  </si>
  <si>
    <t>一种防逆流调控装置、方法及储能设备</t>
  </si>
  <si>
    <t>CN202510169645.6</t>
  </si>
  <si>
    <t>CN119965917A</t>
  </si>
  <si>
    <t>2025-05-09</t>
  </si>
  <si>
    <t>李义清、罗富成、曹攀、曾昭愈、王炯</t>
  </si>
  <si>
    <t>一种总线数据交互方法、装置、设备及介质</t>
  </si>
  <si>
    <t>CN202510073577.3</t>
  </si>
  <si>
    <t>2025-01-17</t>
  </si>
  <si>
    <t>CN119945827A</t>
  </si>
  <si>
    <t>2025-05-06</t>
  </si>
  <si>
    <t>曹建平、康明卫、刘俊辉</t>
  </si>
  <si>
    <t>一种孪生电机多模配置曲线控制方法、装置、设备及介质</t>
  </si>
  <si>
    <t>CN202510075285.3</t>
  </si>
  <si>
    <t>CN119882569A</t>
  </si>
  <si>
    <t>2025-04-25</t>
  </si>
  <si>
    <t>龙健、刘俊辉、苗洪雷、桂龙、李锋</t>
  </si>
  <si>
    <t>基于数字孪生的物流系统仿真方法、装置、设备及介质</t>
  </si>
  <si>
    <t>发明授权</t>
  </si>
  <si>
    <t>CN202510068913.5</t>
  </si>
  <si>
    <t>2025-01-16</t>
  </si>
  <si>
    <t>CN119882485B</t>
  </si>
  <si>
    <t>2025-11-11</t>
  </si>
  <si>
    <t>桂龙、龙健、刘俊辉、苗洪雷</t>
  </si>
  <si>
    <t>一种应用于分布式热源模块的液冷板</t>
  </si>
  <si>
    <t>CN202423210454.X</t>
  </si>
  <si>
    <t>2024-12-25</t>
  </si>
  <si>
    <t>CN223829645U</t>
  </si>
  <si>
    <t>方瑛、范芳坤、杨俊、孙宏伟</t>
  </si>
  <si>
    <t>基于全量数据的数据获取请求响应方法、装置、设备及介质</t>
  </si>
  <si>
    <t>CN202411926558.2</t>
  </si>
  <si>
    <t>CN119807251A</t>
  </si>
  <si>
    <t>2025-04-11</t>
  </si>
  <si>
    <t>胡峰、吴凌云、侯文齐、李晨</t>
  </si>
  <si>
    <t>一种载波同步控制方法、装置、设备以及介质</t>
  </si>
  <si>
    <t>CN202411923728.1</t>
  </si>
  <si>
    <t>CN119728374A</t>
  </si>
  <si>
    <t>2025-03-28</t>
  </si>
  <si>
    <t>颜外平、龙宇平、桂勇华、李焕文、古铖</t>
  </si>
  <si>
    <t>一种转桨式水轮机、水泵桨叶开度的测量装置</t>
  </si>
  <si>
    <t>CN202411816905.6</t>
  </si>
  <si>
    <t>2024-12-11</t>
  </si>
  <si>
    <t>CN119686894A</t>
  </si>
  <si>
    <t>2025-03-25</t>
  </si>
  <si>
    <t>谭千侨、程小龙、戴凯、彭厚嘉</t>
  </si>
  <si>
    <t>水轮机组的控制方法、装置、存储介质及电子设备</t>
  </si>
  <si>
    <t>CN202411510216.2</t>
  </si>
  <si>
    <t>2024-10-28</t>
  </si>
  <si>
    <t>CN119373647A</t>
  </si>
  <si>
    <t>2025-01-28</t>
  </si>
  <si>
    <t>陈龙、戴凯、彭厚嘉、郑艳龙</t>
  </si>
  <si>
    <t>一种绿电活动控制方法、装置、设备及存储介质</t>
  </si>
  <si>
    <t>CN202411512131.8</t>
  </si>
  <si>
    <t>CN119239364A</t>
  </si>
  <si>
    <t>2025-01-03</t>
  </si>
  <si>
    <t>胡鹏、李义清、曾省山</t>
  </si>
  <si>
    <t>一种破包投料系统</t>
  </si>
  <si>
    <t>CN202422527164.1</t>
  </si>
  <si>
    <t>2024-10-18</t>
  </si>
  <si>
    <t>CN223291255U</t>
  </si>
  <si>
    <t>2025-09-02</t>
  </si>
  <si>
    <t>何梦娟、龙健、唐白石、杨镨鋆、张芳</t>
  </si>
  <si>
    <t>圆柱电池一体机</t>
  </si>
  <si>
    <t>外观设计</t>
  </si>
  <si>
    <t>CN202430652625.0</t>
  </si>
  <si>
    <t>2024-10-16</t>
  </si>
  <si>
    <t>CN309358028S</t>
  </si>
  <si>
    <t>曾敏、陈伟、刘正生、陈颖、李泓烨</t>
  </si>
  <si>
    <t>一种水电站中小型机组自动发电控制方法、装置及设备</t>
  </si>
  <si>
    <t>CN202411421221.6</t>
  </si>
  <si>
    <t>2024-10-12</t>
  </si>
  <si>
    <t>CN119154402A</t>
  </si>
  <si>
    <t>2024-12-17</t>
  </si>
  <si>
    <t>朱玺、李晨、吴凌云、胡峰、姜亚楠</t>
  </si>
  <si>
    <t>作品著作权</t>
  </si>
  <si>
    <t>软件著作权</t>
  </si>
  <si>
    <t>该维度共138条数据，此次为您导出50条</t>
  </si>
  <si>
    <t>登记批准日期</t>
  </si>
  <si>
    <t>软件全称</t>
  </si>
  <si>
    <t>软件简称</t>
  </si>
  <si>
    <t>登记号</t>
  </si>
  <si>
    <t>分类号</t>
  </si>
  <si>
    <t>版本号</t>
  </si>
  <si>
    <t>首次发表日期</t>
  </si>
  <si>
    <t>HZI-DTWGP数字孪生闸泵联控系统</t>
  </si>
  <si>
    <t>HZI-DTWGP</t>
  </si>
  <si>
    <t>2026SR0695837</t>
  </si>
  <si>
    <t>V1.0</t>
  </si>
  <si>
    <t>2026-06-18</t>
  </si>
  <si>
    <t>PDJ低压机组智能控制系统</t>
  </si>
  <si>
    <t>PDJ</t>
  </si>
  <si>
    <t>2026SR0670916</t>
  </si>
  <si>
    <t>V3.0</t>
  </si>
  <si>
    <t>2026-06-16</t>
  </si>
  <si>
    <t>HZL400安全通讯网关软件</t>
  </si>
  <si>
    <t>HZL400</t>
  </si>
  <si>
    <t>2026SR0666684</t>
  </si>
  <si>
    <t>V2.0</t>
  </si>
  <si>
    <t>2026-01-13</t>
  </si>
  <si>
    <t>HZInfo3000信息化平台</t>
  </si>
  <si>
    <t>HZInfo3000</t>
  </si>
  <si>
    <t>2026SR0079206</t>
  </si>
  <si>
    <t>V5.2</t>
  </si>
  <si>
    <t>HZG-ICD智能碳源投加系统</t>
  </si>
  <si>
    <t>碳源投加系统</t>
  </si>
  <si>
    <t>2025SR2428942</t>
  </si>
  <si>
    <t>2025-10-16</t>
  </si>
  <si>
    <t>HZI-DTWR数字孪生水库系统</t>
  </si>
  <si>
    <t>HZI-DTWR</t>
  </si>
  <si>
    <t>2025SR2000632</t>
  </si>
  <si>
    <t>2025-09-05</t>
  </si>
  <si>
    <t>HZI-SW智慧水务漏损管控系统</t>
  </si>
  <si>
    <t>漏损管控系统</t>
  </si>
  <si>
    <t>2025SR1707025</t>
  </si>
  <si>
    <t>HZI-SW智慧水务生产运营系统</t>
  </si>
  <si>
    <t>生产运营系统</t>
  </si>
  <si>
    <t>2025SR1707124</t>
  </si>
  <si>
    <t>HZI-SW智慧水务客服营收系统</t>
  </si>
  <si>
    <t>客服营收系统</t>
  </si>
  <si>
    <t>2025SR1706875</t>
  </si>
  <si>
    <t>HZI-RW农村供水数字化综合管理平台</t>
  </si>
  <si>
    <t>农村供水数字化平台</t>
  </si>
  <si>
    <t>2025SR1177529</t>
  </si>
  <si>
    <t>HZI-DTW水利数字孪生平台</t>
  </si>
  <si>
    <t>HZI-DTW</t>
  </si>
  <si>
    <t>2025SR0760382</t>
  </si>
  <si>
    <t>HZK-EFS电炉冶炼控制系统</t>
  </si>
  <si>
    <t>HZK-EFS</t>
  </si>
  <si>
    <t>2025SR0033438</t>
  </si>
  <si>
    <t>2024-08-30</t>
  </si>
  <si>
    <t>HZI-RW农村供水数字化综合管理平台APP</t>
  </si>
  <si>
    <t>农村供水APP</t>
  </si>
  <si>
    <t>2024SR2033831</t>
  </si>
  <si>
    <t>2024-08-26</t>
  </si>
  <si>
    <t>2024SR2026820</t>
  </si>
  <si>
    <t>2024-07-22</t>
  </si>
  <si>
    <t>HZS-IDP工业数据平台</t>
  </si>
  <si>
    <t>HZS-IDP</t>
  </si>
  <si>
    <t>2024SR1886585</t>
  </si>
  <si>
    <t>2024-04-30</t>
  </si>
  <si>
    <t>HZS-AOH水电站经济优化运行系统</t>
  </si>
  <si>
    <t>HZS-AOH</t>
  </si>
  <si>
    <t>2024SR1884256</t>
  </si>
  <si>
    <t>2024-06-10</t>
  </si>
  <si>
    <t>2024-11-22</t>
  </si>
  <si>
    <t>HZI-DTWG数字孪生水闸系统</t>
  </si>
  <si>
    <t>HZI-DTWG</t>
  </si>
  <si>
    <t>2024SR1868997</t>
  </si>
  <si>
    <t>2024-05-15</t>
  </si>
  <si>
    <t>HZS-FCS化成分容系统</t>
  </si>
  <si>
    <t>HZS-FCS</t>
  </si>
  <si>
    <t>2024SR1869008</t>
  </si>
  <si>
    <t>2023-10-01</t>
  </si>
  <si>
    <t>HZN-GGLM共工水利水电智能运维大模型APP</t>
  </si>
  <si>
    <t>共工大模型</t>
  </si>
  <si>
    <t>2024SR1869100</t>
  </si>
  <si>
    <t>2024-07-29</t>
  </si>
  <si>
    <t>HZIMS3000智能运维平台APP</t>
  </si>
  <si>
    <t>华自运维</t>
  </si>
  <si>
    <t>2024SR1874070</t>
  </si>
  <si>
    <t>V4.0</t>
  </si>
  <si>
    <t>2024-06-01</t>
  </si>
  <si>
    <t>2024-06-20</t>
  </si>
  <si>
    <t>HZC-UAP开放自动化平台</t>
  </si>
  <si>
    <t>HZC-UAP</t>
  </si>
  <si>
    <t>2024SR0841835</t>
  </si>
  <si>
    <t>2023-12-01</t>
  </si>
  <si>
    <t>HZI-DTWH数字孪生水电站系统</t>
  </si>
  <si>
    <t>数字孪生水电站</t>
  </si>
  <si>
    <t>2024SR0841837</t>
  </si>
  <si>
    <t>2024-02-04</t>
  </si>
  <si>
    <t>2024-04-09</t>
  </si>
  <si>
    <t>HZI-SWFDP智慧水务设备故障诊断系统</t>
  </si>
  <si>
    <t>设备故障诊断</t>
  </si>
  <si>
    <t>2024SR0480324</t>
  </si>
  <si>
    <t>2024-01-05</t>
  </si>
  <si>
    <t>HZI-RIS水库一体化运管平台APP</t>
  </si>
  <si>
    <t>HZI-RIS APP</t>
  </si>
  <si>
    <t>2024SR0477861</t>
  </si>
  <si>
    <t>HZI-SWMF膜污染诊断与预测系统</t>
  </si>
  <si>
    <t>膜污染诊断与预测</t>
  </si>
  <si>
    <t>2024SR0481103</t>
  </si>
  <si>
    <t>2024-01-21</t>
  </si>
  <si>
    <t>HZI-SW智慧水务平台</t>
  </si>
  <si>
    <t>智慧水务平台</t>
  </si>
  <si>
    <t>2024SR0416261</t>
  </si>
  <si>
    <t>2024-03-06</t>
  </si>
  <si>
    <t>HZI-SW智慧水务平台APP</t>
  </si>
  <si>
    <t>智慧水务APP</t>
  </si>
  <si>
    <t>2024SR0356524</t>
  </si>
  <si>
    <t>2024-03-05</t>
  </si>
  <si>
    <t>HZI-SWP智慧管网监测系统</t>
  </si>
  <si>
    <t>管网监测</t>
  </si>
  <si>
    <t>2024SR0352517</t>
  </si>
  <si>
    <t>2023-10-19</t>
  </si>
  <si>
    <t>HZIMS3000智能运维服务平台</t>
  </si>
  <si>
    <t>HZIMS3000</t>
  </si>
  <si>
    <t>2023SR1266619</t>
  </si>
  <si>
    <t>2023-01-01</t>
  </si>
  <si>
    <t>2023-10-18</t>
  </si>
  <si>
    <t>HZN-KGT知识图谱管理平台</t>
  </si>
  <si>
    <t>HZN-KGT</t>
  </si>
  <si>
    <t>2023SR1258793</t>
  </si>
  <si>
    <t>V3.6</t>
  </si>
  <si>
    <t>2023-06-30</t>
  </si>
  <si>
    <t>HZI-KSM知识共享服务平台</t>
  </si>
  <si>
    <t>HZI-KSM</t>
  </si>
  <si>
    <t>2023SR1258884</t>
  </si>
  <si>
    <t>2023-01-15</t>
  </si>
  <si>
    <t>2023-06-05</t>
  </si>
  <si>
    <t>HZES3000智慧能源管理系统APP</t>
  </si>
  <si>
    <t>HZES3000APP</t>
  </si>
  <si>
    <t>2023SR0581627</t>
  </si>
  <si>
    <t>V4.5</t>
  </si>
  <si>
    <t>2023-03-01</t>
  </si>
  <si>
    <t>HZG-IAS智能曝气系统</t>
  </si>
  <si>
    <t>HZG-IAS</t>
  </si>
  <si>
    <t>2023SR0292657</t>
  </si>
  <si>
    <t>2022-11-01</t>
  </si>
  <si>
    <t>HZG-IDS净水智能加药系统</t>
  </si>
  <si>
    <t>HZG-IDS</t>
  </si>
  <si>
    <t>2023SR0292654</t>
  </si>
  <si>
    <t>2022-10-09</t>
  </si>
  <si>
    <t>2022-10-27</t>
  </si>
  <si>
    <t>HZN-SLI源网荷储一体化云边协同管控平台</t>
  </si>
  <si>
    <t>HZN-SLI</t>
  </si>
  <si>
    <t>2022SR1423418</t>
  </si>
  <si>
    <t>2022-07-30</t>
  </si>
  <si>
    <t>2022-10-24</t>
  </si>
  <si>
    <t>HZN-GSHS华自绿色小水电云平台APP</t>
  </si>
  <si>
    <t>2022SR1406253</t>
  </si>
  <si>
    <t>2022-06-30</t>
  </si>
  <si>
    <t>HZK-OTS粮油罐区智能过程控制系统</t>
  </si>
  <si>
    <t>HZK-OTS</t>
  </si>
  <si>
    <t>2022SR0451274</t>
  </si>
  <si>
    <t>2021-09-01</t>
  </si>
  <si>
    <t>2022-03-21</t>
  </si>
  <si>
    <t>HZN-CES一体化储能云平台APP</t>
  </si>
  <si>
    <t>HZN-CES</t>
  </si>
  <si>
    <t>2022SR0371062</t>
  </si>
  <si>
    <t>HZPES绩效考核管理平台</t>
  </si>
  <si>
    <t>HZPES</t>
  </si>
  <si>
    <t>2022SR0268387</t>
  </si>
  <si>
    <t>V3.5</t>
  </si>
  <si>
    <t>2021-11-16</t>
  </si>
  <si>
    <t>2021-11-01</t>
  </si>
  <si>
    <t>HZ3000-EMS储能能量管理系统</t>
  </si>
  <si>
    <t>HZ3000-EMS</t>
  </si>
  <si>
    <t>2021SR1603292</t>
  </si>
  <si>
    <t>2021-08-10</t>
  </si>
  <si>
    <t>2021-09-06</t>
  </si>
  <si>
    <t>HZInfo3000-PD防涝排渍网格化管理系统</t>
  </si>
  <si>
    <t>HZInfo3000-PD</t>
  </si>
  <si>
    <t>2021SR1323231</t>
  </si>
  <si>
    <t>V5.0</t>
  </si>
  <si>
    <t>2021-03-11</t>
  </si>
  <si>
    <t>HZInfo3000-UT 综合管廊运维管理平台</t>
  </si>
  <si>
    <t>HZInfo3000-UT</t>
  </si>
  <si>
    <t>2021SR0375828</t>
  </si>
  <si>
    <t>2020-10-20</t>
  </si>
  <si>
    <t>HZInfo3000-WD水调信息化系统</t>
  </si>
  <si>
    <t>HZInfo3000-WD</t>
  </si>
  <si>
    <t>2020SR1232697</t>
  </si>
  <si>
    <t>2020-08-31</t>
  </si>
  <si>
    <t>HZ3000-IS计算机监控系统（安可版）</t>
  </si>
  <si>
    <t>HZ3000-IS</t>
  </si>
  <si>
    <t>2020SR1232754</t>
  </si>
  <si>
    <t>2020-08-20</t>
  </si>
  <si>
    <t>2020-08-19</t>
  </si>
  <si>
    <t>2020SR0953421</t>
  </si>
  <si>
    <t>2020-05-27</t>
  </si>
  <si>
    <t>HZK-BMT锂电池材料生产控制系统</t>
  </si>
  <si>
    <t>HZK-BMT</t>
  </si>
  <si>
    <t>2020SR0516301</t>
  </si>
  <si>
    <t>2019-09-10</t>
  </si>
  <si>
    <t>HZK-PCIM装配式预制件智能制造系统</t>
  </si>
  <si>
    <t>HZK-PCIM</t>
  </si>
  <si>
    <t>2020SR0515962</t>
  </si>
  <si>
    <t>2019-07-30</t>
  </si>
  <si>
    <t>HZK-FWD餐厨垃圾处理自动化控制系统</t>
  </si>
  <si>
    <t>HZK-FWD</t>
  </si>
  <si>
    <t>2020SR0516053</t>
  </si>
  <si>
    <t>2018-10-15</t>
  </si>
  <si>
    <t>2020-02-27</t>
  </si>
  <si>
    <t>HZ3000-IIMS智能综合信息管理系统</t>
  </si>
  <si>
    <t>HZ3000-IIMS</t>
  </si>
  <si>
    <t>2020SR0184724</t>
  </si>
  <si>
    <t>2019-11-25</t>
  </si>
  <si>
    <t>2020-02-10</t>
  </si>
  <si>
    <t>2020SR0123398</t>
  </si>
  <si>
    <t>2019-09-02</t>
  </si>
  <si>
    <t>标准信息</t>
  </si>
  <si>
    <t>该维度共14条数据</t>
  </si>
  <si>
    <t>标准名称</t>
  </si>
  <si>
    <t>标准编号</t>
  </si>
  <si>
    <t>标准级别</t>
  </si>
  <si>
    <t>标准状态</t>
  </si>
  <si>
    <t>标准性质</t>
  </si>
  <si>
    <t>电工术语 水轮机控制系统</t>
  </si>
  <si>
    <t>GB/T 31066-2026</t>
  </si>
  <si>
    <t>国家标准</t>
  </si>
  <si>
    <t>即将实施</t>
  </si>
  <si>
    <t>推荐性</t>
  </si>
  <si>
    <t>1000kW及以下小型水电站无人值守技术规范</t>
  </si>
  <si>
    <t>T/CSHE 0011—2024</t>
  </si>
  <si>
    <t>团体标准</t>
  </si>
  <si>
    <t>现行</t>
  </si>
  <si>
    <t>2025-01-01</t>
  </si>
  <si>
    <t>水力发电厂自动化计算机控制导则</t>
  </si>
  <si>
    <t>GB/T 44786-2024</t>
  </si>
  <si>
    <t>2024-10-26</t>
  </si>
  <si>
    <t>高氨氮废水厌氧氨氧化处理应用技术规范</t>
  </si>
  <si>
    <t>T/ACEF 145—2024</t>
  </si>
  <si>
    <t>2024-06-04</t>
  </si>
  <si>
    <t>光储充一体化电站技术规范</t>
  </si>
  <si>
    <t>T/DCB 009—2024</t>
  </si>
  <si>
    <t>电化学储能电站运行规程</t>
  </si>
  <si>
    <t>T/WHDQHX 006—2023</t>
  </si>
  <si>
    <t>2023-12-13</t>
  </si>
  <si>
    <t>城镇污水处理厂（站）智能化控制技术规范</t>
  </si>
  <si>
    <t>T/GXAS 578—2023</t>
  </si>
  <si>
    <t>2023-10-14</t>
  </si>
  <si>
    <t>2023-10-20</t>
  </si>
  <si>
    <t>HZ-CES-HM模块式高压储能系统</t>
  </si>
  <si>
    <t>Q/HZ-CES-HM-2022</t>
  </si>
  <si>
    <t>企业标准</t>
  </si>
  <si>
    <t>电化学储能系统现场验收通用要求</t>
  </si>
  <si>
    <t>T/CIAPS 0022—2023</t>
  </si>
  <si>
    <t>2023-04-01</t>
  </si>
  <si>
    <t>锂离子电池储能电站调试技术规范</t>
  </si>
  <si>
    <t>T/CES 169—2022</t>
  </si>
  <si>
    <t>2022-12-19</t>
  </si>
  <si>
    <t>2022-12-21</t>
  </si>
  <si>
    <t>无人值班小型水电站安全运行规范</t>
  </si>
  <si>
    <t>NB/T 42074-2016</t>
  </si>
  <si>
    <t>行业标准</t>
  </si>
  <si>
    <t>2016-12-01</t>
  </si>
  <si>
    <t>无人值班小型水电站监控技术规范</t>
  </si>
  <si>
    <t>NB/T 42075-2016</t>
  </si>
  <si>
    <t>小水电低压机组自动化控制技术规范</t>
  </si>
  <si>
    <t>NB/T 42055-2015</t>
  </si>
  <si>
    <t>2015-07-01</t>
  </si>
  <si>
    <t>2015-12-01</t>
  </si>
  <si>
    <t>孤网运行的小水电机组设计导则</t>
  </si>
  <si>
    <t>NB/T 42034-2014</t>
  </si>
  <si>
    <t>2014-06-29</t>
  </si>
  <si>
    <t>2014-11-01</t>
  </si>
  <si>
    <t>APP</t>
  </si>
  <si>
    <t>产品名称</t>
  </si>
  <si>
    <t>产品简称</t>
  </si>
  <si>
    <t>产品分类</t>
  </si>
  <si>
    <t>领域</t>
  </si>
  <si>
    <t>HZNet水电</t>
  </si>
  <si>
    <t>应用</t>
  </si>
  <si>
    <t>工具</t>
  </si>
  <si>
    <t>生态流量</t>
  </si>
  <si>
    <t>网站备案</t>
  </si>
  <si>
    <t>审核日期</t>
  </si>
  <si>
    <t>网站名称</t>
  </si>
  <si>
    <t>网站首页</t>
  </si>
  <si>
    <t>域名</t>
  </si>
  <si>
    <t>网站备案/许可证号</t>
  </si>
  <si>
    <t>公安备案号</t>
  </si>
  <si>
    <t>网站类型</t>
  </si>
  <si>
    <t>备案日期</t>
  </si>
  <si>
    <t>备案地公安机关</t>
  </si>
  <si>
    <t>hnacglobal.com</t>
  </si>
  <si>
    <t>湘ICP备12003207号-9</t>
  </si>
  <si>
    <t>2024-09-05</t>
  </si>
  <si>
    <t>cshnac.com</t>
  </si>
  <si>
    <t>湘ICP备12003207号-4</t>
  </si>
  <si>
    <t>43019002000774</t>
  </si>
  <si>
    <t>非交互式</t>
  </si>
  <si>
    <t>2018-10-16</t>
  </si>
  <si>
    <t>高新区网安大队</t>
  </si>
  <si>
    <t>2020-05-06</t>
  </si>
  <si>
    <t>www.hnaccloud.com</t>
  </si>
  <si>
    <t>hnaccloud.com</t>
  </si>
  <si>
    <t>湘ICP备12003207号-3</t>
  </si>
  <si>
    <t>商业特许经营</t>
  </si>
  <si>
    <t>知识产权出质</t>
  </si>
  <si>
    <t>融资历程</t>
  </si>
  <si>
    <t>披露日期</t>
  </si>
  <si>
    <t>交易金额</t>
  </si>
  <si>
    <t>融资轮次</t>
  </si>
  <si>
    <t>估值</t>
  </si>
  <si>
    <t>比例</t>
  </si>
  <si>
    <t>投资方</t>
  </si>
  <si>
    <t>2023-03-06</t>
  </si>
  <si>
    <t>9.09亿人民币</t>
  </si>
  <si>
    <t>定向增发</t>
  </si>
  <si>
    <t>高金富恒，摩根大通，财通基金，华夏基金，诺德基金，瑞华控股，华泰投资，瑞银集团，上海铂绅投资，个人投资者</t>
  </si>
  <si>
    <t>股权融资</t>
  </si>
  <si>
    <t>湖南能源集团</t>
  </si>
  <si>
    <t>2019-01-01</t>
  </si>
  <si>
    <t>湖南高新创投</t>
  </si>
  <si>
    <t>2018-10-12</t>
  </si>
  <si>
    <t>广州玄元投资</t>
  </si>
  <si>
    <t>2017-09-30</t>
  </si>
  <si>
    <t>华鸿投资</t>
  </si>
  <si>
    <t>2016-06-30</t>
  </si>
  <si>
    <t>2.27亿人民币</t>
  </si>
  <si>
    <t>IPO上市</t>
  </si>
  <si>
    <t>公开发行</t>
  </si>
  <si>
    <t>诚信创投</t>
  </si>
  <si>
    <t>核心团队</t>
  </si>
  <si>
    <t>该维度共25条数据</t>
  </si>
  <si>
    <t>职位</t>
  </si>
  <si>
    <t>简介</t>
  </si>
  <si>
    <t>董事长&amp;董事</t>
  </si>
  <si>
    <t>黄文宝先生,1967年生,中国国籍,无境外永久居留权,本科学历,教授级高级工程师,工信部认证的计算机信息系统集成高级项目经理。曾任广东航伟企业有限公司工程技术部经理、品检部经理,长沙湘南电气设备厂开发工程师、生产部部长,长沙华能电气制造公司经理,长沙华能自控集团有限公司董事长、总经理。2009年9月至今任华自科技股份有限公司董事长;现兼任长沙华能自控集团有限公司、华禹投资有限公司、湖南华自售配电有限公司董事长,深圳前海华自投资管理有限公司、长沙华源文化传播有限公司、兰州华自科技有限公司执行董事。</t>
  </si>
  <si>
    <t>何宇飞</t>
  </si>
  <si>
    <t>何宇飞，高盟新材董事长。男,1967年生,中山大学工商管理专业毕业,获管理学硕士学位。曾任广州康鑫塑胶有限公司董事长兼总经理,现任广州廷博创业投资有限公司监事、广州安捷汽车有限公司董事、广州高金技术产业集团有限公司经理、广州毅昌科技股份有限公司董事。</t>
  </si>
  <si>
    <t>白云</t>
  </si>
  <si>
    <t>白云,女,1973年1月25日出生,中国国籍,无境外永久居留权。2000年3月,毕业于湖南财经学院,国际金融专业,研究生学历。1994年6月至20086月,就职于泰阳证券有限责任公司,历任总裁办副主任、董事会秘书处主任、重庆营业部总经理、太原营业部总经理;2008年7月至2010年9月,就职于中科招商投资管理有限公司,任董事、总监;2010年10月至今,就职于湖南华鸿景开投资管理有限公司,任副总经理;2010年11月至2011年8月,就职于华自科技股份有限公司,任监事;2011年8月至今,就职于华自科技股份有限公司,任董事;2012年5月至今,就职于湖南展泰有色金属有限公司,任监事;2012年11月至今,就职于山东东宏管业股份有限公司,任董事;2013年1月至今,就职于湖南长沙果福车业有限公司,任董事;2013年7月至今,就职于湖南广济麓谷创业投资合伙企业(有限合伙),任执行事务合伙人;2016年1月至2017年6月,就职于泰通有限,任董事;2017年6月至今,就职于泰通能源,任董事。</t>
  </si>
  <si>
    <t>颜勇</t>
  </si>
  <si>
    <t>颜勇先生,1964年生,中国国籍,无境外永久居留权,本科学历,发配电专业。现任中国能源建设集团湖南省电力设计院有限公司副总经理兼总工程师、教授级高级工程师。</t>
  </si>
  <si>
    <t>总经理&amp;董事</t>
  </si>
  <si>
    <t>汪晓兵先生,1968年生,中国国籍,无境外永久居留权,本科学历,教授级高级工程师。曾任湖南省华云机器厂技术员、助理工程师,长沙市湘南电气设备厂工程师、协调部部长,长沙华能自控集团有限公司常务副总经理、总经理、董事。2009年9月至今任华自科技股份有限公司董事、总经理;现兼任长沙华能自控集团有限公司、华禹投资有限公司、华自国际(中国香港)有限公司、长沙中航信息技术有限董事,湖南能创国际工程有限责任公司董事长、长沙华自投资管理有限公司执行董事。</t>
  </si>
  <si>
    <t>佘朋鲋先生,1970年12月生,中国国籍,无境外永久居留权,本科学历。曾任深圳市统计信息局信息行业协会宝安区主任、东莞市冠宏电控设备有限公司副总经理、代总经理。2010年9月至今任华自科技股份有限公司机电工程事业部总经理,2013年8月至2014年8月任华自科技股份有限公司总经理助理、机电工程事业部总经理,2014年8月起任公司副总经理,并于2017年9月至今任华自科技股份有限公司董事、副总经理。</t>
  </si>
  <si>
    <t>周艾先生,1968年生,中国国籍,无境外永久居留权,工程师,本科学历,内燃机专业。曾任华自集团销售部门经理;2009年9月至今任华自科技股份有限公司副总经理、营销中心总经理,现兼任华自集团董事、兰州华自总经理。</t>
  </si>
  <si>
    <t>副总经理&amp;董事</t>
  </si>
  <si>
    <t>喻江南先生,1969年生,中国国籍,无境外永久居留权,大专学历,电子技术及应用专业,工信部认证的计算机信息系统集成高级项目经理。曾任长沙湘南电气设备厂技术员,浏阳水电董事长,咸丰县岩丰电力开发有限责任公司董事长、总经理;2009年9月至今任华自科技股份有限公司副总经理,2010年11月起兼任董事,现兼任华自集团董事、咸丰县岩丰电力开发有限责任公司董事长。</t>
  </si>
  <si>
    <t>熊兰女士,1965年生,中国国籍,无境外永久居留权,会计师,大专学历,会计统计专业。曾任华自集团财务部门经理、集团副总经理;2009年9月至2012年2月任华自科技股份有限公司副总经理、财务负责人,2012年2月至今任华自科技股份有限公司副总经理、内部审计负责人。</t>
  </si>
  <si>
    <t>苗洪雷先生,1976年生,中国国籍,无境外永久居留权,本科学历,自动化专业。曾任华自集团研发部门经理、集团副总经理;2009年9月至今任华自科技股份有限公司副总经理。</t>
  </si>
  <si>
    <t>唐凯</t>
  </si>
  <si>
    <t>唐凯,男,中国国籍,1971年生,无境外永久居留权,本科学历,交通信号与控制工程专业。曾任三一重工股份有限公司IT本部总监助理兼ERP项目管理部部长,湖南新天和工程设备有限公司常务副总经理,2016年9月至今任华自科技股份有限公司总经理助理。唐凯先生目前还兼任湖南新天和工程设备有限公司董事。</t>
  </si>
  <si>
    <t>袁江锋先生,中国国籍,1979年生,无境外永久居留权,本科学历,电力系统及其自动化专业,高级工程师,计算机信息系统集成高级项目经理。曾任长沙华能自控集团有限公司研发部经理,华自科技研发部副经理、经理,技术部经理,2014年1月至2015年1月任公司总经理助理,2015年1月至2017年4月任公司生产调度办主任,2017年4月至今任华自科技股份有限公司副总经理。</t>
  </si>
  <si>
    <t>邓海军先生,1971年生,中国国籍,无境外永久居留权,大专学历,工商企业管理专业。曾任长沙市南区电力电器成套设备厂总经理,长沙东方电控设备有限公司总经理,长沙华能星电开关有限责任公司董事长、总经理;2009年9月至2016年12月任公司智能配电事业部总经理,2009年9月至今任华自科技股份有限公司董事、副总经理,现兼任长沙华能自控集团有限公司董事、长沙中航信息技术有限公司董事、湖南华自售配电有限公司董事及总经理、岳阳华自新能源有限公司董事长、湖南新天电数科技有限公司董事。公司本次换届选举完成后,邓海军先生将不再担任华自科技股份有限公司董事,并承诺在选举非职工监事的股东大会召开前辞去华自科技股份有限公司副总经理职务。</t>
  </si>
  <si>
    <t>柴艺娜</t>
  </si>
  <si>
    <t>柴艺娜女士,1983年生,中国国籍,无境外永久居留权,法国艾克斯·马赛大学管理学博士学历。曾任中国香港文汇报新闻记者、法国高等教育部科研助理,现任华南理工大学物流工程系讲师,兼任江苏必康制药股份有限公司独立董事。2016年4月至今任华自科技股份有限公司独立董事。</t>
  </si>
  <si>
    <t>金维宇</t>
  </si>
  <si>
    <t>金维宇先生,1969年生,中国国籍,无境外永久居留权,毕业于湖南大学、中南大学,博士学历,控制科学与工程专业。曾任长沙湘南电气设备厂技术副厂长,威胜集团有限公司研究院副院长、总工程师,湖南利能科技股份有限公司总经理,2020年3月至今任长沙精科电力技术有限公司副总经理。荣获“湖南省科学技术进步一等奖”,“国家科学技术进步二等奖”等奖项。</t>
  </si>
  <si>
    <t>钮键</t>
  </si>
  <si>
    <t>职工监事</t>
  </si>
  <si>
    <t>钮键先生,1987年生,中国国籍,无境外永久居留权,本科学历,电子信息专业。曾任兴马实业股份有限公司电力运维部负责人,华自科技股份有限公司机电事业部副经理、供应部副经理,现任华自科技股份有限公司环保事业部副总经理兼技术部经理。</t>
  </si>
  <si>
    <t>黄珺</t>
  </si>
  <si>
    <t>黄珺,1976年7月生,上海交通大学博士,教授,中国注册会计师,国家留学基金委公派英国Durham大学商学院访问学者。曾任湖南大学讲师、副教授,时代新材独立董事,正虹科技独立董事等职,现任湖南大学教授、博导,兼任长沙岱勒新材料科技股份有限公司、湖南新五丰股份有限公司独立董事,中国会计学会高级个人会员,中国会计学会财务成本分会理事,湖南省财务学会理事,湖南省会计系列职称评审委员。</t>
  </si>
  <si>
    <t>凌志雄,男,汉族,1963年8月出生,湖南长沙人,中共党员,经济学硕士,硕士研究生导师,会计硕士管理中心副主任。主要从事财务分析、企业财务报表分析、企业绩效评价与激励机制的教学与研究。历任湖南财经学院财政系助教、讲师,湖南财经学院财政会计系讲师、副教授,湖南大学会计学院财务管理系副教授、硕士研究生导师,兼任湖南财经学院校产办副主任,兼湖南湘财实业发展公司董事、副总经理,湖南湘财信息产业有限公司董事、副总经理。现任湖南大学工商管理学院财务管理系副教授、硕士研究生导师,兼任华自科技股份有限公司独立董事、株洲时代新材料科技股份有限公司独立董事、湖南创一电子科技股份有限公司独立董事。</t>
  </si>
  <si>
    <t>桂卫华</t>
  </si>
  <si>
    <t>桂卫华先生,1950年生,中国国籍,无境外永久居留权,中国工程院院士,教授,博士生导师,全国优秀教师,享受国务院特殊津贴。主要从事复杂过程的建模与控制、大系统控制理论与应用、分散鲁棒控制、最优控制与应用、流程工业现代集成技术等领域的研究工作。曾任湖北丹江铝厂技术员、中南大学信息科学与工程学院院长,现为中南大学教授。2011年8月至今任华自科技股份有限公司独立董事。</t>
  </si>
  <si>
    <t>胡兰芳</t>
  </si>
  <si>
    <t>胡兰芳女士,1977年生,中国国籍,无境外永久居留权,本科学历,化学工程与工艺专业。曾任长沙华能自控集团有限公司行政部门经理;2010年11月至今任华自科技股份有限公司监事,现兼任公司行政中心总监、党委副书记、团委书记、职代会副主席、工会副主席。</t>
  </si>
  <si>
    <t>监事</t>
  </si>
  <si>
    <t>胡浩先生,1973年生,中国国籍,无境外永久居留权,大专学历,工信部认证的计算机信息系统集成高级项目经理。曾任长沙华能自控集团有限公司计算机部、技术部和开发二部经理,2009年9月至今任华自科技股份有限公司副总工程师。</t>
  </si>
  <si>
    <t>监事会主席</t>
  </si>
  <si>
    <t>郭旭东先生,1967年生,中国国籍,无境外永久居留权,博士,控制科学与工程专业,工信部认证的计算机信息系统集成高级项目经理。曾任陇西西北铝加工厂助理工程师,长沙湘南电气设备厂产品研发部工程师,长沙华能自动化研究所执行董事、所长,华自集团监事,华能电子董事长、总经理;2009年9月至今任华自科技股份有限公司监事会主席、电子事业部总经理,现兼任华自集团监事、前海华自监事。</t>
  </si>
  <si>
    <t>陈红飞先生,1974年生,中国国籍,无境外永久居留权,注册会计师,本科学历,会计学专业。曾任衡山茶叶机械厂会计主管、广东远成储运贸易有限公司财务经理、衡阳天翼会计师事务所注册会计师、广东骏丰频谱实业有限公司财务经理;2010年8月任华自有限副总会计师,2012年2月至今任华自科技股份有限公司财务总监。</t>
  </si>
  <si>
    <t>曾祥君</t>
  </si>
  <si>
    <t>曾祥君先生,1972年生,中国国籍,无境外永久居留权,电气工程专业博士,长江学者特聘教授、国家杰出青年基金获得者、国家有突出贡献的中青年专家,国务院特殊津贴获得者。曾任湖南湘能许继高科技有限公司总工程师、长沙理工大学电气与信息工程学院院长、湖南省科技特派员,现任长沙理工大学校长助理、《电力科学与技术学报》主编、电网安全监控技术教育部工程研究中心、智能电网运行与控制湖南省重点实验室主任、清洁能源发电与智能电网湖南省协同创新中心主任等职务。</t>
  </si>
  <si>
    <t>袁宏</t>
  </si>
  <si>
    <t>袁宏，华自科技证券事务代表。</t>
  </si>
  <si>
    <t>企业业务</t>
  </si>
  <si>
    <t>当前融资轮次</t>
  </si>
  <si>
    <t>产品标签</t>
  </si>
  <si>
    <t>所属地</t>
  </si>
  <si>
    <t>产品介绍</t>
  </si>
  <si>
    <t>生产制造</t>
  </si>
  <si>
    <t>湖南</t>
  </si>
  <si>
    <t>水电控制设备系统研发商</t>
  </si>
  <si>
    <t>投资事件</t>
  </si>
  <si>
    <t>该维度共15条数据</t>
  </si>
  <si>
    <t>投资日期</t>
  </si>
  <si>
    <t>参与轮次</t>
  </si>
  <si>
    <t>A轮</t>
  </si>
  <si>
    <t>军成科技</t>
  </si>
  <si>
    <t>军工自动化解决方案服务商</t>
  </si>
  <si>
    <t>2023-06-02</t>
  </si>
  <si>
    <t>出资设立</t>
  </si>
  <si>
    <t>华自清洁</t>
  </si>
  <si>
    <t>硬科技</t>
  </si>
  <si>
    <t>广东省</t>
  </si>
  <si>
    <t>太阳能发电技术服务商</t>
  </si>
  <si>
    <t>2022-04-18</t>
  </si>
  <si>
    <t>天使轮</t>
  </si>
  <si>
    <t>企业服务</t>
  </si>
  <si>
    <t>浙江省</t>
  </si>
  <si>
    <t>工业运维服务商</t>
  </si>
  <si>
    <t>2022-01-20</t>
  </si>
  <si>
    <t>拟收购</t>
  </si>
  <si>
    <t>城步善能</t>
  </si>
  <si>
    <t>能源电力</t>
  </si>
  <si>
    <t>储能电站运营商</t>
  </si>
  <si>
    <t>2021-12-28</t>
  </si>
  <si>
    <t>华自科技，科创信息</t>
  </si>
  <si>
    <t>华自卓创</t>
  </si>
  <si>
    <t>人工智能</t>
  </si>
  <si>
    <t>人工智能软件开发商</t>
  </si>
  <si>
    <t>2021-04-28</t>
  </si>
  <si>
    <t>华自感创</t>
  </si>
  <si>
    <t>物联网技术研发、技术咨询机构</t>
  </si>
  <si>
    <t>2019-12-04</t>
  </si>
  <si>
    <t>沪鼎私募，华自科技</t>
  </si>
  <si>
    <t>沪景信息</t>
  </si>
  <si>
    <t>上海市</t>
  </si>
  <si>
    <t>网络信息安全技术研发</t>
  </si>
  <si>
    <t>2019-04-01</t>
  </si>
  <si>
    <t>华自斯迈特</t>
  </si>
  <si>
    <t>支吊架及抗震支吊架研发商</t>
  </si>
  <si>
    <t>2018-05-02</t>
  </si>
  <si>
    <t>华自科技，东方红建设，麓谷创投</t>
  </si>
  <si>
    <t>科研及技术服务</t>
  </si>
  <si>
    <t>低碳技术交易平台</t>
  </si>
  <si>
    <t>2018-04-23</t>
  </si>
  <si>
    <t>格莱特新能源</t>
  </si>
  <si>
    <t>大数据</t>
  </si>
  <si>
    <t>新能源技术服务商</t>
  </si>
  <si>
    <t>2017-12-04</t>
  </si>
  <si>
    <t>华自科技、中国能建</t>
  </si>
  <si>
    <t>一起包工程网</t>
  </si>
  <si>
    <t>金融</t>
  </si>
  <si>
    <t>海外能源基建工程互联网平台</t>
  </si>
  <si>
    <t>2017-08-31</t>
  </si>
  <si>
    <t>并购</t>
  </si>
  <si>
    <t>华自科技（300490）</t>
  </si>
  <si>
    <t>5.6亿人民币</t>
  </si>
  <si>
    <t>格兰特</t>
  </si>
  <si>
    <t>环保</t>
  </si>
  <si>
    <t>污水处理及水再生解决方案提供商</t>
  </si>
  <si>
    <t>2017-08-14</t>
  </si>
  <si>
    <t>千福能源</t>
  </si>
  <si>
    <t>电力能源一站式综合解决方案服务商</t>
  </si>
  <si>
    <t>2017-07-24</t>
  </si>
  <si>
    <t>股权转让</t>
  </si>
  <si>
    <t>新天电数</t>
  </si>
  <si>
    <t>物联网</t>
  </si>
  <si>
    <t>电力物联网建设解决方案提供商</t>
  </si>
  <si>
    <t>2016-10-17</t>
  </si>
  <si>
    <t>长沙中航</t>
  </si>
  <si>
    <t>先进制造</t>
  </si>
  <si>
    <t>数字化与智能制造解决方案供应商</t>
  </si>
  <si>
    <t>竞品信息</t>
  </si>
  <si>
    <t>所属公司</t>
  </si>
  <si>
    <t>*ST东电</t>
  </si>
  <si>
    <t>1998-05-13</t>
  </si>
  <si>
    <t>海南</t>
  </si>
  <si>
    <t>输变电设备及附件生产制造企业</t>
  </si>
  <si>
    <t>东北电气发展股份有限公司</t>
  </si>
  <si>
    <t>重庆惠程科技</t>
  </si>
  <si>
    <t>1999-07-02</t>
  </si>
  <si>
    <t>重庆</t>
  </si>
  <si>
    <t>智慧商业高速快充解决方案服务商</t>
  </si>
  <si>
    <t>重庆惠程信息科技股份有限公司</t>
  </si>
  <si>
    <t>许继电气</t>
  </si>
  <si>
    <t>1996-12-26</t>
  </si>
  <si>
    <t>河南</t>
  </si>
  <si>
    <t>电力装备制造商及系统解决方案提供商</t>
  </si>
  <si>
    <t>许继电气股份有限公司</t>
  </si>
  <si>
    <t>白云电器</t>
  </si>
  <si>
    <t>1989-07-05</t>
  </si>
  <si>
    <t>广东</t>
  </si>
  <si>
    <t>高、低压成套开关设备及控制设备研发商</t>
  </si>
  <si>
    <t>广州白云电器设备股份有限公司</t>
  </si>
  <si>
    <t>国轩高科</t>
  </si>
  <si>
    <t>1995-01-23</t>
  </si>
  <si>
    <t>汽车交通</t>
  </si>
  <si>
    <t>安徽</t>
  </si>
  <si>
    <t>铁锂动力电池新材料研发商</t>
  </si>
  <si>
    <t>国轩高科股份有限公司</t>
  </si>
  <si>
    <t>长高集团</t>
  </si>
  <si>
    <t>1998-04-23</t>
  </si>
  <si>
    <t>高压开关生产公司</t>
  </si>
  <si>
    <t>长高电新科技股份公司</t>
  </si>
  <si>
    <t>智光电气</t>
  </si>
  <si>
    <t>1999-04-09</t>
  </si>
  <si>
    <t>电气控制设备、电力电缆、综合节能服务及用电服务</t>
  </si>
  <si>
    <t>广州智光电气股份有限公司</t>
  </si>
  <si>
    <t>拓日新能</t>
  </si>
  <si>
    <t>2002-08-15</t>
  </si>
  <si>
    <t>综合太阳能企业</t>
  </si>
  <si>
    <t>深圳市拓日新能源科技股份有限公司</t>
  </si>
  <si>
    <t>中恒电气</t>
  </si>
  <si>
    <t>2001-07-11</t>
  </si>
  <si>
    <t>浙江</t>
  </si>
  <si>
    <t>高频开关电源系统研发生产商</t>
  </si>
  <si>
    <t>杭州中恒电气股份有限公司</t>
  </si>
  <si>
    <t>三变科技</t>
  </si>
  <si>
    <t>2001-12-29</t>
  </si>
  <si>
    <t>硬件</t>
  </si>
  <si>
    <t>变压器研发商</t>
  </si>
  <si>
    <t>三变科技股份有限公司</t>
  </si>
  <si>
    <t>华明装备</t>
  </si>
  <si>
    <t>2002-08-19</t>
  </si>
  <si>
    <t>山东</t>
  </si>
  <si>
    <t>变电站高压电力设备研发商</t>
  </si>
  <si>
    <t>华明电力装备股份有限公司</t>
  </si>
  <si>
    <t>浙富控股</t>
  </si>
  <si>
    <t>2004-03-26</t>
  </si>
  <si>
    <t>成套水轮发电机组的研制、生产及销售</t>
  </si>
  <si>
    <t>浙富控股集团股份有限公司</t>
  </si>
  <si>
    <t>森源电气</t>
  </si>
  <si>
    <t>2000-10-30</t>
  </si>
  <si>
    <t>智能中、低压开关成套设备生产商</t>
  </si>
  <si>
    <t>河南森源电气股份有限公司</t>
  </si>
  <si>
    <t>科士达</t>
  </si>
  <si>
    <t>1993-03-17</t>
  </si>
  <si>
    <t>不间断电源系列产品生产商</t>
  </si>
  <si>
    <t>深圳科士达科技股份有限公司</t>
  </si>
  <si>
    <t>东方电子</t>
  </si>
  <si>
    <t>1994-02-09</t>
  </si>
  <si>
    <t>电网设备制造商</t>
  </si>
  <si>
    <t>东方电子股份有限公司</t>
  </si>
  <si>
    <t>四方股份</t>
  </si>
  <si>
    <t>1994-04-08</t>
  </si>
  <si>
    <t>北京</t>
  </si>
  <si>
    <t>电气及工业自动化产品生产研发商</t>
  </si>
  <si>
    <t>北京四方继保自动化股份有限公司</t>
  </si>
  <si>
    <t>新雷能</t>
  </si>
  <si>
    <t>1997-06-11</t>
  </si>
  <si>
    <t>电源产品研发供应商</t>
  </si>
  <si>
    <t>北京新雷能科技股份有限公司</t>
  </si>
  <si>
    <t>高澜股份</t>
  </si>
  <si>
    <t>2001-06-29</t>
  </si>
  <si>
    <t>纯水冷却设备及控制系统研发设计</t>
  </si>
  <si>
    <t>广州高澜节能技术股份有限公司</t>
  </si>
  <si>
    <t>麦格米特</t>
  </si>
  <si>
    <t>2003-07-29</t>
  </si>
  <si>
    <t>电气控制与节能方案提供商</t>
  </si>
  <si>
    <t>深圳麦格米特电气股份有限公司</t>
  </si>
  <si>
    <t>合纵科技</t>
  </si>
  <si>
    <t>1997-04-15</t>
  </si>
  <si>
    <t>配电解决方案服务商</t>
  </si>
  <si>
    <t>合纵科技股份有限公司</t>
  </si>
  <si>
    <t>投资机构</t>
  </si>
  <si>
    <t>2009年</t>
  </si>
  <si>
    <t>长沙</t>
  </si>
  <si>
    <t>华自科技股份有限公司（300490.SZ）专注于自动化、信息化和智能化技术，为能源、环保、工控、水利等领域用户提供核心软硬件产品与系统解决方案，主要产品包括新型储能及新能源控制设备、锂电池生产装备、水处理膜及膜装置等，是多能物联技术领航企业。
公司在电站及泵站自动化控制设备市场占有率全球领先，是联合国工业发展组织国际小水电中心控制设备制造基地、国家技术创新示范企业，公司拥有国家企业技术中心、博士后科研工作站、国家CNAS实验室等国家级创新平台，拥有超百项发明专利，起草多项行业标准，科研成果斩获国家级科技进步奖。</t>
  </si>
  <si>
    <t>私募基金</t>
  </si>
  <si>
    <t>历史商标信息</t>
  </si>
  <si>
    <t>历史工商信息</t>
  </si>
  <si>
    <t>历史经营范围</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</si>
  <si>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新能源汽车充（放）电桩、储能电站及储能系统的设计、研发、销售、建设、运营、技术咨询及服务；自营和代理各类商品和技术的进出口。（依法须经批准的项目，经相关部门批准后方可开展经营活动）</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</si>
  <si>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自营和代理各类商品和技术的进出口。（依法须经批准的项目，经相关部门批准后方可开展经营活动）</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</si>
  <si>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需备案）；电力设施承装、承修、承试（四级，许可证有效期至2016年12月16日）；凭本企业资质从事电力工程、水利水电工程施工；自营和代理各类商品和技术的进出口（国家限定公司经营或禁止进出口的商品和技术除外）。</t>
  </si>
  <si>
    <t>历史注册地址</t>
  </si>
  <si>
    <t>历史注册资本</t>
  </si>
  <si>
    <t>39621.2074万人民币</t>
  </si>
  <si>
    <t>39419.3274万人民币</t>
  </si>
  <si>
    <t>32782.4407万人民币</t>
  </si>
  <si>
    <t>25617.1546万人民币</t>
  </si>
  <si>
    <t>26181.8005万人民币</t>
  </si>
  <si>
    <t>26193.9805万人民币</t>
  </si>
  <si>
    <t>22858.6627万人民币</t>
  </si>
  <si>
    <t>20000万人民币</t>
  </si>
  <si>
    <t>7500万人民币</t>
  </si>
  <si>
    <t>历史法定代表人</t>
  </si>
  <si>
    <t>历史股东信息</t>
  </si>
  <si>
    <t>该维度共19条数据</t>
  </si>
  <si>
    <t>退出时持股比例</t>
  </si>
  <si>
    <t>首次持股日期</t>
  </si>
  <si>
    <t>退出日期</t>
  </si>
  <si>
    <t>8.6957%</t>
  </si>
  <si>
    <t>652.1739万元</t>
  </si>
  <si>
    <t>7.2464%</t>
  </si>
  <si>
    <t>543.4783万元</t>
  </si>
  <si>
    <t>3.2748%</t>
  </si>
  <si>
    <t>1079.6892万元</t>
  </si>
  <si>
    <t>成都钰信投资有限公司</t>
  </si>
  <si>
    <t>2.5106%</t>
  </si>
  <si>
    <t>1000.9151万元</t>
  </si>
  <si>
    <t>2024-06-25</t>
  </si>
  <si>
    <t>2026-06-24</t>
  </si>
  <si>
    <t>1.6972%</t>
  </si>
  <si>
    <t>434.7826万元</t>
  </si>
  <si>
    <t>0.2238%</t>
  </si>
  <si>
    <t>89.2391万元</t>
  </si>
  <si>
    <t>0.1331%</t>
  </si>
  <si>
    <t>53.0435万元</t>
  </si>
  <si>
    <t>0.1189%</t>
  </si>
  <si>
    <t>47.3913万元</t>
  </si>
  <si>
    <t>0.0832%</t>
  </si>
  <si>
    <t>33.1522万元</t>
  </si>
  <si>
    <t>张为民</t>
  </si>
  <si>
    <t>0.0774%</t>
  </si>
  <si>
    <t>30.8696万元</t>
  </si>
  <si>
    <t>刘利国</t>
  </si>
  <si>
    <t>0.0665%</t>
  </si>
  <si>
    <t>26.5217万元</t>
  </si>
  <si>
    <t>0.0654%</t>
  </si>
  <si>
    <t>26.087万元</t>
  </si>
  <si>
    <t>26.0869万元</t>
  </si>
  <si>
    <t>0.0322%</t>
  </si>
  <si>
    <t>12.8261万元</t>
  </si>
  <si>
    <t>廖建文</t>
  </si>
  <si>
    <t>0.0093%</t>
  </si>
  <si>
    <t>3.6956万元</t>
  </si>
  <si>
    <t>北京格莱特投资管理中心（有限合伙）</t>
  </si>
  <si>
    <t>2018-01-01</t>
  </si>
  <si>
    <t>湖南高新纵横资产经营有限公司</t>
  </si>
  <si>
    <t>2020-07-29</t>
  </si>
  <si>
    <t>上海乐洋创业投资中心（有限公司）</t>
  </si>
  <si>
    <t>股权变更历程</t>
  </si>
  <si>
    <t>姓名/公司名称</t>
  </si>
  <si>
    <t>2023-11-28【最新】</t>
  </si>
  <si>
    <t>39621.2074万元
上升30827.8173万元39621.2074万元
不变</t>
  </si>
  <si>
    <t>8793.3901万元
下降23989.0506万元8793.3901万元
不变</t>
  </si>
  <si>
    <t>32782.4407万元
上升7165.2861万元32782.4407万元
不变</t>
  </si>
  <si>
    <t>25617.1546万元
下降576.8259万元25617.1546万元
不变</t>
  </si>
  <si>
    <t>26193.9805万元
上升3335.3178万元26193.9805万元
不变</t>
  </si>
  <si>
    <t>22858.6627万元
上升2858.6627万元22858.6627万元
不变</t>
  </si>
  <si>
    <t>20000万元
上升10000万元20000万元
不变</t>
  </si>
  <si>
    <t>10000万元
上升2500万元10000万元
不变</t>
  </si>
  <si>
    <t>7500万元
不变</t>
  </si>
  <si>
    <t>持股比例:75.38467%
认缴金额:29868.3165万元</t>
  </si>
  <si>
    <t>未披露持股</t>
  </si>
  <si>
    <t>持股比例:52.14858%
认缴金额:17095.57673万元</t>
  </si>
  <si>
    <t>【首次参股】
持股比例:52.14858%
认缴金额:13358.9819万元</t>
  </si>
  <si>
    <t>持股比例:21.37063%
认缴金额:8467.3031万元</t>
  </si>
  <si>
    <t>持股比例:21.48008%
认缴金额:8467.3031万元</t>
  </si>
  <si>
    <t>持股比例:38.04991%
认缴金额:12473.68769万元</t>
  </si>
  <si>
    <t>持股比例:38.04991%
认缴金额:9747.3031万元</t>
  </si>
  <si>
    <t>持股比例:46.73913%
认缴金额:12242.8386万元</t>
  </si>
  <si>
    <t>持股比例:46.73913%
认缴金额:10683.94008万元</t>
  </si>
  <si>
    <t>持股比例:46.73913%
认缴金额:9347.826万元</t>
  </si>
  <si>
    <t>持股比例:62.31884%
认缴金额:6231.884万元</t>
  </si>
  <si>
    <t>【首次参股】
持股比例:62.31884%
认缴金额:4673.913万元</t>
  </si>
  <si>
    <t>【首次参股】
持股比例:1.98959%
认缴金额:788.3万元</t>
  </si>
  <si>
    <t>持股比例:0.82301%
认缴金额:326.087万元</t>
  </si>
  <si>
    <t>持股比例:0.82723%
认缴金额:326.087万元</t>
  </si>
  <si>
    <t>持股比例:1.27292%
认缴金额:417.29567万元</t>
  </si>
  <si>
    <t>持股比例:1.27292%
认缴金额:326.087万元</t>
  </si>
  <si>
    <t>持股比例:1.63043%
认缴金额:427.07583万元</t>
  </si>
  <si>
    <t>持股比例:1.63043%
认缴金额:372.69564万元</t>
  </si>
  <si>
    <t>持股比例:1.63043%
认缴金额:326.087万元</t>
  </si>
  <si>
    <t>持股比例:2.17391%
认缴金额:217.39133万元</t>
  </si>
  <si>
    <t>【首次参股】
持股比例:2.17391%
认缴金额:163.0435万元</t>
  </si>
  <si>
    <t>持股比例:0.43209%
认缴金额:171.2008万元</t>
  </si>
  <si>
    <t>持股比例:0.89105%
认缴金额:292.10684万元</t>
  </si>
  <si>
    <t>持股比例:0.89105%
认缴金额:228.2608万元</t>
  </si>
  <si>
    <t>持股比例:1.1413%
认缴金额:298.95295万元</t>
  </si>
  <si>
    <t>持股比例:1.1413%
认缴金额:260.88683万元</t>
  </si>
  <si>
    <t>持股比例:1.1413%
认缴金额:228.2608万元</t>
  </si>
  <si>
    <t>持股比例:1.52174%
认缴金额:152.17387万元</t>
  </si>
  <si>
    <t>【首次参股】
持股比例:1.52174%
认缴金额:114.1304万元</t>
  </si>
  <si>
    <t>持股比例:5.94031%
认缴金额:1947.37963万元</t>
  </si>
  <si>
    <t>持股比例:5.94031%
认缴金额:1521.7392万元</t>
  </si>
  <si>
    <t>持股比例:7.6087%
认缴金额:1993.02035万元</t>
  </si>
  <si>
    <t>持股比例:7.6087%
认缴金额:1739.24615万元</t>
  </si>
  <si>
    <t>持股比例:7.6087%
认缴金额:1521.7392万元</t>
  </si>
  <si>
    <t>持股比例:10.14493%
认缴金额:1014.4928万元</t>
  </si>
  <si>
    <t>【首次参股】
持股比例:10.14493%
认缴金额:760.8696万元</t>
  </si>
  <si>
    <t>持股比例:1.69723%
认缴金额:556.39414万元</t>
  </si>
  <si>
    <t>持股比例:1.69723%
认缴金额:434.7826万元</t>
  </si>
  <si>
    <t>持股比例:2.17391%
认缴金额:569.43435万元</t>
  </si>
  <si>
    <t>持股比例:2.17391%
认缴金额:496.92744万元</t>
  </si>
  <si>
    <t>持股比例:2.17391%
认缴金额:434.7826万元</t>
  </si>
  <si>
    <t>持股比例:2.89855%
认缴金额:289.85507万元</t>
  </si>
  <si>
    <t>【首次参股】
持股比例:2.89855%
认缴金额:217.3913万元</t>
  </si>
  <si>
    <t>社会公众股</t>
  </si>
  <si>
    <t>持股比例:25%
认缴金额:6548.49513万元</t>
  </si>
  <si>
    <t>持股比例:25%
认缴金额:5714.66568万元</t>
  </si>
  <si>
    <t>【首次参股】
持股比例:25%
认缴金额:5000万元</t>
  </si>
  <si>
    <t>持股比例:6.52174%
认缴金额:1708.30304万元</t>
  </si>
  <si>
    <t>持股比例:6.52174%
认缴金额:1490.78232万元</t>
  </si>
  <si>
    <t>持股比例:6.52174%
认缴金额:1304.3478万元</t>
  </si>
  <si>
    <t>持股比例:8.69565%
认缴金额:869.5652万元</t>
  </si>
  <si>
    <t>【首次参股】
持股比例:8.69565%
认缴金额:652.1739万元</t>
  </si>
  <si>
    <t>持股比例:5.43478%
认缴金额:1423.586万元</t>
  </si>
  <si>
    <t>持股比例:5.43478%
认缴金额:1242.31871万元</t>
  </si>
  <si>
    <t>【首次参股】
持股比例:5.43478%
认缴金额:1086.9566万元</t>
  </si>
  <si>
    <t>持股比例:0.89239%
认缴金额:233.75272万元</t>
  </si>
  <si>
    <t>持股比例:0.89239%
认缴金额:203.98865万元</t>
  </si>
  <si>
    <t>持股比例:0.89239%
认缴金额:178.4782万元</t>
  </si>
  <si>
    <t>持股比例:1.18985%
认缴金额:118.98547万元</t>
  </si>
  <si>
    <t>【首次参股】
持股比例:1.18985%
认缴金额:89.2391万元</t>
  </si>
  <si>
    <t>持股比例:0.53043%
认缴金额:138.94204万元</t>
  </si>
  <si>
    <t>持股比例:0.53043%
认缴金额:121.25035万元</t>
  </si>
  <si>
    <t>持股比例:0.53043%
认缴金额:106.087万元</t>
  </si>
  <si>
    <t>持股比例:0.70725%
认缴金额:70.72467万元</t>
  </si>
  <si>
    <t>【首次参股】
持股比例:0.70725%
认缴金额:53.0435万元</t>
  </si>
  <si>
    <t>持股比例:0.47391%
认缴金额:124.13668万元</t>
  </si>
  <si>
    <t>持股比例:0.47391%
认缴金额:108.33017万元</t>
  </si>
  <si>
    <t>持股比例:0.47391%
认缴金额:94.7826万元</t>
  </si>
  <si>
    <t>持股比例:0.63188%
认缴金额:63.1884万元</t>
  </si>
  <si>
    <t>【首次参股】
持股比例:0.63188%
认缴金额:47.3913万元</t>
  </si>
  <si>
    <t>持股比例:0.33152%
认缴金额:86.83881万元</t>
  </si>
  <si>
    <t>持股比例:0.33152%
认缴金额:75.7815万元</t>
  </si>
  <si>
    <t>持股比例:0.33152%
认缴金额:66.3044万元</t>
  </si>
  <si>
    <t>持股比例:0.44203%
认缴金额:44.20293万元</t>
  </si>
  <si>
    <t>【首次参股】
持股比例:0.44203%
认缴金额:33.1522万元</t>
  </si>
  <si>
    <t>持股比例:0.3087%
认缴金额:80.85977万元</t>
  </si>
  <si>
    <t>持股比例:0.3087%
认缴金额:70.56378万元</t>
  </si>
  <si>
    <t>持股比例:0.3087%
认缴金额:61.7392万元</t>
  </si>
  <si>
    <t>持股比例:0.41159%
认缴金额:41.15947万元</t>
  </si>
  <si>
    <t>【首次参股】
持股比例:0.41159%
认缴金额:30.8696万元</t>
  </si>
  <si>
    <t>持股比例:0.26522%
认缴金额:69.47089万元</t>
  </si>
  <si>
    <t>持股比例:0.26522%
认缴金额:60.62506万元</t>
  </si>
  <si>
    <t>持股比例:0.26522%
认缴金额:53.0434万元</t>
  </si>
  <si>
    <t>持股比例:0.35362%
认缴金额:35.36227万元</t>
  </si>
  <si>
    <t>【首次参股】
持股比例:0.35362%
认缴金额:26.5217万元</t>
  </si>
  <si>
    <t>持股比例:0.26087%
认缴金额:68.33224万元</t>
  </si>
  <si>
    <t>持股比例:0.26087%
认缴金额:59.63139万元</t>
  </si>
  <si>
    <t>持股比例:0.26087%
认缴金额:52.174万元</t>
  </si>
  <si>
    <t>持股比例:0.34783%
认缴金额:34.78267万元</t>
  </si>
  <si>
    <t>【首次参股】
持股比例:0.34783%
认缴金额:26.087万元</t>
  </si>
  <si>
    <t>持股比例:0.26087%
认缴金额:68.33197万元</t>
  </si>
  <si>
    <t>持股比例:0.26087%
认缴金额:59.63116万元</t>
  </si>
  <si>
    <t>持股比例:0.26087%
认缴金额:52.1738万元</t>
  </si>
  <si>
    <t>持股比例:0.34783%
认缴金额:34.78253万元</t>
  </si>
  <si>
    <t>【首次参股】
持股比例:0.34783%
认缴金额:26.0869万元</t>
  </si>
  <si>
    <t>持股比例:0.12826%
认缴金额:33.59666万元</t>
  </si>
  <si>
    <t>持股比例:0.12826%
认缴金额:29.31875万元</t>
  </si>
  <si>
    <t>持股比例:0.12826%
认缴金额:25.6522万元</t>
  </si>
  <si>
    <t>持股比例:0.17101%
认缴金额:17.10147万元</t>
  </si>
  <si>
    <t>【首次参股】
持股比例:0.17101%
认缴金额:12.8261万元</t>
  </si>
  <si>
    <t>持股比例:0.03696%
认缴金额:9.68025万元</t>
  </si>
  <si>
    <t>持股比例:0.03696%
认缴金额:8.44765万元</t>
  </si>
  <si>
    <t>持股比例:0.03696%
认缴金额:7.3912万元</t>
  </si>
  <si>
    <t>持股比例:0.04927%
认缴金额:4.92747万元</t>
  </si>
  <si>
    <t>【首次参股】
持股比例:0.04927%
认缴金额:3.6956万元</t>
  </si>
  <si>
    <t>持股比例:7.24638%
认缴金额:724.63773万元</t>
  </si>
  <si>
    <t>【首次参股】
持股比例:7.24638%
认缴金额:543.4783万元</t>
  </si>
  <si>
    <t>历史主要人员</t>
  </si>
  <si>
    <t>任职日期</t>
  </si>
  <si>
    <t>卸任日期</t>
  </si>
  <si>
    <t>2026-01-04</t>
  </si>
  <si>
    <t>2020-09-15</t>
  </si>
  <si>
    <t>2023-11-29</t>
  </si>
  <si>
    <t>2017-09-15</t>
  </si>
  <si>
    <t>2023-09-18</t>
  </si>
  <si>
    <t>未知</t>
  </si>
  <si>
    <t>2021-06-20</t>
  </si>
  <si>
    <t>2017-09-14</t>
  </si>
  <si>
    <t>2023-01-18</t>
  </si>
  <si>
    <t>秦朝晖</t>
  </si>
  <si>
    <t>皮解放</t>
  </si>
  <si>
    <t>战颖</t>
  </si>
  <si>
    <t>袁志敏</t>
  </si>
  <si>
    <t>廖广南</t>
  </si>
  <si>
    <t>高管变更历程</t>
  </si>
  <si>
    <t>职位董事</t>
  </si>
  <si>
    <t>再次任职
职位董事</t>
  </si>
  <si>
    <t>退出
职位董事</t>
  </si>
  <si>
    <t>职位变更
职位董事</t>
  </si>
  <si>
    <t>职位未知</t>
  </si>
  <si>
    <t>首次任职
职位未知</t>
  </si>
  <si>
    <t>首次任职
职位董事</t>
  </si>
  <si>
    <t>职位董事兼总经理</t>
  </si>
  <si>
    <t>职位变更
职位董事兼总经理</t>
  </si>
  <si>
    <t>职位变更
职位未知</t>
  </si>
  <si>
    <t>职位董事长</t>
  </si>
  <si>
    <t>职位变更
职位董事长</t>
  </si>
  <si>
    <t>退出
职位监事</t>
  </si>
  <si>
    <t>职位监事</t>
  </si>
  <si>
    <t>职位变更
职位监事</t>
  </si>
  <si>
    <t>首次任职
职位监事</t>
  </si>
  <si>
    <t>退出
职位未知</t>
  </si>
  <si>
    <t>历史对外投资</t>
  </si>
  <si>
    <t>该维度共5条数据</t>
  </si>
  <si>
    <t>投资退出日期</t>
  </si>
  <si>
    <t>1999-05-26</t>
  </si>
  <si>
    <t>10000万元人民币</t>
  </si>
  <si>
    <t>2025-06-06</t>
  </si>
  <si>
    <t>北京市平谷区</t>
  </si>
  <si>
    <t>格兰特华自科技</t>
  </si>
  <si>
    <t>2004-07-09</t>
  </si>
  <si>
    <t>5080万元人民币</t>
  </si>
  <si>
    <t>批发和零售业</t>
  </si>
  <si>
    <t>精实机电科技华自科技</t>
  </si>
  <si>
    <t>湖南能创科技有限责任公司</t>
  </si>
  <si>
    <t>2016-10-26</t>
  </si>
  <si>
    <t>28.4775%</t>
  </si>
  <si>
    <t>1040万元人民币</t>
  </si>
  <si>
    <t>长沙中航信息技术有限公司</t>
  </si>
  <si>
    <t>2010-11-10</t>
  </si>
  <si>
    <t>50.096%</t>
  </si>
  <si>
    <t>783万元人民币</t>
  </si>
  <si>
    <t>2022-04-15</t>
  </si>
  <si>
    <t>长沙中航华自科技</t>
  </si>
  <si>
    <t>2019-03-18</t>
  </si>
  <si>
    <t>2021-12-10</t>
  </si>
  <si>
    <t>广东省广州市</t>
  </si>
  <si>
    <t>历史开庭公告</t>
  </si>
  <si>
    <t>该维度共68条数据，此次为您导出50条</t>
  </si>
  <si>
    <t>2022-07-07 14:30</t>
  </si>
  <si>
    <t>原告-华自科技股份有限公司
被告-湖南恒凯环保科技投资有限公司</t>
  </si>
  <si>
    <t>2022-06-16 09:00</t>
  </si>
  <si>
    <t>2022-05-23 14:30</t>
  </si>
  <si>
    <t>（2022）湘01民终5213号</t>
  </si>
  <si>
    <t>著作权权属、侵权</t>
  </si>
  <si>
    <t>当事人-华自科技股份有限公司</t>
  </si>
  <si>
    <t>2022-05-09 14:30</t>
  </si>
  <si>
    <t>2022-05-05 09:00</t>
  </si>
  <si>
    <t>原告-华自科技股份有限公司
被告-湖南烟叶复烤有限公司</t>
  </si>
  <si>
    <t>2022-04-11 09:00</t>
  </si>
  <si>
    <t>2022-02-23 09:00</t>
  </si>
  <si>
    <t>原告-湖南水发兴业科技有限公司
被告-华自科技股份有限公司</t>
  </si>
  <si>
    <t>2022-02-10 14:30</t>
  </si>
  <si>
    <t>原告-华自科技股份有限公司</t>
  </si>
  <si>
    <t>2022-02-09 09:00</t>
  </si>
  <si>
    <t>原告-谢某，陶某
被告-湘西鸿伟物流商贸有限公司
第三方-华自科技股份有限公司，吴某</t>
  </si>
  <si>
    <t>2022-01-26 09:00</t>
  </si>
  <si>
    <t>原告-山东德建高速集团有限公司
被告-华自科技股份有限公司</t>
  </si>
  <si>
    <t>2022-01-13 09:00</t>
  </si>
  <si>
    <t>2021-12-29 09:00</t>
  </si>
  <si>
    <t>（2021）湘0104民初14147号</t>
  </si>
  <si>
    <t>原告-广西承特变压器电气有限公司
被告-华自科技股份有限公司</t>
  </si>
  <si>
    <t>2021-12-06 09:00</t>
  </si>
  <si>
    <t>原告-曾某
被告-华自科技股份有限公司，水发兴业能源（珠海）有限公司，湖南格莱特新能源发展有限公司</t>
  </si>
  <si>
    <t>2021-10-21 09:00</t>
  </si>
  <si>
    <t>被告-华自科技股份有限公司</t>
  </si>
  <si>
    <t>湖南省长沙市岳麓区人民法院</t>
  </si>
  <si>
    <t>2021-09-03 09:00</t>
  </si>
  <si>
    <t>原告-山东米诺电力科技有限公司
被告-华自科技股份有限公司</t>
  </si>
  <si>
    <t>2021-07-12 09:00</t>
  </si>
  <si>
    <t>上诉人-桑顿新能源科技有限公司[驳回上诉]，华自科技股份有限公司[驳回上诉]</t>
  </si>
  <si>
    <t>2021-07-05 14:30</t>
  </si>
  <si>
    <t>原告-华自科技股份有限公司
被告-湖南湘帧科技发展有限责任公司</t>
  </si>
  <si>
    <t>2021-04-15 14:00</t>
  </si>
  <si>
    <t>原告-广东鸿源机电股份有限公司
被告-华自科技股份有限公司</t>
  </si>
  <si>
    <t>2021-03-03 14:30</t>
  </si>
  <si>
    <t>原告-华自科技股份有限公司
被告-烟台立盛电力工程有限公司，蓬莱市水务局</t>
  </si>
  <si>
    <t>2021-02-03 09:00</t>
  </si>
  <si>
    <t>原告-华自科技股份有限公司[部分支持]
被告-桑顿新能源科技有限公司[部分支持]</t>
  </si>
  <si>
    <t>湖南省湘潭市雨湖区人民法院</t>
  </si>
  <si>
    <t>2020-12-29 09:30</t>
  </si>
  <si>
    <t>原告-湖南赛隆药业（长沙）有限公司
被告-华自科技股份有限公司</t>
  </si>
  <si>
    <t>2020-12-16 09:30</t>
  </si>
  <si>
    <t>原告-华自科技股份有限公司
被告-平顶山市高鹰高压开关销售有限公司</t>
  </si>
  <si>
    <t>2020-12-11 09:00</t>
  </si>
  <si>
    <t>（2020）湘0104民初12088号</t>
  </si>
  <si>
    <t>原告-湖南耀辰环保科技有限公司[部分支持]
被告-华自科技股份有限公司[部分支持]</t>
  </si>
  <si>
    <t>2020-12-01 09:00</t>
  </si>
  <si>
    <t>2020-08-31 14:00</t>
  </si>
  <si>
    <t>（2020）湘0104民初1888号</t>
  </si>
  <si>
    <t>原告-江苏省五环水务工程有限公司[同意保全]
被告-华自科技股份有限公司[同意保全]</t>
  </si>
  <si>
    <t>2020-07-28 15:56</t>
  </si>
  <si>
    <t>（2020）湘0104民初2494号</t>
  </si>
  <si>
    <t>人格权纠纷</t>
  </si>
  <si>
    <t>原告-x*
被告-x*，华自科技股份有限公司，珠海兴业新能源科技有限公司</t>
  </si>
  <si>
    <t>2020-07-09 14:13</t>
  </si>
  <si>
    <t>（2020）湘0104民初7358号</t>
  </si>
  <si>
    <t>原告-顺特电气设备有限公司[同意保全]
被告-华自科技股份有限公司[同意保全]</t>
  </si>
  <si>
    <t>2020-05-08 14:17</t>
  </si>
  <si>
    <t>（2020）湘0104民初3139号</t>
  </si>
  <si>
    <t>定作合同纠纷</t>
  </si>
  <si>
    <t>原告-江苏省五环水务工程有限公司[败诉]
被告-华自科技股份有限公司[胜诉]</t>
  </si>
  <si>
    <t>2020-04-28 14:40</t>
  </si>
  <si>
    <t>（2019）川1113民初357号</t>
  </si>
  <si>
    <t>原告-乐山市金口河区永胜乡狮子电站[驳回对方上诉]
被告-华自科技股份有限公司[驳回上诉]</t>
  </si>
  <si>
    <t>2020-04-20 09:00</t>
  </si>
  <si>
    <t>2020-04-16 11:01</t>
  </si>
  <si>
    <t>（2020）湘0104民初1054号</t>
  </si>
  <si>
    <t>原告-广东广特电气股份有限公司[同意保全]
被告-华自科技股份有限公司[同意保全]</t>
  </si>
  <si>
    <t>2020-04-14 14:00</t>
  </si>
  <si>
    <t>（2020）湘0104民初2377号</t>
  </si>
  <si>
    <t>原告-华自科技股份有限公司[胜诉]
被告-昌吉连上电力发展有限公司[败诉]</t>
  </si>
  <si>
    <t>2020-04-07 14:00</t>
  </si>
  <si>
    <t>原告-曾某
被告-华自科技股份有限公司</t>
  </si>
  <si>
    <t>2020-01-08 09:30</t>
  </si>
  <si>
    <t>（2019）湘01民终13637号</t>
  </si>
  <si>
    <t>买卖合同</t>
  </si>
  <si>
    <t>当事人-华自科技股份有限公司[败诉]</t>
  </si>
  <si>
    <t>2019-12-30 15:00</t>
  </si>
  <si>
    <t>（2019）粤0204民初2679号</t>
  </si>
  <si>
    <t>原告-华自科技股份有限公司
被告-广东鸿源众力发电设备有限公司</t>
  </si>
  <si>
    <t>韶关市浈江区人民法院</t>
  </si>
  <si>
    <t>2019-11-06 14:12</t>
  </si>
  <si>
    <t>（2019）湘0102民初13771号</t>
  </si>
  <si>
    <t>原告-华自科技股份有限公司[败诉]
被告-长沙市房地产开发有限公司[胜诉]
第三方-湖南宇成投资集团有限公司</t>
  </si>
  <si>
    <t>长沙市芙蓉区人民法院</t>
  </si>
  <si>
    <t>2019-10-11 15:30</t>
  </si>
  <si>
    <t>原告-华自科技股份有限公司[败诉]
被告-长沙市房地产开发有限公司[胜诉]</t>
  </si>
  <si>
    <t>2019-09-18 09:00</t>
  </si>
  <si>
    <t>（2019）湘0104民初11916号</t>
  </si>
  <si>
    <t>原告-华自科技股份有限公司[胜诉]
被告-湖南润沅新材料有限公司[败诉]</t>
  </si>
  <si>
    <t>2019-09-04 15:03</t>
  </si>
  <si>
    <t>（2019）湘0302民初2494号</t>
  </si>
  <si>
    <t>原告-华自科技股份有限公司[达成调解]
被告-泰富国际工程有限公司[达成调解]</t>
  </si>
  <si>
    <t>2019-08-26 14:35</t>
  </si>
  <si>
    <t>（2019）川1722民初2006号</t>
  </si>
  <si>
    <t>原告-宣汉县白岩滩水库工程管理中心[部分支持]
被告-华自科技股份有限公司[部分支持]</t>
  </si>
  <si>
    <t>宣汉县人民法院</t>
  </si>
  <si>
    <t>2019-08-20 15:01</t>
  </si>
  <si>
    <t>（2019）湘0104民初8527号</t>
  </si>
  <si>
    <t>原告-华自科技股份股份有限公司
被告-古蔺县双沙电厂[部分支持]</t>
  </si>
  <si>
    <t>2019-08-12 09:53</t>
  </si>
  <si>
    <t>（2019）湘0104民初8166号</t>
  </si>
  <si>
    <t>劳动合同纠纷</t>
  </si>
  <si>
    <t>原告-曾向军
被告-华自科技股份有限公司[败诉]</t>
  </si>
  <si>
    <t>2019-07-16 09:59</t>
  </si>
  <si>
    <t>2019-07-11 14:43</t>
  </si>
  <si>
    <t>（2019）湘0104民初7409号</t>
  </si>
  <si>
    <t>原告-华自科技股份有限公司[胜诉]
被告-沅江纸业有限责任公司[败诉]</t>
  </si>
  <si>
    <t>2019-06-28 14:00</t>
  </si>
  <si>
    <t>（2018）湘0124民初4768号</t>
  </si>
  <si>
    <t>原告-华自科技股份有限公司[驳回对方上诉]
被告-妙盛动力科技有限公司[驳回上诉]</t>
  </si>
  <si>
    <t>宁乡县人民法院</t>
  </si>
  <si>
    <t>2019-06-10 09:43</t>
  </si>
  <si>
    <t>（2019）湘0104民初3776号</t>
  </si>
  <si>
    <t>原告-苏州慧敏自动化系统科技有限公司[胜诉]
被告-华自科技股份有限公司[败诉]</t>
  </si>
  <si>
    <t>2019-06-10 09:00</t>
  </si>
  <si>
    <t>（2018）湘0104民初3776号</t>
  </si>
  <si>
    <t>原告-苏州慧敏自动化系统科技有限公司
被告-华自科技股份有限公司</t>
  </si>
  <si>
    <t>2019-06-06 09:30</t>
  </si>
  <si>
    <t>原告-华自科技股份有限公司[败诉]
被告-苏州慧敏自动化系统科技有限公司[胜诉]</t>
  </si>
  <si>
    <t>2019-05-09 13:30</t>
  </si>
  <si>
    <t>历史裁判文书</t>
  </si>
  <si>
    <t>该维度共108条数据，此次为您导出50条</t>
  </si>
  <si>
    <t>承揽合同纠纷二审法律文书</t>
  </si>
  <si>
    <t>上诉人-华自科技股份有限公司[驳回上诉]
上诉人-桑顿新能源科技有限公司[驳回上诉]</t>
  </si>
  <si>
    <t>828,800.00</t>
  </si>
  <si>
    <t>驳回上诉，维持原判。\r\n二审案件受理费30588元，由华自科技股份有限公司负担30538元，由桑顿新能源科技有限公司负担50元。\r\n本判决为终审判决。</t>
  </si>
  <si>
    <t>2022-01-12</t>
  </si>
  <si>
    <t>申请执行人-黄某
被执行人-华自科技股份有限公司</t>
  </si>
  <si>
    <t>1,138,362.00</t>
  </si>
  <si>
    <t>长沙仲裁委员会（2021）长仲裁字第410号裁决所确定的义务已执行完毕，根据最高人民法院《关于执行案件立案、结案问题的意见》第十五条之规定，该案按主动履行完毕结案。</t>
  </si>
  <si>
    <t>2021-12-18</t>
  </si>
  <si>
    <t>一、被告桑顿新能源科技有限公司于本判决生效之日起十日内向原告华自科技股份有限公司支付货款人民币828800元及违约金（违约金以828800元为基数，自2021年1月11日起按年利率3.85%的利率标准计算至被告付清货款之日止）；\r\n二、驳回原告华自科技股份有限公司的其他诉讼请求。\r\n如果未按判决指定的期间履行给付金钱义务，应当依照《中华人民共和国民事诉讼法》第二百五十三条之规定，加倍支付迟延履行期间的债务利息。\r\n本案受理费31408元，减半收取15704元，由被告桑顿新能源科技有限公司负担4231元，由原告华自科技股份有限公司负担11473元。\r\n如不服本判决，可在判决书送达之日起十五日内向本院递交上诉状，并按对方当事人的人数提出副本，上诉于湖南省湘潭市中级人民法院。</t>
  </si>
  <si>
    <t>2021-11-27</t>
  </si>
  <si>
    <t>（2021）湘01民终7822号</t>
  </si>
  <si>
    <t>上诉人-华自科技股份有限公司[部分支持]
被上诉人-湖南耀辰环保科技有限公司[部分支持]</t>
  </si>
  <si>
    <t>138,000.00</t>
  </si>
  <si>
    <t>一、维持湖南省长沙市岳麓区人民法院（2020）湘0104民初12088号民事判决第一项、第二项；\r\n二、撤销湖南省长沙市岳麓区人民法院（2020）湘0104民初12088号民事判决第三项；\r\n三、湖南耀辰环保科技有限公司于本判决生效之日起十日内支付华自科技股份有限公司违约金138000元；\r\n四、驳回华自科技股份有限公司的其他诉讼请求。\r\n如果未按本判决指定的期间履行给付金钱义务，应当依照《中华人民共和国民事诉讼法》第二百五十三条之规定，加倍支付迟延履行期间的债务利息。\r\n本判决书生效后，义务人应在履行期限内主动履行其义务，如逾期未履行的，权利人可向法院申请强制执行，申请执行期限为二年，逾期未申请的，不予立案执行。\r\n一审案件受理费26480元，减半收取13240元，由湖南耀辰环保科技有限公司负担2240元，华自科技股份有限公司负担11000元；一审反诉案件受理费6434元，减半收取3217元，由湖南耀辰环保科技有限公司负担1290元，华自科技股份有限公司负担1927元。二审案件受理费24833.6元，由湖南耀辰环保科技有限公司负担1670元，华自科技股份有限公司负担23163.6元。\r\n本判决为终审判决。</t>
  </si>
  <si>
    <t>2021-08-04</t>
  </si>
  <si>
    <t>其他案由法律文书</t>
  </si>
  <si>
    <t>（2021）湘0104执5420号</t>
  </si>
  <si>
    <t>申请执行人-华自科技股份有限公司[同意执行]
被执行人-湖南东方矿业有限责任公司[同意执行]</t>
  </si>
  <si>
    <t>790,806.00</t>
  </si>
  <si>
    <t>冻结、划拨被执行人湖南东方矿业有限责任公司银行存款790806元；或扣留、提取被执行人应得收入790806元；或查封、扣押、冻结被执行人价值相当的其他财产。\r\n本裁定立即执行。</t>
  </si>
  <si>
    <t>2021-08-16</t>
  </si>
  <si>
    <t>申请撤销仲裁裁决法律文书</t>
  </si>
  <si>
    <t>申请人-华自科技股份有限公司
被申请人-湖南湘帧科技发展有限责任公司</t>
  </si>
  <si>
    <t>946,067.00</t>
  </si>
  <si>
    <t>驳回申请人华自科技股份有限公司的申请。\r\n申请费400元，由申请人华自科技股份有限公司负担。</t>
  </si>
  <si>
    <t>一般人格权纠纷一审法律文书</t>
  </si>
  <si>
    <t>一般人格权纠纷</t>
  </si>
  <si>
    <t>原告-曾某[败诉]
被告-王某[胜诉],被告-永发兴业能源（珠海）有限公司[胜诉],被告-华自科技股份有限公司[胜诉]</t>
  </si>
  <si>
    <t>驳回原告曾**的全部诉讼请求。\r\n本案案件受理费减半收取80元，由原告曾**负担。\r\n如不服本判决，可以在判决书送达之日起十五日内，向本院递交上诉状，并按照对方当事人或者代表人的人数提出副本，上诉于湖南省长沙市中级人民法院。</t>
  </si>
  <si>
    <t>2020-09-07</t>
  </si>
  <si>
    <t>2021-05-26</t>
  </si>
  <si>
    <t>荣誉权纠纷二审法律文书</t>
  </si>
  <si>
    <t>上诉人-曾某[驳回上诉]
被上诉人-华自科技股份有限公司[驳回对方上诉],被上诉人-水发兴业能源（珠海）有限公司[驳回对方上诉],被上诉人-王某[驳回对方上诉]</t>
  </si>
  <si>
    <t>驳回上诉，维持原判。\r\n二审案件受理费160元，由曾**负担。\r\n本判决为终审判决。</t>
  </si>
  <si>
    <t>原告-江苏国星电器有限公司[撤诉]
被告-华自科技股份有限公司[原告撤诉]</t>
  </si>
  <si>
    <t>准许原告江苏国星电器有限公司撤诉。\r\n本案案件受理费减半收取862元，由原告江苏国星电器有限公司负担。</t>
  </si>
  <si>
    <t>2021-04-29</t>
  </si>
  <si>
    <t>建设工程施工合同纠纷二审法律文书</t>
  </si>
  <si>
    <t>上诉人-华自科技股份有限公司[驳回上诉]
被上诉人-烟台立盛电力工程有限公司[驳回对方上诉],被上诉人-蓬莱市水务局[驳回对方上诉]</t>
  </si>
  <si>
    <t>113,067.29</t>
  </si>
  <si>
    <t>驳回上诉，维持原判。\r\n二审案件受理费3786元，由上诉人华自科技股份有限公司负担。\r\n本判决为终审判决。</t>
  </si>
  <si>
    <t>2021-04-07</t>
  </si>
  <si>
    <t>建设工程施工合同纠纷法律文书</t>
  </si>
  <si>
    <t>（2020）湘民申4454号</t>
  </si>
  <si>
    <t>再审申请人-长沙市房地产开发有限公司
被申请人-华自科技股份有限公司</t>
  </si>
  <si>
    <t>驳回长沙市房地产开发有限公司的再审申请。</t>
  </si>
  <si>
    <t>2021-02-02</t>
  </si>
  <si>
    <t>申请执行人-华自科技股份有限公司[终结执行]
被执行人-乐山市金口河区永胜乡狮子电站[终结执行]</t>
  </si>
  <si>
    <t>1,116,230.39</t>
  </si>
  <si>
    <t>终结本次执行程序。\n 申请执行人发现被执行人有可供执行的财产的，可以再次申请执行。\n 本裁定送达后立即生效。</t>
  </si>
  <si>
    <t>2021-01-27</t>
  </si>
  <si>
    <t>（2020）湘0104民初9946号</t>
  </si>
  <si>
    <t>本案转为普通程序审理。</t>
  </si>
  <si>
    <t>2020-09-21</t>
  </si>
  <si>
    <t>2020-12-28</t>
  </si>
  <si>
    <t>（2020）湘0104民初9946号之一</t>
  </si>
  <si>
    <t>原告-华自科技股份有限公司[撤诉]
被告-平顶山市高鹰高压开关销售有限公司[原告撤诉]</t>
  </si>
  <si>
    <t>准许原告华自科技股份有限公司撤回对被告平顶山市高鹰高压开关销售有限公司的起诉。\n案件受理费减半收取1232元，由原告华自科技股份有限公司负担。\n本裁定书送达后立即生效。</t>
  </si>
  <si>
    <t>2020-12-03</t>
  </si>
  <si>
    <t>（2020）湘0124执3201号</t>
  </si>
  <si>
    <t>申请执行人-华自科技股份有限公司[终结执行]
被执行人-妙盛动力科技有限公司[终结执行]</t>
  </si>
  <si>
    <t>1,352,174.00</t>
  </si>
  <si>
    <t>终结本次执行程序。\n申请执行人发现被执行人有可供执行财产的，可以再次申请执行。再次申请执行不受申请执行时效期间的限制。\n本裁定送达后即发生法律效力。</t>
  </si>
  <si>
    <t>2020-10-15</t>
  </si>
  <si>
    <t>2020-12-09</t>
  </si>
  <si>
    <t>当事人-华自科技股份有限公司
当事人-顿新能源科技（长沙）有限公司</t>
  </si>
  <si>
    <t>人民法院认为不宜在互联网公布的其他情形</t>
  </si>
  <si>
    <t>原告-曾某
被告-华自科技股份有限公司,被告-王某,被告-珠海兴业新能源科技有限公司</t>
  </si>
  <si>
    <t>驳回被告王**对本案管辖权的异议。\n如不服本裁定，可在裁定书送达之日起十日内，向本院递交上诉状，并按对方当事人的人数提出副本，上诉于湖南省长沙市中级人民法院。</t>
  </si>
  <si>
    <t>2020-03-25</t>
  </si>
  <si>
    <t>2020-10-12</t>
  </si>
  <si>
    <t>合同纠纷法律文书</t>
  </si>
  <si>
    <t>申请执行人-华自科技股份有限公司[终结执行]
被执行人-湖南华金矿业设备有限公司[终结执行]</t>
  </si>
  <si>
    <t>115,642.00</t>
  </si>
  <si>
    <t>2020-09-30</t>
  </si>
  <si>
    <t>申请人-江苏省五环水务工程有限公司[同意保全]
被申请人-华自科技股份有限公司[同意保全]</t>
  </si>
  <si>
    <t>49,050.00</t>
  </si>
  <si>
    <t>一、冻结被申请人华自科技股份有限公司银行存款49050元，如账户上无款或余额不足，则存入不限，取款冻结，直至冻足上述款项后方可支取；\n二、如被申请人华自科技股份有限公司账上无款或余额不足，则查封、扣押被申请人价值相当的其他财产。\n本裁定书送达后立即执行。\n如不服本裁定，可以向本院申请复议一次。复议期间不停止本裁定的执行。</t>
  </si>
  <si>
    <t>（2020）湘0104民初1888号之一</t>
  </si>
  <si>
    <t>原告-江苏省五环水务工程有限公司
被告-华自科技股份有限公司</t>
  </si>
  <si>
    <t>驳回被告华自科技股份有限公司的管辖权异议。\n如不服本裁定，可在裁定书送达之日起十日内，向本院递交上诉状，并按对方当事人的人数提出副本，上诉于湖南省长沙市中级人民法院。</t>
  </si>
  <si>
    <t>2020-03-26</t>
  </si>
  <si>
    <t>（2020）湘01执1682号</t>
  </si>
  <si>
    <t>申请执行人-华自科技股份有限公司
被执行人-湖南华金矿业设备有限公司</t>
  </si>
  <si>
    <t>将本院执行的（2019）京仲调字第1045号调解书即申请执行人华自科技股份有限公司与被执行人湖南华金矿业设备有限公司合同纠纷一案指定到长沙市雨花区人民法院执行。\n本裁定送达后即发生法律效力。</t>
  </si>
  <si>
    <t>2020-09-01</t>
  </si>
  <si>
    <t>申请人-顺特电气设备有限公司[同意保全]
被申请人-华自科技股份有限公司[同意保全]</t>
  </si>
  <si>
    <t>1,887,639.10</t>
  </si>
  <si>
    <t>冻结被申请人华自科技股份有限公司名下银行存款1887639.1元（若账上余额不足，则存入不限，取款冻结，直至冻足1887639.1元，余额方可支取），或查封、扣押、冻结被申请人华自科技股份有限公司名下其他等额财产。\n本裁定立即开始执行。\n如不服本裁定，可以自收到裁定书之日起五日内向本院申请复议一次。复议期间不停止裁定的执行。</t>
  </si>
  <si>
    <t>2020-07-06</t>
  </si>
  <si>
    <t>2020-08-27</t>
  </si>
  <si>
    <t>（2020）湘0104民初7358号之一</t>
  </si>
  <si>
    <t>申请人-顺特电气设备有限公司[申请解冻]
被申请人-华自科技股份有限公司[解除冻结]</t>
  </si>
  <si>
    <t>解除冻结被申请人华自科技股份有限公司名下在中国建设银行长沙福元支行开设的银行账号为43×××79银行存款1887639.1元。\n本裁定立即开始执行。\n如不服本裁定，可以自收到裁定书之日起五日内向本院申请复议一次。复议期间不停止裁定的执行。</t>
  </si>
  <si>
    <t>2020-08-05</t>
  </si>
  <si>
    <t>（2020）湘0302执527号</t>
  </si>
  <si>
    <t>申请执行人-华自科技股份有限公司[终结执行]
被执行人-泰富国际工程有限公司[终结执行]</t>
  </si>
  <si>
    <t>690,635.00</t>
  </si>
  <si>
    <t>终结本次执行程序。\n终结本次执行程序后，申请执行人享有要求被执行人继续履行债务的权利，被执行人负有继续向申请执行人履行债务的义务。申请执行人发现被执行人有可供执行财产的，可以再次申请执行，不受申请执行时效期间的限制。被执行人自动履行完毕的，当事人应当及时告知本院。\n本裁定送达后即发生法律效力。</t>
  </si>
  <si>
    <t>2020-07-30</t>
  </si>
  <si>
    <t>2020-08-03</t>
  </si>
  <si>
    <t>（2020）湘0104执1402号之一</t>
  </si>
  <si>
    <t>申请执行人-华自科技股份有限公司[终结执行]
被执行人-湖南润沅新材料有限公司[终结执行]</t>
  </si>
  <si>
    <t>248,995.80</t>
  </si>
  <si>
    <t>终结本次执行程序。\n申请执行人发现被执行人有可供执行财产的，可以再次申请执行。再次申请执行不受申请执行时效期间的限制\n本裁定送达后即发生法律效力。</t>
  </si>
  <si>
    <t>2020-06-23</t>
  </si>
  <si>
    <t>2020-07-27</t>
  </si>
  <si>
    <t>（2020）湘01民辖终424号</t>
  </si>
  <si>
    <t>上诉人-华自科技股份有限公司[驳回上诉]
被上诉人-江苏省五环水务工程有限公司[驳回对方上诉]</t>
  </si>
  <si>
    <t>驳回上诉，维持原裁定。\n本裁定为终审裁定。</t>
  </si>
  <si>
    <t>2020-07-14</t>
  </si>
  <si>
    <t>（2020）湘0104执4019号</t>
  </si>
  <si>
    <t>申请执行人-华自科技股份有限公司[终结执行]
被执行人-昌吉连上电力发展有限公司[终结执行]</t>
  </si>
  <si>
    <t>1,387,375.77</t>
  </si>
  <si>
    <t>终结本次执行程序。\n申请执行人发现被执行人有可供执行财产的，可以再次申请执行。再次申请执行不受申请执行时效期间的限制。\n本裁定送达后立即生效。</t>
  </si>
  <si>
    <t>2020-07-03</t>
  </si>
  <si>
    <t>原告-乐山市金口河区永胜乡狮子电站[撤诉]
被告-华自科技股份有限公司[原告撤诉]</t>
  </si>
  <si>
    <t>准许原告乐山市金口河区永胜乡狮子电站撤诉。\n 案件受理费1050元，减半收取525元，由原告乐山市金口河区永胜乡狮子电站负担。原告乐山市金口河区永胜乡狮子电站预交的案件受理费8742元，在本民事裁定书生效后退还原告乐山市金口河区永胜乡狮子电站8217元。</t>
  </si>
  <si>
    <t>2020-05-09</t>
  </si>
  <si>
    <t>（2020）湘0104执1402号</t>
  </si>
  <si>
    <t>申请执行人-华自科技股份有限公司[同意执行]
被执行人-湖南润沅新材料有限公司[同意执行]</t>
  </si>
  <si>
    <t>263,582.00</t>
  </si>
  <si>
    <t>冻结、划拨被执行人湖南润沅新材料有限公司的银行存款263582元；或扣留、提取其应得收入263582元，或查封、扣押、冻结其价值相当的其他财产；\n本裁定立即执行。</t>
  </si>
  <si>
    <t>2020-03-18</t>
  </si>
  <si>
    <t>2020-06-28</t>
  </si>
  <si>
    <t>（2020）湘0111执1437号之一</t>
  </si>
  <si>
    <t>申请执行人-华自科技股份有限公司[终结执行]
被执行人-张某[终结执行]</t>
  </si>
  <si>
    <t>712,800.00</t>
  </si>
  <si>
    <t>2020-06-24</t>
  </si>
  <si>
    <t>一般人格权纠纷二审法律文书</t>
  </si>
  <si>
    <t>（2020）湘01民辖终332号</t>
  </si>
  <si>
    <t>上诉人-王某[驳回上诉]
被上诉人-华自科技股份有限公司[驳回对方上诉],被上诉人-曾某[驳回对方上诉],被上诉人-珠海兴业新能源科技有限公司[驳回对方上诉]</t>
  </si>
  <si>
    <t>2020-06-15</t>
  </si>
  <si>
    <t>定作合同纠纷一审法律文书</t>
  </si>
  <si>
    <t>驳回原告江苏省五环水务工程有限公司的全部诉讼请求。\n本案案件受理费减半收取215元，由原告江苏省五环水务工程有限公司负担。\n如不服本判决，可在判决书送达之日起十五日内，向本院递交上诉状，并按对方当事人人数提出副本，上诉于湖南省长沙市中级人民法院。</t>
  </si>
  <si>
    <t>2020-06-02</t>
  </si>
  <si>
    <t>2020-06-12</t>
  </si>
  <si>
    <t>（2020）湘01民终3113号</t>
  </si>
  <si>
    <t>上诉人-华自科技股份有限公司[胜诉]
被上诉人-长沙市房地产开发有限公司[败诉]</t>
  </si>
  <si>
    <t>200,000.00</t>
  </si>
  <si>
    <t>一、撤销湖南省长沙市芙蓉区人民法院（2019）湘0102民初13771号民事判决；\n二、限长沙市房地产开发有限公司于本判决发生法律效力之日起10日内支付华自科技股份有限公司工程款200000元。\n如果未按本判决指定的期间履行给付金钱义务，应当依照《中华人民共和国民事诉讼法》第二百五十三条之规定，加倍支付迟延履行期间的债务利息。\n本案一审受理费4300元，减半收取2150元，由长沙市房地产开发有限公司负担；二审受理费4300元，由长沙市房地产开发有限公司负担。\n本判决为终审判决。</t>
  </si>
  <si>
    <t>2020-05-28</t>
  </si>
  <si>
    <t>2020-06-10</t>
  </si>
  <si>
    <t>建设工程施工合同纠纷一审法律文书</t>
  </si>
  <si>
    <t>驳回原告华自科技股份有限公司的诉讼请求。\n本案受理费4300元，减半收取2150元，由原告华自科技股份有限公司负担。\n如不服本判决，可在判决书送达之日起十五日内，通过本院提交上诉状，并按对方当事人的人数提出副本，上诉于湖南省长沙市中级人民法院。</t>
  </si>
  <si>
    <t>2019-11-11</t>
  </si>
  <si>
    <t>申请人-广东广特电气股份有限公司[同意保全]
被申请人-华自科技股份有限公司[同意保全]</t>
  </si>
  <si>
    <t>202,643.11</t>
  </si>
  <si>
    <t>一、冻结被申请人华自科技股份有限公司名下银行账户存款202643.11元；\n二、若被申请人华自科技股份有限公司名下银行账户上无款或存款余额不足，则查封、扣押被申请人价值等额的其他财产。\n三、如申请人广东广特电气股份有限公司的财产保全申请有误，则由申请人赔偿被申请人因财产保全所造成的经济损失，担保人中国大地财产保险股份有限公司长沙中心支公司在承保限额内承担连带赔偿责任。\n案件申请费1533元，由申请人预交，结案后由败诉方负担。\n本裁定书送达后立即执行。\n如不服本裁定，可自收到裁定书之日起五日内向本院申请复议一次，复议期间不停止裁定的执行。</t>
  </si>
  <si>
    <t>2020-03-11</t>
  </si>
  <si>
    <t>2020-05-29</t>
  </si>
  <si>
    <t>（2020）湘0104民初1054号之一</t>
  </si>
  <si>
    <t>申请人-广东广特电气股份有限公司
被申请人-华自科技股份有限公司</t>
  </si>
  <si>
    <t>解除本案所采取的全部财产保全措施。\n本裁定立即开始执行。\n如不服本裁定，可以自收到裁定书之日起五日内向本院申请复议一次。复议期间不停止裁定的执行。</t>
  </si>
  <si>
    <t>2020-05-18</t>
  </si>
  <si>
    <t>劳动合同纠纷二审法律文书</t>
  </si>
  <si>
    <t>（2019）湘01民终13318号</t>
  </si>
  <si>
    <t>上诉人-曾某[驳回上诉]
被上诉人-华自科技股份有限公司[驳回对方上诉]</t>
  </si>
  <si>
    <t>驳回上诉，维持原判。\n本案二审案件受理费10元，由曾**承担。\n本判决为终审判决。</t>
  </si>
  <si>
    <t>2019-12-25</t>
  </si>
  <si>
    <t>2020-05-14</t>
  </si>
  <si>
    <t>上诉人-华自科技股份有限公司[驳回上诉]
上诉人-苏州慧敏自动化系统科技有限公司[驳回上诉]</t>
  </si>
  <si>
    <t>驳回上诉，维持原判。\n二审案件受理费4335元，由慧敏公司负担169元，由华自公司负担4166元。\n本判决为终审判决。</t>
  </si>
  <si>
    <t>2020-01-06</t>
  </si>
  <si>
    <t>193,266.00</t>
  </si>
  <si>
    <t>一、限被告（反诉原告）华自科技股份有限公司于本判决生效之日起三日内支付原告（反诉被告）苏州慧敏自动化系统科技有限公司逾期付款违约金193266元；\n二、限原告（反诉被告）苏州慧敏自动化系统科技有限公司于本判决生效之日起三日内支付被告（反诉原告）华自科技股份有限公司延期交货违约金21525元。\n三、驳回原告（反诉被告）苏州慧敏自动化系统科技有限公司的其他诉讼请求。\n四、驳回被告（反诉原告）华自科技股份有限公司的其他反诉请求。\n如果未按本判决指定的期限履行给付金钱义务，应当按照《中华人民共和国民事诉讼法》第二百五十三条之规定，加倍支付迟延履行期间的债务利息。\n本诉案件受理费20254元，减半收取10127元，由原告（反诉被告）负担8987元，由被告（反诉原告）负担1140元；反诉案件受理费11279.9元，减半收取5639.95元，由原告（反诉原告）负担162元，由被告（反诉被告）负担5477.95元。\n如不服本判决，可在判决书送达之日起十五日内，向本院递交上诉状，并按对方当事人的人数提出副本，上诉于湖南省长沙市中级人民法院。</t>
  </si>
  <si>
    <t>2019-07-03</t>
  </si>
  <si>
    <t>1,150,689.00</t>
  </si>
  <si>
    <t>限被告昌吉连上电力发展有限公司在本判决生效之日起三日内给付原告华自科技股份有限公司货款115.0689万元，并以115.0689万元为基数，按照年利率6%为标准计算，支付自2017年3月10日起至实际清偿之日止的利息。\n本案案件受理费8275元，由被告昌吉连上电力发展有限公司负担。\n如果被告昌吉连上电力发展有限公司未按本判决书指定的期间履行给付金钱义务，应当依照《中华人民共和国民事诉讼法》第二百五十三条之规定，加倍支付迟延履行期间的债务利息。\n如不服本判决，可在判决书送达之日起十五日内向本院递交上诉状，并按对方当事人的人数提出副本，上诉于湖南省长沙市中级人民法院。</t>
  </si>
  <si>
    <t>2020-04-15</t>
  </si>
  <si>
    <t>（2020）湘01民终141号</t>
  </si>
  <si>
    <t>上诉人-妙盛动力科技有限公司[驳回上诉]
被上诉人-华自科技股份有限公司[驳回对方上诉]</t>
  </si>
  <si>
    <t>1,334,000.00</t>
  </si>
  <si>
    <t>驳回上诉，维持原判。\n本案二审案件受理费18174元，由妙盛动力科技有限公司负担。\n本判决为终审判决。</t>
  </si>
  <si>
    <t>2020-03-30</t>
  </si>
  <si>
    <t>2020-04-28</t>
  </si>
  <si>
    <t>（2020）川11民辖终19号</t>
  </si>
  <si>
    <t>上诉人-华自科技股份有限公司[驳回上诉]
被上诉人-乐山市金口河区永胜乡狮子电站[驳回对方上诉]</t>
  </si>
  <si>
    <t>驳回上诉，维持原裁定。\n 本裁定为终审裁定。</t>
  </si>
  <si>
    <t>2020-04-24</t>
  </si>
  <si>
    <t>委托合同纠纷法律文书</t>
  </si>
  <si>
    <t>（2019）湘0111执5670号</t>
  </si>
  <si>
    <t>委托合同纠纷</t>
  </si>
  <si>
    <t>原告-华自科技股份有限公司
被告-宋某</t>
  </si>
  <si>
    <t>经被执行人自动履行，已全部执行完毕。根据最高人民法院《关于执行案件立案、结案问题的意见》第十五条之规定，该案按执行完毕方式结案。</t>
  </si>
  <si>
    <t>2019-12-22</t>
  </si>
  <si>
    <t>2020-01-02</t>
  </si>
  <si>
    <t>（2019）川1113执128号之一</t>
  </si>
  <si>
    <t>申请人-华自科技股份有限公司[终结执行]
被执行人-乐山市金口河区永胜乡狮子电站[终结执行]</t>
  </si>
  <si>
    <t>1,475,171.60</t>
  </si>
  <si>
    <t>终结本次执行程序。\n如被执行人未按和解履行的，申请人可以再次申请执行。\n本裁定送达后立即生效。</t>
  </si>
  <si>
    <t>2019-12-02</t>
  </si>
  <si>
    <t>2019-12-18</t>
  </si>
  <si>
    <t>（2019）湘0111民初12538号</t>
  </si>
  <si>
    <t>原告-华自科技股份有限公司[达成调解]
被告-张某[达成调解]</t>
  </si>
  <si>
    <t>以调解方式结案的</t>
  </si>
  <si>
    <t>2019-12-10</t>
  </si>
  <si>
    <t>2019-12-17</t>
  </si>
  <si>
    <t>（2019）湘0104执恢2660号</t>
  </si>
  <si>
    <t>申请执行人-华自科技股份有限公司[同意执行]
被执行人-松潘县松川水电开发有限责任公司[同意执行]</t>
  </si>
  <si>
    <t>376,789.00</t>
  </si>
  <si>
    <t>冻结、划拨被执行人松潘县松川水电开发有限责任公司银行376789元；或扣留、提取被执行人松潘县松川水电开发有限责任公司应得收入376789元；或查封、扣押被执行人松潘县松川水电开发有限责任公司价值相当的其他财产；\n本裁定书送达后立即发生法律效力。</t>
  </si>
  <si>
    <t>2019-12-13</t>
  </si>
  <si>
    <t>（2019）湘0111执6264号之一</t>
  </si>
  <si>
    <t>申请执行人-华自科技股份有限公司[终结执行]
被执行人-湖南宏业电力安装有限公司[终结执行]</t>
  </si>
  <si>
    <t>685,445.00</t>
  </si>
  <si>
    <t>2019-12-09</t>
  </si>
  <si>
    <t>（2019）湘0104执5457号之一</t>
  </si>
  <si>
    <t>申请执行人-华自科技股份有限公司[终结执行]
被执行人-沅江纸业有限责任公司[终结执行]</t>
  </si>
  <si>
    <t>113,432.50</t>
  </si>
  <si>
    <t>2019-11-28</t>
  </si>
  <si>
    <t>2019-11-30</t>
  </si>
  <si>
    <t>劳动合同纠纷一审法律文书</t>
  </si>
  <si>
    <t>原告-曾向军[败诉]
被告-华自科技股份有限公司[不承担责任]</t>
  </si>
  <si>
    <t>驳回原告曾**的全部诉讼请求。\n案件受理费10元，减半收取5元，由原告曾**负担。\n如不服本判决，可以在判决书送达之日起十五日内，向本院递交上诉状，并按对方当事人的人数提出副本，上诉于湖南省长沙市中级人民法院。</t>
  </si>
  <si>
    <t>2019-09-12</t>
  </si>
  <si>
    <t>（2019）湘01执1761号</t>
  </si>
  <si>
    <t>申请执行人-华自科技股份有限公司
被执行人-湖南宏业电力安装有限公司</t>
  </si>
  <si>
    <t>将本院执行的（2018）长仲裁字第1484号裁决即申请执行人华自科技股份有限公司与被执行人湖南宏业电力安装有限公司买卖合同纠纷一案指定到长沙市雨花区人民法院执行。\n本裁定送达后即发生法律效力。</t>
  </si>
  <si>
    <t>2019-09-06</t>
  </si>
  <si>
    <t>2019-10-22</t>
  </si>
  <si>
    <t>历史法院公告</t>
  </si>
  <si>
    <t>该维度共6条数据</t>
  </si>
  <si>
    <t>原告：华自科技股份有限公司
被告：平顶山市高鹰高压开关销售有限公司</t>
  </si>
  <si>
    <t>（2016）闽0203民初3804号</t>
  </si>
  <si>
    <t>票据纠纷</t>
  </si>
  <si>
    <t>原告：涵葳（厦门）商贸有限公司
被告：霸州市亚美贸易有限公司、浙江来杰贸易有限公司、浙江佑速贸易有限公司、华自科技股份有限公司、湖南正泰电器销售有限公司、浙江正泰电器股份有限公司、乐清市创盈铜业有限公司、乐清市天浩气动元件有限公司
第三人：厦门农村商业银行股份有限公司思明支行</t>
  </si>
  <si>
    <t>厦门市思明区人民法院</t>
  </si>
  <si>
    <t>2017-06-29</t>
  </si>
  <si>
    <t>（2016）闽02民辖终633号</t>
  </si>
  <si>
    <t>原告：乐清市天浩气动元件有限公司、浙江正泰电器股份有限公司
被告：涵葳（厦门）商贸有限公司、霸州市亚美贸易有限公司、浙江来杰贸易有限公司、浙江佑速贸易有限公司、华自科技股份有限公司、湖南正泰电器销售有限公司、乐清市创盈铜业有限公司
第三人：厦门农村商业银行股份有限公司思明支行</t>
  </si>
  <si>
    <t>福建省厦门市中级人民法院</t>
  </si>
  <si>
    <t>2017-01-26</t>
  </si>
  <si>
    <t>原告：涵葳（厦门）商贸有限公司
被告：霸州市亚美贸易有限公司、浙江来杰贸易有限公司、浙江佑速贸易有限公司、华自科技股份有限公司、湖南正泰电器销售有限公司、乐淸市创盈铜业有限公司、乐清市天浩气功元件有限公司、浙江正泰电器股份有限公司
第三人：厦门农村商业股份有限公司思明支行</t>
  </si>
  <si>
    <t>2016-06-23</t>
  </si>
  <si>
    <t>申请公示催告</t>
  </si>
  <si>
    <t>被告：华自科技股份有限公司、哈尔滨大电机发电新技术有限公司</t>
  </si>
  <si>
    <t>长沙市开福区人民法院</t>
  </si>
  <si>
    <t>2015-06-28</t>
  </si>
  <si>
    <t>被告：深圳市锦铭科技有限公司、华自科技股份有限公司</t>
  </si>
  <si>
    <t>2014-09-14</t>
  </si>
  <si>
    <t>历史失信被执行人</t>
  </si>
  <si>
    <t>历史被执行人</t>
  </si>
  <si>
    <t>历史限制消费令</t>
  </si>
  <si>
    <t>历史知识产权出质</t>
  </si>
  <si>
    <t>历史终本案件</t>
  </si>
  <si>
    <t>历史股权冻结</t>
  </si>
  <si>
    <t>历史送达公告</t>
  </si>
  <si>
    <t>公告名称</t>
  </si>
  <si>
    <t>2024-02-27</t>
  </si>
  <si>
    <t>原告-东莞市尚景自动化设备有限公司
当事人-时代一汽动力电池有限公司
被告-深圳市精实机电科技有限公司、华自科技股份有限公司</t>
  </si>
  <si>
    <t>上诉人-吴某
被上诉人-陶某、华自科技股份有限公司、谢某、湘西鸿伟物流商贸有限公司</t>
  </si>
  <si>
    <t>原告-陶某、谢某
当事人-华自科技股份有限公司
被告-湘西鸿伟物流商贸有限公司</t>
  </si>
  <si>
    <t>原告-涵葳（厦门）商贸有限公司
当事人-厦门农村商业银行股份有限公司思明支行
被告-华自科技股份有限公司、浙江来杰贸易有限公司、浙江正泰电器股份有限公司、霸州市亚美贸易有限公司、浙江佑速贸易有限公司、乐清市创盈铜业有限公司、湖南正泰电器销售有限公司、乐清市天浩气动元件有限公司</t>
  </si>
  <si>
    <t>[福建]厦门市思明区人民法院</t>
  </si>
  <si>
    <t>原告-涵葳（厦门）商贸有限公司
当事人-元件有限公司
被告-华自科技股份有限公司、浙江来杰贸易有限公司、乐淸市创盈铜业有限公司、浙江正泰电器股份有限公司、乐清市天浩气功元件有限公司、霸州市亚美贸易有限公司、浙江佑速贸易有限公司、湖南正泰电器销售有限公司</t>
  </si>
  <si>
    <t>历史立案信息</t>
  </si>
  <si>
    <t>该维度共60条数据，此次为您导出50条</t>
  </si>
  <si>
    <t>2021-06-08</t>
  </si>
  <si>
    <t>2021-02-24</t>
  </si>
  <si>
    <t>上诉人-华自科技股份有限公司
被上诉人-烟台立盛电力工程有限公司、蓬莱市水务局</t>
  </si>
  <si>
    <t>2021-01-20</t>
  </si>
  <si>
    <t>原告-江苏国星电器有限公司
被告-华自科技股份有限公司</t>
  </si>
  <si>
    <t>2021-01-11</t>
  </si>
  <si>
    <t>原告-华自科技股份有限公司
被告-桑顿新能源科技有限公司</t>
  </si>
  <si>
    <t>原告-华自科技股份有限公司
被告-湖南华金矿业设备有限公司</t>
  </si>
  <si>
    <t>湖南省长沙市雨花区人民法院</t>
  </si>
  <si>
    <t>2020-08-07</t>
  </si>
  <si>
    <t>原告-华自科技股份有限公司
被告-泰富国际工程有限公司</t>
  </si>
  <si>
    <t>2020-06-01</t>
  </si>
  <si>
    <t>原告-华自科技股份有限公司
被告-昌吉连上电力发展有限公司</t>
  </si>
  <si>
    <t>原告-华自科技股份有限公司
被告-妙盛动力科技有限公司</t>
  </si>
  <si>
    <t>湖南省宁乡市人民法院</t>
  </si>
  <si>
    <t>2020-04-02</t>
  </si>
  <si>
    <t>2020-04-01</t>
  </si>
  <si>
    <t>原告-华自科技股份有限公司
被告-张某</t>
  </si>
  <si>
    <t>2020-03-17</t>
  </si>
  <si>
    <t>原告-华自科技股份有限公司
被告-湖南润沅新材料有限公司</t>
  </si>
  <si>
    <t>2020-03-12</t>
  </si>
  <si>
    <t>原告-曾某
被告-永发兴业能源（珠海）有限公司、王某、华自科技股份有限公司</t>
  </si>
  <si>
    <t>2020-03-10</t>
  </si>
  <si>
    <t>2020-03-09</t>
  </si>
  <si>
    <t>上诉人-华自科技股份有限公司
被上诉人-长沙市房地产开发有限公司
第三人-湖南宇成投资集团有限责任公司</t>
  </si>
  <si>
    <t>上诉人-妙盛动力科技有限公司
被上诉人-华自科技股份有限公司</t>
  </si>
  <si>
    <t>2019-11-13</t>
  </si>
  <si>
    <t>原告-乐山市金口河区永胜乡狮子电站
被告-华自科技股份有限公司</t>
  </si>
  <si>
    <t>2019-11-04</t>
  </si>
  <si>
    <t>原告-华自科技股份有限公司
被告-湖南宏业电力安装有限公司</t>
  </si>
  <si>
    <t>2019-10-08</t>
  </si>
  <si>
    <t>原告-华自科技股份有限公司
被告-沅江纸业有限责任公司</t>
  </si>
  <si>
    <t>2019-09-09</t>
  </si>
  <si>
    <t>原告-华自科技股份有限公司
被告-长沙市房地产开发有限公司
第三人-湖南宇成投资集团有限责任公司</t>
  </si>
  <si>
    <t>湖南省长沙市芙蓉区人民法院</t>
  </si>
  <si>
    <t>2019-08-21</t>
  </si>
  <si>
    <t>2019-08-19</t>
  </si>
  <si>
    <t>2019-07-08</t>
  </si>
  <si>
    <t>（2019）川11民终923号</t>
  </si>
  <si>
    <t>上诉人-华自科技股份有限公司
第三人-乐山市金口河区永胜乡狮子电站</t>
  </si>
  <si>
    <t>乐山市中级人民法院</t>
  </si>
  <si>
    <t>2019-07-01</t>
  </si>
  <si>
    <t>原告-华自科技股份有限公司
被告-古蔺县双沙电厂</t>
  </si>
  <si>
    <t>2019-06-14</t>
  </si>
  <si>
    <t>2019-06-06</t>
  </si>
  <si>
    <t>原告-宣汉县白岩滩水库工程管理中心
被告-华自科技股份有限公司</t>
  </si>
  <si>
    <t>2019-06-03</t>
  </si>
  <si>
    <t>2019-05-06</t>
  </si>
  <si>
    <t>（2019）湘0104执1500号之一</t>
  </si>
  <si>
    <t>原告-华自科技股份有限公司
被告-西昌市云和实业有限公司</t>
  </si>
  <si>
    <t>2019-03-04</t>
  </si>
  <si>
    <t>（2019）湘01民特59号</t>
  </si>
  <si>
    <t>原告-湖南宏业电力安装有限公司
被告-华自科技股份有限公司</t>
  </si>
  <si>
    <t>2018-10-24</t>
  </si>
  <si>
    <t>（2018）湘01民终9757号</t>
  </si>
  <si>
    <t>上诉人-华自科技股份有限公司
被上诉人-中联重科物料输送设备有限公司</t>
  </si>
  <si>
    <t>2018-10-17</t>
  </si>
  <si>
    <t>（2018）京01民终8833号</t>
  </si>
  <si>
    <t>上诉人-北京海澄华图科技有限公司
被上诉人-华自科技股份有限公司</t>
  </si>
  <si>
    <t>北京市第一中级人民法院</t>
  </si>
  <si>
    <t>2018-10-09</t>
  </si>
  <si>
    <t>（2018）湘0104民初8630号</t>
  </si>
  <si>
    <t>原告-华自科技股份有限公司
被告-云南巧源水电投资有限公司</t>
  </si>
  <si>
    <t>2018-07-26</t>
  </si>
  <si>
    <t>原告-华自科技股份有限公司
被告-妙盛动力科技有限公司、妙盛新能源有限公司</t>
  </si>
  <si>
    <t>（2018）湘0104民初5152号</t>
  </si>
  <si>
    <t>原告-华自科技股份有限公司
被告-中联重科物料输送设备有限公司</t>
  </si>
  <si>
    <t>（2018）川1113民初259号</t>
  </si>
  <si>
    <t>原告-华自科技股份有限公司
被告-乐山市金口河区永胜乡狮子电站</t>
  </si>
  <si>
    <t>2018-05-11</t>
  </si>
  <si>
    <t>（2018）甘0103 民初1945号</t>
  </si>
  <si>
    <t>原告-兰州市市政工程服务中心
被告-华自科技股份有限公司</t>
  </si>
  <si>
    <t>兰州市七里河区人民法院</t>
  </si>
  <si>
    <t>（2018）甘0103民初1945号</t>
  </si>
  <si>
    <t>2018-03-08</t>
  </si>
  <si>
    <t>（2018）京0108民初14745号</t>
  </si>
  <si>
    <t>原告-华自科技股份有限公司
被告-北京海澄华图科技有限公司</t>
  </si>
  <si>
    <t>北京市海淀区人民法院</t>
  </si>
  <si>
    <t>2018-02-21</t>
  </si>
  <si>
    <t>（2018）湘0104民初1097号</t>
  </si>
  <si>
    <t>原告-华自科技股份有限公司
被告-张某、湖南铭星投资有限公司</t>
  </si>
  <si>
    <t>2018-02-06</t>
  </si>
  <si>
    <t>（2018）湘0104民初1007号</t>
  </si>
  <si>
    <t>原告-华自科技股份有限公司
被告-谷城宏泰气体有限公司</t>
  </si>
  <si>
    <t>2018-01-11</t>
  </si>
  <si>
    <t>（2018）湘0104民初321号</t>
  </si>
  <si>
    <t>原告-华自科技股份有限公司
被告-重庆新世纪电气有限公司</t>
  </si>
  <si>
    <t>2017-11-23</t>
  </si>
  <si>
    <t>（2017）湘0104民初9858号</t>
  </si>
  <si>
    <t>原告-华自科技股份有限公司
被告-松潘县松川水电开发有限责任公司</t>
  </si>
  <si>
    <t>2017-07-03</t>
  </si>
  <si>
    <t>（2017）湘1102执980号</t>
  </si>
  <si>
    <t>原告-华自科技股份有限公司
被告-永州零陵瑞翔新材料有限公司</t>
  </si>
  <si>
    <t>永州市零陵区人民法院</t>
  </si>
  <si>
    <t>2017-06-01</t>
  </si>
  <si>
    <t>（2017）湘0104民初4075号</t>
  </si>
  <si>
    <t>2017-05-23</t>
  </si>
  <si>
    <t>（2017）湘0105民催22号</t>
  </si>
  <si>
    <t>原告-江阴市鼎晟昌运输有限公司
被告-华自科技股份有限公司、浦发银行长沙分行营业部
第三人-湖南中天华拓工程技术有限公司</t>
  </si>
  <si>
    <t>成都市武侯区人民法院</t>
  </si>
  <si>
    <t>2017-03-17</t>
  </si>
  <si>
    <t>（2017）湘11民终578号</t>
  </si>
  <si>
    <t>上诉人-永州零陵瑞翔新材料有限公司
被上诉人-华自科技股份有限公司</t>
  </si>
  <si>
    <t>湖南省永州市中级人民法院</t>
  </si>
  <si>
    <t>2016-12-16</t>
  </si>
  <si>
    <t>（2016）川1113民初351号</t>
  </si>
  <si>
    <t>原告-乐山市金口河区永胜乡狮子电站
被告-华自科技股份有限公司、广元市水昌建设有限公司</t>
  </si>
  <si>
    <t>2016-12-14</t>
  </si>
  <si>
    <t>（2016）湘1102民初2946号</t>
  </si>
  <si>
    <t>历史破产案件</t>
  </si>
  <si>
    <t>历史经营异常-列入异常</t>
  </si>
  <si>
    <t>历史经营异常-移出异常</t>
  </si>
  <si>
    <t>历史行政处罚</t>
  </si>
  <si>
    <t>历史严重违法</t>
  </si>
  <si>
    <t>历史环保处罚</t>
  </si>
  <si>
    <t>历史股权出质</t>
  </si>
  <si>
    <t>历史动产抵押</t>
  </si>
  <si>
    <t>历史欠税公告</t>
  </si>
  <si>
    <t>历史土地抵押</t>
  </si>
  <si>
    <t>历史行政许可</t>
  </si>
  <si>
    <t>2023-05-19</t>
  </si>
  <si>
    <t>〔2023〕市政191</t>
  </si>
  <si>
    <t>华自充电梅溪湖步步高新天地项目</t>
  </si>
  <si>
    <t>长沙市岳麓区城市管理和综合执法局</t>
  </si>
  <si>
    <t>1、许可申请人因华自充电梅溪湖步步高新天地项目施工需要在枫林三路（详见附表）临时占用部分人行道(全新C类灰色水码围挡)。2、许可设置内容：详见附表。挖掘：详见附表。3、许可期限：自2023年5月20日至2023年6月30日止。</t>
  </si>
  <si>
    <t>2023-05-18</t>
  </si>
  <si>
    <t>〔2023〕园林130</t>
  </si>
  <si>
    <t>1、许可申请人因华自充电梅溪湖步步高新天地项目施工需要在枫林三路与东方红路交叉口西北角砍伐城市树木（全新C类灰色水码围挡）。2、许可设置内容：马尼拉草皮（4㎡）3、许可期限：施工时间自2023年5月20日至2023年6月30日止。</t>
  </si>
  <si>
    <t>2023-06-23</t>
  </si>
  <si>
    <t>DO40419</t>
  </si>
  <si>
    <t>华自科技股份有限公司行政许可决定文书</t>
  </si>
  <si>
    <t>长沙市岳麓区城管执法局</t>
  </si>
  <si>
    <t>装修围挡（70m*1.8m）1个</t>
  </si>
  <si>
    <t>2022-07-19</t>
  </si>
  <si>
    <t>2022-08-17</t>
  </si>
  <si>
    <t>〔2022〕市政242</t>
  </si>
  <si>
    <t>谷山中学配电工程</t>
  </si>
  <si>
    <t>1、许可申请人因谷山中学配电工程施工需要在岳麓区西二环与佑母塘路交汇东北角临时占用部分人行道（全新C类灰色水码围挡)。2、许可设置内容: 人行道长4米，宽2.3米，面积9.2平方米。挖掘：透水砖人行道：长1米，宽1.5米，面积1.5平方米。3、许可期限：自2022年7月20日至2022年8月17日。</t>
  </si>
  <si>
    <t>2018-04-17</t>
  </si>
  <si>
    <t>2023-04-16</t>
  </si>
  <si>
    <t>长沙市食品药品监督管理局高新分局</t>
  </si>
  <si>
    <t>热食类食品制售;</t>
  </si>
  <si>
    <t>2016-07-06</t>
  </si>
  <si>
    <t>2016-07-17</t>
  </si>
  <si>
    <t>长县城管许决字（2017）073号</t>
  </si>
  <si>
    <t>长沙县城市管理局</t>
  </si>
  <si>
    <t>湖南聚仁中药饮片有限公司红枫路北侧绿地共计15㎡。（永久占用2㎡设立电缆井，临时占用13㎡施工）</t>
  </si>
  <si>
    <t>2016-03-17</t>
  </si>
  <si>
    <t>长县城管许决字（2017）021号</t>
  </si>
  <si>
    <t>云箭集团双塘路绿化带共计4㎡（设K1环网柜）</t>
  </si>
  <si>
    <t>园占字（2016）第30号</t>
  </si>
  <si>
    <t>占用城市绿地（不含公园）许可证</t>
  </si>
  <si>
    <t>园占字（2016）第8号</t>
  </si>
  <si>
    <t>历史专利信息</t>
  </si>
  <si>
    <t>专利权人</t>
  </si>
  <si>
    <t>一种电路板功能检测装置</t>
  </si>
  <si>
    <t>CN202420790014.7</t>
  </si>
  <si>
    <t>2024-04-17</t>
  </si>
  <si>
    <t>CN222800849U</t>
  </si>
  <si>
    <t>彭建钉、李焕文、冯琰、李运华、阳宏伟</t>
  </si>
  <si>
    <t>华自能源技术（成都）有限公司</t>
  </si>
  <si>
    <t>一种驱动控制器</t>
  </si>
  <si>
    <t>CN202322522432.6</t>
  </si>
  <si>
    <t>CN221127119U</t>
  </si>
  <si>
    <t>2024-06-11</t>
  </si>
  <si>
    <t>古铖、郭铭铭、孙宏伟、贺玉林</t>
  </si>
  <si>
    <t>基于组态软件的报表生成方法、装置、设备和存储介质</t>
  </si>
  <si>
    <t>CN202010554339.1</t>
  </si>
  <si>
    <t>2020-06-17</t>
  </si>
  <si>
    <t>CN111680478B</t>
  </si>
  <si>
    <t>2024-04-16</t>
  </si>
  <si>
    <t>康明卫、陆平、张春燕</t>
  </si>
  <si>
    <t>PLC中顺序控制方法与系统</t>
  </si>
  <si>
    <t>审查项变更</t>
  </si>
  <si>
    <t>CN201610381908.0</t>
  </si>
  <si>
    <t>2016-06-01</t>
  </si>
  <si>
    <t>CN105867294B</t>
  </si>
  <si>
    <t>2018-09-11</t>
  </si>
  <si>
    <t>康明卫、苗洪雷、陆平、杨威</t>
  </si>
  <si>
    <t>历史网站备案</t>
  </si>
  <si>
    <t>2020-05-07</t>
  </si>
  <si>
    <t>www.hnaccloud.cn</t>
  </si>
  <si>
    <t>hnaccloud.cn</t>
  </si>
  <si>
    <t>湘ICP备12003207号-2</t>
  </si>
  <si>
    <t>湘ICP备12003207号-1</t>
  </si>
  <si>
    <t>hnac.cn</t>
  </si>
  <si>
    <t>历史诉前调解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</si>
</sst>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4">
    <font>
      <sz val="10"/>
      <color theme="1"/>
      <name val="等线"/>
      <charset val="134"/>
      <scheme val="minor"/>
    </font>
    <font>
      <sz val="10.5"/>
      <color rgb="FF595959"/>
      <name val="等线"/>
      <charset val="134"/>
      <scheme val="minor"/>
    </font>
    <font>
      <sz val="9.75"/>
      <color rgb="FF000000"/>
      <name val="等线"/>
      <charset val="134"/>
      <scheme val="minor"/>
    </font>
    <font>
      <b/>
      <sz val="12"/>
      <color rgb="FF000000"/>
      <name val="等线"/>
      <charset val="134"/>
      <scheme val="minor"/>
    </font>
    <font>
      <b/>
      <sz val="13.5"/>
      <color rgb="FF000000"/>
      <name val="等线"/>
      <charset val="134"/>
      <scheme val="minor"/>
    </font>
    <font>
      <b/>
      <sz val="12"/>
      <color rgb="FFFFFFFF"/>
      <name val="等线"/>
      <charset val="134"/>
      <scheme val="minor"/>
    </font>
    <font>
      <sz val="10.5"/>
      <color rgb="FF333333"/>
      <name val="等线"/>
      <charset val="134"/>
      <scheme val="minor"/>
    </font>
    <font>
      <b/>
      <sz val="10.5"/>
      <color rgb="FF333333"/>
      <name val="等线"/>
      <charset val="134"/>
      <scheme val="minor"/>
    </font>
    <font>
      <b/>
      <sz val="12"/>
      <color rgb="FFFFFFFF"/>
      <name val="等线"/>
      <charset val="134"/>
    </font>
    <font>
      <sz val="10"/>
      <color rgb="FF000000"/>
      <name val="等线"/>
      <charset val="134"/>
    </font>
    <font>
      <u/>
      <sz val="11"/>
      <color indexed="12"/>
      <name val="Calibri"/>
      <charset val="134"/>
    </font>
    <font>
      <b/>
      <sz val="12"/>
      <color theme="0"/>
      <name val="等线"/>
      <charset val="134"/>
      <scheme val="minor"/>
    </font>
    <font>
      <sz val="10.5"/>
      <color rgb="FFDDEBF7"/>
      <name val="等线"/>
      <charset val="134"/>
      <scheme val="minor"/>
    </font>
    <font>
      <sz val="10"/>
      <color rgb="FF000000"/>
      <name val="等线"/>
      <charset val="134"/>
      <scheme val="minor"/>
    </font>
    <font>
      <sz val="9.75"/>
      <color rgb="FFF54A45"/>
      <name val="等线"/>
      <charset val="134"/>
      <scheme val="minor"/>
    </font>
    <font>
      <sz val="10.5"/>
      <color rgb="FF000000"/>
      <name val="等线"/>
      <charset val="134"/>
      <scheme val="minor"/>
    </font>
    <font>
      <b/>
      <sz val="9.75"/>
      <color rgb="FF000000"/>
      <name val="等线"/>
      <charset val="134"/>
      <scheme val="minor"/>
    </font>
    <font>
      <sz val="9.75"/>
      <color rgb="FF1F2329"/>
      <name val="等线"/>
      <charset val="134"/>
      <scheme val="minor"/>
    </font>
    <font>
      <b/>
      <sz val="9.75"/>
      <color rgb="FF1F2329"/>
      <name val="等线"/>
      <charset val="134"/>
      <scheme val="minor"/>
    </font>
    <font>
      <b/>
      <sz val="10.5"/>
      <color rgb="FFFFFFFF"/>
      <name val="微软雅黑"/>
      <charset val="134"/>
    </font>
    <font>
      <sz val="10.5"/>
      <color rgb="FF000000"/>
      <name val="微软雅黑"/>
      <charset val="134"/>
    </font>
    <font>
      <sz val="11"/>
      <color theme="0"/>
      <name val="微软雅黑"/>
      <charset val="134"/>
    </font>
    <font>
      <b/>
      <sz val="12"/>
      <color rgb="FF000000"/>
      <name val="等线"/>
      <charset val="134"/>
    </font>
    <font>
      <sz val="10.5"/>
      <color theme="0"/>
      <name val="微软雅黑"/>
      <charset val="134"/>
    </font>
    <font>
      <sz val="9"/>
      <color rgb="FF202020"/>
      <name val="微软雅黑"/>
      <charset val="134"/>
    </font>
    <font>
      <b/>
      <sz val="12"/>
      <color theme="1"/>
      <name val="等线"/>
      <charset val="134"/>
    </font>
    <font>
      <sz val="9"/>
      <color theme="1"/>
      <name val="等线"/>
      <charset val="134"/>
      <scheme val="minor"/>
    </font>
    <font>
      <sz val="9"/>
      <color theme="1"/>
      <name val="等线"/>
      <charset val="134"/>
    </font>
    <font>
      <b/>
      <sz val="10.5"/>
      <color rgb="FFDDEBF7"/>
      <name val="等线"/>
      <charset val="134"/>
      <scheme val="minor"/>
    </font>
    <font>
      <sz val="10.5"/>
      <color rgb="FF0084FF"/>
      <name val="等线"/>
      <charset val="134"/>
      <scheme val="minor"/>
    </font>
    <font>
      <u/>
      <sz val="10.5"/>
      <color rgb="FF4E83FD"/>
      <name val="等线"/>
      <charset val="134"/>
      <scheme val="minor"/>
    </font>
    <font>
      <sz val="10"/>
      <color rgb="FF8F959E"/>
      <name val="等线"/>
      <charset val="134"/>
    </font>
    <font>
      <sz val="10.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name val="等线"/>
      <charset val="134"/>
      <scheme val="minor"/>
    </font>
  </fonts>
  <fills count="37">
    <fill>
      <patternFill patternType="none"/>
    </fill>
    <fill>
      <patternFill patternType="gray125"/>
    </fill>
    <fill>
      <patternFill patternType="solid">
        <fgColor rgb="FF5582D1"/>
        <bgColor indexed="64"/>
      </patternFill>
    </fill>
    <fill>
      <patternFill patternType="solid">
        <fgColor rgb="FF5582D1"/>
        <bgColor rgb="FF000000"/>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E4EEF6"/>
      </right>
      <top style="thin">
        <color rgb="FFE4EEF6"/>
      </top>
      <bottom style="thin">
        <color rgb="FFE4EEF6"/>
      </bottom>
      <diagonal/>
    </border>
    <border>
      <left/>
      <right style="thin">
        <color rgb="FFE4EEF6"/>
      </right>
      <top/>
      <bottom style="thin">
        <color rgb="FFE4EEF6"/>
      </bottom>
      <diagonal/>
    </border>
    <border>
      <left/>
      <right/>
      <top style="thin">
        <color theme="0"/>
      </top>
      <bottom/>
      <diagonal/>
    </border>
    <border>
      <left style="thin">
        <color rgb="FFD8D8D8"/>
      </left>
      <right style="thin">
        <color rgb="FFD8D8D8"/>
      </right>
      <top style="thin">
        <color rgb="FFD8D8D8"/>
      </top>
      <bottom style="thin">
        <color theme="0"/>
      </bottom>
      <diagonal/>
    </border>
    <border>
      <left/>
      <right/>
      <top/>
      <bottom style="thin">
        <color theme="0"/>
      </bottom>
      <diagonal/>
    </border>
    <border>
      <left style="medium">
        <color rgb="FFE4EEF6"/>
      </left>
      <right style="medium">
        <color rgb="FFE4EEF6"/>
      </right>
      <top style="medium">
        <color rgb="FFE4EEF6"/>
      </top>
      <bottom style="medium">
        <color rgb="FFE4EEF6"/>
      </bottom>
      <diagonal/>
    </border>
    <border>
      <left style="medium">
        <color rgb="FFDEE0E3"/>
      </left>
      <right style="medium">
        <color rgb="FFE4EEF6"/>
      </right>
      <top style="medium">
        <color rgb="FFE4EEF6"/>
      </top>
      <bottom style="medium">
        <color rgb="FFE4EEF6"/>
      </bottom>
      <diagonal/>
    </border>
    <border>
      <left style="medium">
        <color rgb="FFDEE0E3"/>
      </left>
      <right style="medium">
        <color rgb="FFDEE0E3"/>
      </right>
      <top style="medium">
        <color rgb="FFDEE0E3"/>
      </top>
      <bottom style="medium">
        <color rgb="FFDEE0E3"/>
      </bottom>
      <diagonal/>
    </border>
    <border>
      <left style="medium">
        <color rgb="FFD8D8D8"/>
      </left>
      <right style="medium">
        <color rgb="FFD8D8D8"/>
      </right>
      <top style="medium">
        <color rgb="FFD8D8D8"/>
      </top>
      <bottom style="medium">
        <color rgb="FFD8D8D8"/>
      </bottom>
      <diagonal/>
    </border>
    <border>
      <left style="thin">
        <color rgb="FFE4EEF6"/>
      </left>
      <right style="thin">
        <color rgb="FFE4EEF6"/>
      </right>
      <top style="thin">
        <color rgb="FFE4EEF6"/>
      </top>
      <bottom style="thin">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6" borderId="14"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5" applyNumberFormat="0" applyFill="0" applyAlignment="0" applyProtection="0">
      <alignment vertical="center"/>
    </xf>
    <xf numFmtId="0" fontId="40" fillId="0" borderId="15" applyNumberFormat="0" applyFill="0" applyAlignment="0" applyProtection="0">
      <alignment vertical="center"/>
    </xf>
    <xf numFmtId="0" fontId="41" fillId="0" borderId="16" applyNumberFormat="0" applyFill="0" applyAlignment="0" applyProtection="0">
      <alignment vertical="center"/>
    </xf>
    <xf numFmtId="0" fontId="41" fillId="0" borderId="0" applyNumberFormat="0" applyFill="0" applyBorder="0" applyAlignment="0" applyProtection="0">
      <alignment vertical="center"/>
    </xf>
    <xf numFmtId="0" fontId="42" fillId="7" borderId="17" applyNumberFormat="0" applyAlignment="0" applyProtection="0">
      <alignment vertical="center"/>
    </xf>
    <xf numFmtId="0" fontId="43" fillId="8" borderId="18" applyNumberFormat="0" applyAlignment="0" applyProtection="0">
      <alignment vertical="center"/>
    </xf>
    <xf numFmtId="0" fontId="44" fillId="8" borderId="17" applyNumberFormat="0" applyAlignment="0" applyProtection="0">
      <alignment vertical="center"/>
    </xf>
    <xf numFmtId="0" fontId="45" fillId="9" borderId="19" applyNumberFormat="0" applyAlignment="0" applyProtection="0">
      <alignment vertical="center"/>
    </xf>
    <xf numFmtId="0" fontId="46" fillId="0" borderId="20" applyNumberFormat="0" applyFill="0" applyAlignment="0" applyProtection="0">
      <alignment vertical="center"/>
    </xf>
    <xf numFmtId="0" fontId="47" fillId="0" borderId="21" applyNumberFormat="0" applyFill="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cellStyleXfs>
  <cellXfs count="97">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vertical="center"/>
    </xf>
    <xf numFmtId="0" fontId="3"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vertical="center" wrapText="1"/>
    </xf>
    <xf numFmtId="14" fontId="5" fillId="2" borderId="2" xfId="0" applyNumberFormat="1" applyFont="1" applyFill="1" applyBorder="1" applyAlignment="1">
      <alignment vertical="center"/>
    </xf>
    <xf numFmtId="0" fontId="6" fillId="0" borderId="0" xfId="0" applyFont="1" applyAlignment="1">
      <alignment vertical="center"/>
    </xf>
    <xf numFmtId="14" fontId="2" fillId="0" borderId="0" xfId="0" applyNumberFormat="1" applyFont="1" applyAlignment="1">
      <alignment horizontal="left" vertical="center"/>
    </xf>
    <xf numFmtId="0" fontId="2" fillId="0" borderId="0" xfId="0" applyFont="1" applyAlignment="1">
      <alignment horizontal="left" vertical="center"/>
    </xf>
    <xf numFmtId="0" fontId="7" fillId="0" borderId="0" xfId="0" applyFont="1" applyAlignment="1">
      <alignment vertical="center"/>
    </xf>
    <xf numFmtId="0" fontId="5" fillId="2" borderId="2" xfId="0" applyFont="1" applyFill="1" applyBorder="1" applyAlignment="1">
      <alignment vertical="center"/>
    </xf>
    <xf numFmtId="14" fontId="2" fillId="0" borderId="0" xfId="0" applyNumberFormat="1" applyFont="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22" fontId="2" fillId="0" borderId="0" xfId="0" applyNumberFormat="1" applyFont="1" applyAlignment="1">
      <alignment horizontal="left" vertical="center"/>
    </xf>
    <xf numFmtId="4" fontId="2" fillId="0" borderId="0" xfId="0" applyNumberFormat="1" applyFont="1" applyAlignment="1">
      <alignment horizontal="left" vertical="center"/>
    </xf>
    <xf numFmtId="0" fontId="2" fillId="0" borderId="0" xfId="0" applyFont="1" applyAlignment="1">
      <alignment vertical="center" wrapText="1"/>
    </xf>
    <xf numFmtId="0" fontId="8" fillId="2" borderId="2" xfId="0" applyFont="1" applyFill="1" applyBorder="1" applyAlignment="1">
      <alignment vertical="center"/>
    </xf>
    <xf numFmtId="0" fontId="9" fillId="0" borderId="0" xfId="0" applyFont="1" applyAlignment="1">
      <alignment horizontal="left" vertical="center"/>
    </xf>
    <xf numFmtId="14" fontId="9" fillId="0" borderId="0" xfId="0" applyNumberFormat="1" applyFont="1" applyAlignment="1">
      <alignment horizontal="left" vertical="center"/>
    </xf>
    <xf numFmtId="9" fontId="9" fillId="0" borderId="0" xfId="0" applyNumberFormat="1" applyFont="1" applyAlignment="1">
      <alignment horizontal="left" vertical="center"/>
    </xf>
    <xf numFmtId="0" fontId="9" fillId="0" borderId="0" xfId="0" applyFont="1" applyAlignment="1">
      <alignment vertical="center"/>
    </xf>
    <xf numFmtId="0" fontId="6" fillId="0" borderId="4" xfId="0" applyFont="1" applyBorder="1" applyAlignment="1">
      <alignment horizontal="center" vertical="center" wrapText="1"/>
    </xf>
    <xf numFmtId="0" fontId="10" fillId="0" borderId="0" xfId="0" applyFont="1"/>
    <xf numFmtId="0" fontId="6" fillId="0" borderId="5" xfId="0" applyFont="1" applyBorder="1" applyAlignment="1">
      <alignment horizontal="center" vertical="center" wrapText="1"/>
    </xf>
    <xf numFmtId="0" fontId="5" fillId="4" borderId="2" xfId="0" applyFont="1" applyFill="1" applyBorder="1" applyAlignment="1">
      <alignment vertical="center"/>
    </xf>
    <xf numFmtId="0" fontId="2" fillId="0" borderId="0" xfId="0" applyFont="1" applyAlignment="1">
      <alignment horizontal="center" vertical="center"/>
    </xf>
    <xf numFmtId="0" fontId="11" fillId="2" borderId="0" xfId="0" applyNumberFormat="1" applyFont="1" applyFill="1" applyBorder="1" applyAlignment="1" applyProtection="1">
      <alignment horizontal="left" vertical="center" wrapText="1"/>
    </xf>
    <xf numFmtId="0" fontId="12" fillId="2" borderId="2" xfId="0" applyNumberFormat="1" applyFont="1" applyFill="1" applyBorder="1" applyAlignment="1" applyProtection="1">
      <alignment vertical="center"/>
    </xf>
    <xf numFmtId="0" fontId="13" fillId="0" borderId="0" xfId="0" applyNumberFormat="1" applyFont="1" applyFill="1" applyBorder="1" applyAlignment="1" applyProtection="1">
      <alignment horizontal="right" vertical="center"/>
    </xf>
    <xf numFmtId="0" fontId="0" fillId="0" borderId="0" xfId="0" applyNumberFormat="1" applyFont="1" applyFill="1" applyBorder="1" applyAlignment="1" applyProtection="1">
      <alignment horizontal="right" vertical="center"/>
    </xf>
    <xf numFmtId="0" fontId="11" fillId="2" borderId="6" xfId="0" applyNumberFormat="1" applyFont="1" applyFill="1" applyBorder="1" applyAlignment="1" applyProtection="1">
      <alignment horizontal="left" vertical="center" wrapText="1"/>
    </xf>
    <xf numFmtId="0" fontId="12" fillId="2" borderId="7" xfId="0" applyNumberFormat="1" applyFont="1" applyFill="1" applyBorder="1" applyAlignment="1" applyProtection="1">
      <alignment vertical="center"/>
    </xf>
    <xf numFmtId="0" fontId="11" fillId="2" borderId="8" xfId="0" applyNumberFormat="1" applyFont="1" applyFill="1" applyBorder="1" applyAlignment="1" applyProtection="1">
      <alignment horizontal="left" vertical="center" wrapText="1"/>
    </xf>
    <xf numFmtId="0" fontId="2" fillId="0" borderId="0" xfId="0" applyFont="1" applyAlignment="1">
      <alignment horizontal="center" vertical="center" wrapText="1"/>
    </xf>
    <xf numFmtId="0" fontId="14" fillId="0" borderId="0" xfId="0" applyFont="1" applyAlignment="1">
      <alignment vertical="top" wrapText="1"/>
    </xf>
    <xf numFmtId="0" fontId="2" fillId="0" borderId="0" xfId="0" applyFont="1" applyAlignment="1">
      <alignment horizontal="right" vertical="center"/>
    </xf>
    <xf numFmtId="0" fontId="5" fillId="2" borderId="2" xfId="0" applyNumberFormat="1" applyFont="1" applyFill="1" applyBorder="1" applyAlignment="1" applyProtection="1">
      <alignment horizontal="left" vertical="center" wrapText="1"/>
    </xf>
    <xf numFmtId="0" fontId="12" fillId="2" borderId="2" xfId="0" applyNumberFormat="1" applyFont="1" applyFill="1" applyBorder="1" applyAlignment="1" applyProtection="1">
      <alignment horizontal="left" vertical="center"/>
    </xf>
    <xf numFmtId="0" fontId="15" fillId="0" borderId="0" xfId="0" applyNumberFormat="1" applyFont="1" applyFill="1" applyBorder="1" applyAlignment="1" applyProtection="1">
      <alignment horizontal="right" vertical="center"/>
    </xf>
    <xf numFmtId="0" fontId="2" fillId="0" borderId="0" xfId="0" applyNumberFormat="1" applyFont="1" applyFill="1" applyBorder="1" applyAlignment="1" applyProtection="1">
      <alignment horizontal="right" vertical="center"/>
    </xf>
    <xf numFmtId="0" fontId="2" fillId="0" borderId="0" xfId="0" applyFont="1" applyAlignment="1">
      <alignment vertical="top" wrapText="1"/>
    </xf>
    <xf numFmtId="0" fontId="6" fillId="0" borderId="5" xfId="0" applyFont="1" applyBorder="1" applyAlignment="1">
      <alignment horizontal="right" vertical="center"/>
    </xf>
    <xf numFmtId="0" fontId="12" fillId="2" borderId="2" xfId="0" applyFont="1" applyFill="1" applyBorder="1" applyAlignment="1">
      <alignment vertical="center"/>
    </xf>
    <xf numFmtId="0" fontId="14"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2" borderId="2" xfId="0" applyNumberFormat="1" applyFont="1" applyFill="1" applyBorder="1" applyAlignment="1" applyProtection="1">
      <alignment horizontal="center" vertical="center" wrapText="1"/>
    </xf>
    <xf numFmtId="0" fontId="20" fillId="0" borderId="0" xfId="0" applyNumberFormat="1" applyFont="1" applyFill="1" applyBorder="1" applyAlignment="1" applyProtection="1">
      <alignment horizontal="left" vertical="center" wrapText="1"/>
    </xf>
    <xf numFmtId="0" fontId="21" fillId="2" borderId="9" xfId="0" applyNumberFormat="1" applyFont="1" applyFill="1" applyBorder="1" applyAlignment="1" applyProtection="1">
      <alignment horizontal="center" vertical="center"/>
    </xf>
    <xf numFmtId="0" fontId="21" fillId="2" borderId="10" xfId="0" applyNumberFormat="1" applyFont="1" applyFill="1" applyBorder="1" applyAlignment="1" applyProtection="1">
      <alignment horizontal="center" vertical="center"/>
    </xf>
    <xf numFmtId="0" fontId="2" fillId="0" borderId="0" xfId="0" applyFont="1"/>
    <xf numFmtId="0" fontId="22" fillId="0" borderId="0" xfId="0" applyFont="1" applyAlignment="1">
      <alignment vertical="center" wrapText="1"/>
    </xf>
    <xf numFmtId="0" fontId="5" fillId="2" borderId="2" xfId="0" applyFont="1" applyFill="1" applyBorder="1" applyAlignment="1">
      <alignment vertical="center" wrapText="1"/>
    </xf>
    <xf numFmtId="22" fontId="5" fillId="2" borderId="2" xfId="0" applyNumberFormat="1" applyFont="1" applyFill="1" applyBorder="1" applyAlignment="1">
      <alignment vertical="center" wrapText="1"/>
    </xf>
    <xf numFmtId="4" fontId="5" fillId="2" borderId="2" xfId="0" applyNumberFormat="1" applyFont="1" applyFill="1" applyBorder="1" applyAlignment="1">
      <alignment vertical="center" wrapText="1"/>
    </xf>
    <xf numFmtId="0" fontId="8" fillId="2" borderId="2" xfId="0" applyFont="1" applyFill="1" applyBorder="1" applyAlignment="1">
      <alignment vertical="center" wrapText="1"/>
    </xf>
    <xf numFmtId="0" fontId="6" fillId="0" borderId="4" xfId="0" applyFont="1" applyBorder="1" applyAlignment="1">
      <alignment horizontal="left"/>
    </xf>
    <xf numFmtId="14" fontId="5" fillId="2" borderId="2" xfId="0" applyNumberFormat="1" applyFont="1" applyFill="1" applyBorder="1" applyAlignment="1">
      <alignment vertical="center" wrapText="1"/>
    </xf>
    <xf numFmtId="0" fontId="23" fillId="2" borderId="0" xfId="0" applyNumberFormat="1" applyFont="1" applyFill="1" applyBorder="1" applyAlignment="1" applyProtection="1">
      <alignment horizontal="center" vertical="center"/>
    </xf>
    <xf numFmtId="0" fontId="23" fillId="2" borderId="0" xfId="0" applyNumberFormat="1" applyFont="1" applyFill="1" applyBorder="1" applyAlignment="1" applyProtection="1">
      <alignment horizontal="center" vertical="center" wrapText="1"/>
    </xf>
    <xf numFmtId="49" fontId="24" fillId="0" borderId="0" xfId="0" applyNumberFormat="1" applyFont="1" applyFill="1" applyBorder="1" applyAlignment="1" applyProtection="1">
      <alignment horizontal="left" vertical="center" wrapText="1"/>
    </xf>
    <xf numFmtId="0" fontId="1" fillId="0" borderId="1" xfId="0" applyFont="1" applyBorder="1" applyAlignment="1">
      <alignment horizontal="left" vertical="center"/>
    </xf>
    <xf numFmtId="0" fontId="25" fillId="0" borderId="11" xfId="0" applyFont="1" applyBorder="1" applyAlignment="1">
      <alignment vertical="center"/>
    </xf>
    <xf numFmtId="49" fontId="26" fillId="0" borderId="11" xfId="0" applyNumberFormat="1" applyFont="1" applyBorder="1" applyAlignment="1">
      <alignment horizontal="left" vertical="center"/>
    </xf>
    <xf numFmtId="0" fontId="26" fillId="0" borderId="11" xfId="0" applyFont="1" applyBorder="1" applyAlignment="1">
      <alignment vertical="center"/>
    </xf>
    <xf numFmtId="0" fontId="8" fillId="2" borderId="12" xfId="0" applyFont="1" applyFill="1" applyBorder="1" applyAlignment="1">
      <alignment vertical="center"/>
    </xf>
    <xf numFmtId="49" fontId="27" fillId="0" borderId="11" xfId="0" applyNumberFormat="1" applyFont="1" applyBorder="1" applyAlignment="1">
      <alignment horizontal="left" vertical="center"/>
    </xf>
    <xf numFmtId="0" fontId="3" fillId="0" borderId="0" xfId="0" applyFont="1" applyAlignment="1">
      <alignment vertical="center"/>
    </xf>
    <xf numFmtId="49" fontId="2" fillId="0" borderId="0" xfId="0" applyNumberFormat="1" applyFont="1" applyAlignment="1">
      <alignment horizontal="left" vertical="center"/>
    </xf>
    <xf numFmtId="0" fontId="28" fillId="2" borderId="2" xfId="0" applyFont="1" applyFill="1" applyBorder="1" applyAlignment="1">
      <alignment vertical="center"/>
    </xf>
    <xf numFmtId="0" fontId="6" fillId="0" borderId="4" xfId="0" applyFont="1" applyBorder="1" applyAlignment="1">
      <alignment horizontal="center" vertical="center"/>
    </xf>
    <xf numFmtId="0" fontId="29" fillId="0" borderId="5" xfId="0" applyFont="1" applyBorder="1" applyAlignment="1">
      <alignment horizontal="left" vertical="center"/>
    </xf>
    <xf numFmtId="0" fontId="6" fillId="0" borderId="5" xfId="0" applyFont="1" applyBorder="1" applyAlignment="1">
      <alignment horizontal="center" vertical="center"/>
    </xf>
    <xf numFmtId="14" fontId="6" fillId="0" borderId="5" xfId="0" applyNumberFormat="1" applyFont="1" applyBorder="1" applyAlignment="1">
      <alignment horizontal="center" vertical="center"/>
    </xf>
    <xf numFmtId="0" fontId="29" fillId="0" borderId="5" xfId="0" applyFont="1" applyBorder="1" applyAlignment="1">
      <alignment horizontal="center" vertical="center"/>
    </xf>
    <xf numFmtId="0" fontId="22" fillId="0" borderId="0" xfId="0" applyFont="1" applyAlignment="1">
      <alignment vertical="center"/>
    </xf>
    <xf numFmtId="0" fontId="13" fillId="5" borderId="11" xfId="0" applyFont="1" applyFill="1" applyBorder="1" applyAlignment="1">
      <alignment vertical="center"/>
    </xf>
    <xf numFmtId="0" fontId="0" fillId="5" borderId="11" xfId="0" applyFill="1" applyBorder="1" applyAlignment="1">
      <alignment vertical="center"/>
    </xf>
    <xf numFmtId="0" fontId="0" fillId="0" borderId="11" xfId="0" applyBorder="1" applyAlignment="1">
      <alignment vertical="center"/>
    </xf>
    <xf numFmtId="0" fontId="6" fillId="0" borderId="5" xfId="0" applyFont="1" applyBorder="1" applyAlignment="1">
      <alignment horizontal="left" vertical="center"/>
    </xf>
    <xf numFmtId="0" fontId="17" fillId="0" borderId="0" xfId="0" applyFont="1"/>
    <xf numFmtId="0" fontId="2" fillId="0" borderId="0" xfId="0" applyFont="1" applyAlignment="1">
      <alignment horizontal="left" vertical="center" wrapText="1"/>
    </xf>
    <xf numFmtId="0" fontId="5" fillId="4" borderId="2" xfId="0" applyFont="1" applyFill="1" applyBorder="1" applyAlignment="1">
      <alignment vertical="center" wrapText="1"/>
    </xf>
    <xf numFmtId="0" fontId="5" fillId="0" borderId="2" xfId="0" applyFont="1" applyBorder="1" applyAlignment="1">
      <alignment vertical="center" wrapText="1"/>
    </xf>
    <xf numFmtId="0" fontId="6" fillId="0" borderId="13" xfId="0" applyFont="1" applyBorder="1" applyAlignment="1">
      <alignment horizontal="center" vertical="center" wrapText="1"/>
    </xf>
    <xf numFmtId="9" fontId="2" fillId="0" borderId="0" xfId="0" applyNumberFormat="1" applyFont="1" applyAlignment="1">
      <alignment horizontal="left" vertical="center"/>
    </xf>
    <xf numFmtId="10" fontId="2" fillId="0" borderId="0" xfId="0" applyNumberFormat="1" applyFont="1" applyAlignment="1">
      <alignment horizontal="left" vertical="center"/>
    </xf>
    <xf numFmtId="0" fontId="6" fillId="0" borderId="13" xfId="0" applyFont="1" applyBorder="1" applyAlignment="1">
      <alignment horizontal="left" vertical="center"/>
    </xf>
    <xf numFmtId="0" fontId="30" fillId="0" borderId="13" xfId="0" applyFont="1" applyBorder="1" applyAlignment="1">
      <alignment horizontal="left" vertical="center"/>
    </xf>
    <xf numFmtId="0" fontId="6" fillId="0" borderId="13" xfId="0" applyFont="1" applyBorder="1" applyAlignment="1">
      <alignment horizontal="left" vertical="center" wrapText="1"/>
    </xf>
    <xf numFmtId="0" fontId="31" fillId="0" borderId="0" xfId="0" applyFont="1" applyAlignment="1">
      <alignment vertical="center"/>
    </xf>
    <xf numFmtId="0" fontId="32" fillId="0" borderId="13" xfId="0" applyFont="1" applyBorder="1" applyAlignment="1">
      <alignment horizontal="center" vertical="center"/>
    </xf>
    <xf numFmtId="14" fontId="6" fillId="0" borderId="5" xfId="0" applyNumberFormat="1" applyFont="1" applyBorder="1" applyAlignment="1">
      <alignment horizontal="center" vertical="center" wrapText="1"/>
    </xf>
    <xf numFmtId="0" fontId="6"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7.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www.wps.cn/officeDocument/2020/cellImage" Target="cellimag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12700</xdr:colOff>
      <xdr:row>3</xdr:row>
      <xdr:rowOff>12700</xdr:rowOff>
    </xdr:from>
    <xdr:to>
      <xdr:col>2</xdr:col>
      <xdr:colOff>-12700</xdr:colOff>
      <xdr:row>4</xdr:row>
      <xdr:rowOff>-12700</xdr:rowOff>
    </xdr:to>
    <xdr:pic>
      <xdr:nvPicPr>
        <xdr:cNvPr id="2" name="Picture 1" descr="Picture"/>
        <xdr:cNvPicPr>
          <a:picLocks noChangeAspect="1"/>
        </xdr:cNvPicPr>
      </xdr:nvPicPr>
      <xdr:blipFill>
        <a:blip r:embed="rId1"/>
        <a:stretch>
          <a:fillRect/>
        </a:stretch>
      </xdr:blipFill>
      <xdr:spPr>
        <a:xfrm>
          <a:off x="1898650" y="990600"/>
          <a:ext cx="1860550" cy="774700"/>
        </a:xfrm>
        <a:prstGeom prst="rect">
          <a:avLst/>
        </a:prstGeom>
      </xdr:spPr>
    </xdr:pic>
    <xdr:clientData/>
  </xdr:twoCellAnchor>
  <xdr:twoCellAnchor>
    <xdr:from>
      <xdr:col>1</xdr:col>
      <xdr:colOff>12700</xdr:colOff>
      <xdr:row>4</xdr:row>
      <xdr:rowOff>12700</xdr:rowOff>
    </xdr:from>
    <xdr:to>
      <xdr:col>2</xdr:col>
      <xdr:colOff>-12700</xdr:colOff>
      <xdr:row>5</xdr:row>
      <xdr:rowOff>-12700</xdr:rowOff>
    </xdr:to>
    <xdr:pic>
      <xdr:nvPicPr>
        <xdr:cNvPr id="3" name="Picture 1" descr="Picture"/>
        <xdr:cNvPicPr>
          <a:picLocks noChangeAspect="1"/>
        </xdr:cNvPicPr>
      </xdr:nvPicPr>
      <xdr:blipFill>
        <a:blip r:embed="rId1"/>
        <a:stretch>
          <a:fillRect/>
        </a:stretch>
      </xdr:blipFill>
      <xdr:spPr>
        <a:xfrm>
          <a:off x="1898650" y="1790700"/>
          <a:ext cx="1860550" cy="774700"/>
        </a:xfrm>
        <a:prstGeom prst="rect">
          <a:avLst/>
        </a:prstGeom>
      </xdr:spPr>
    </xdr:pic>
    <xdr:clientData/>
  </xdr:twoCellAnchor>
  <xdr:twoCellAnchor>
    <xdr:from>
      <xdr:col>1</xdr:col>
      <xdr:colOff>12700</xdr:colOff>
      <xdr:row>5</xdr:row>
      <xdr:rowOff>12700</xdr:rowOff>
    </xdr:from>
    <xdr:to>
      <xdr:col>2</xdr:col>
      <xdr:colOff>-12700</xdr:colOff>
      <xdr:row>6</xdr:row>
      <xdr:rowOff>-12700</xdr:rowOff>
    </xdr:to>
    <xdr:pic>
      <xdr:nvPicPr>
        <xdr:cNvPr id="4" name="Picture 1" descr="Picture"/>
        <xdr:cNvPicPr>
          <a:picLocks noChangeAspect="1"/>
        </xdr:cNvPicPr>
      </xdr:nvPicPr>
      <xdr:blipFill>
        <a:blip r:embed="rId2"/>
        <a:stretch>
          <a:fillRect/>
        </a:stretch>
      </xdr:blipFill>
      <xdr:spPr>
        <a:xfrm>
          <a:off x="1898650" y="2590800"/>
          <a:ext cx="1860550" cy="774700"/>
        </a:xfrm>
        <a:prstGeom prst="rect">
          <a:avLst/>
        </a:prstGeom>
      </xdr:spPr>
    </xdr:pic>
    <xdr:clientData/>
  </xdr:twoCellAnchor>
  <xdr:twoCellAnchor>
    <xdr:from>
      <xdr:col>1</xdr:col>
      <xdr:colOff>12700</xdr:colOff>
      <xdr:row>6</xdr:row>
      <xdr:rowOff>12700</xdr:rowOff>
    </xdr:from>
    <xdr:to>
      <xdr:col>2</xdr:col>
      <xdr:colOff>-12700</xdr:colOff>
      <xdr:row>7</xdr:row>
      <xdr:rowOff>-12700</xdr:rowOff>
    </xdr:to>
    <xdr:pic>
      <xdr:nvPicPr>
        <xdr:cNvPr id="5" name="Picture 1" descr="Picture"/>
        <xdr:cNvPicPr>
          <a:picLocks noChangeAspect="1"/>
        </xdr:cNvPicPr>
      </xdr:nvPicPr>
      <xdr:blipFill>
        <a:blip r:embed="rId2"/>
        <a:stretch>
          <a:fillRect/>
        </a:stretch>
      </xdr:blipFill>
      <xdr:spPr>
        <a:xfrm>
          <a:off x="1898650" y="3390900"/>
          <a:ext cx="1860550" cy="774700"/>
        </a:xfrm>
        <a:prstGeom prst="rect">
          <a:avLst/>
        </a:prstGeom>
      </xdr:spPr>
    </xdr:pic>
    <xdr:clientData/>
  </xdr:twoCellAnchor>
  <xdr:twoCellAnchor>
    <xdr:from>
      <xdr:col>1</xdr:col>
      <xdr:colOff>12700</xdr:colOff>
      <xdr:row>7</xdr:row>
      <xdr:rowOff>12700</xdr:rowOff>
    </xdr:from>
    <xdr:to>
      <xdr:col>2</xdr:col>
      <xdr:colOff>-12700</xdr:colOff>
      <xdr:row>8</xdr:row>
      <xdr:rowOff>-12700</xdr:rowOff>
    </xdr:to>
    <xdr:pic>
      <xdr:nvPicPr>
        <xdr:cNvPr id="6" name="Picture 1" descr="Picture"/>
        <xdr:cNvPicPr>
          <a:picLocks noChangeAspect="1"/>
        </xdr:cNvPicPr>
      </xdr:nvPicPr>
      <xdr:blipFill>
        <a:blip r:embed="rId2"/>
        <a:stretch>
          <a:fillRect/>
        </a:stretch>
      </xdr:blipFill>
      <xdr:spPr>
        <a:xfrm>
          <a:off x="1898650" y="4191000"/>
          <a:ext cx="1860550" cy="774700"/>
        </a:xfrm>
        <a:prstGeom prst="rect">
          <a:avLst/>
        </a:prstGeom>
      </xdr:spPr>
    </xdr:pic>
    <xdr:clientData/>
  </xdr:twoCellAnchor>
  <xdr:twoCellAnchor>
    <xdr:from>
      <xdr:col>1</xdr:col>
      <xdr:colOff>12700</xdr:colOff>
      <xdr:row>8</xdr:row>
      <xdr:rowOff>12700</xdr:rowOff>
    </xdr:from>
    <xdr:to>
      <xdr:col>2</xdr:col>
      <xdr:colOff>-12700</xdr:colOff>
      <xdr:row>9</xdr:row>
      <xdr:rowOff>-12700</xdr:rowOff>
    </xdr:to>
    <xdr:pic>
      <xdr:nvPicPr>
        <xdr:cNvPr id="7" name="Picture 1" descr="Picture"/>
        <xdr:cNvPicPr>
          <a:picLocks noChangeAspect="1"/>
        </xdr:cNvPicPr>
      </xdr:nvPicPr>
      <xdr:blipFill>
        <a:blip r:embed="rId3"/>
        <a:stretch>
          <a:fillRect/>
        </a:stretch>
      </xdr:blipFill>
      <xdr:spPr>
        <a:xfrm>
          <a:off x="1898650" y="4991100"/>
          <a:ext cx="1860550" cy="774700"/>
        </a:xfrm>
        <a:prstGeom prst="rect">
          <a:avLst/>
        </a:prstGeom>
      </xdr:spPr>
    </xdr:pic>
    <xdr:clientData/>
  </xdr:twoCellAnchor>
  <xdr:twoCellAnchor>
    <xdr:from>
      <xdr:col>1</xdr:col>
      <xdr:colOff>12700</xdr:colOff>
      <xdr:row>9</xdr:row>
      <xdr:rowOff>12700</xdr:rowOff>
    </xdr:from>
    <xdr:to>
      <xdr:col>2</xdr:col>
      <xdr:colOff>-12700</xdr:colOff>
      <xdr:row>10</xdr:row>
      <xdr:rowOff>-12700</xdr:rowOff>
    </xdr:to>
    <xdr:pic>
      <xdr:nvPicPr>
        <xdr:cNvPr id="8" name="Picture 1" descr="Picture"/>
        <xdr:cNvPicPr>
          <a:picLocks noChangeAspect="1"/>
        </xdr:cNvPicPr>
      </xdr:nvPicPr>
      <xdr:blipFill>
        <a:blip r:embed="rId3"/>
        <a:stretch>
          <a:fillRect/>
        </a:stretch>
      </xdr:blipFill>
      <xdr:spPr>
        <a:xfrm>
          <a:off x="1898650" y="5791200"/>
          <a:ext cx="1860550" cy="774700"/>
        </a:xfrm>
        <a:prstGeom prst="rect">
          <a:avLst/>
        </a:prstGeom>
      </xdr:spPr>
    </xdr:pic>
    <xdr:clientData/>
  </xdr:twoCellAnchor>
  <xdr:twoCellAnchor>
    <xdr:from>
      <xdr:col>1</xdr:col>
      <xdr:colOff>12700</xdr:colOff>
      <xdr:row>10</xdr:row>
      <xdr:rowOff>12700</xdr:rowOff>
    </xdr:from>
    <xdr:to>
      <xdr:col>2</xdr:col>
      <xdr:colOff>-12700</xdr:colOff>
      <xdr:row>11</xdr:row>
      <xdr:rowOff>-12700</xdr:rowOff>
    </xdr:to>
    <xdr:pic>
      <xdr:nvPicPr>
        <xdr:cNvPr id="9" name="Picture 1" descr="Picture"/>
        <xdr:cNvPicPr>
          <a:picLocks noChangeAspect="1"/>
        </xdr:cNvPicPr>
      </xdr:nvPicPr>
      <xdr:blipFill>
        <a:blip r:embed="rId4"/>
        <a:stretch>
          <a:fillRect/>
        </a:stretch>
      </xdr:blipFill>
      <xdr:spPr>
        <a:xfrm>
          <a:off x="1898650" y="6591300"/>
          <a:ext cx="1860550" cy="774700"/>
        </a:xfrm>
        <a:prstGeom prst="rect">
          <a:avLst/>
        </a:prstGeom>
      </xdr:spPr>
    </xdr:pic>
    <xdr:clientData/>
  </xdr:twoCellAnchor>
  <xdr:twoCellAnchor>
    <xdr:from>
      <xdr:col>1</xdr:col>
      <xdr:colOff>12700</xdr:colOff>
      <xdr:row>11</xdr:row>
      <xdr:rowOff>12700</xdr:rowOff>
    </xdr:from>
    <xdr:to>
      <xdr:col>2</xdr:col>
      <xdr:colOff>-12700</xdr:colOff>
      <xdr:row>12</xdr:row>
      <xdr:rowOff>-12700</xdr:rowOff>
    </xdr:to>
    <xdr:pic>
      <xdr:nvPicPr>
        <xdr:cNvPr id="10" name="Picture 1" descr="Picture"/>
        <xdr:cNvPicPr>
          <a:picLocks noChangeAspect="1"/>
        </xdr:cNvPicPr>
      </xdr:nvPicPr>
      <xdr:blipFill>
        <a:blip r:embed="rId3"/>
        <a:stretch>
          <a:fillRect/>
        </a:stretch>
      </xdr:blipFill>
      <xdr:spPr>
        <a:xfrm>
          <a:off x="1898650" y="7391400"/>
          <a:ext cx="1860550" cy="774700"/>
        </a:xfrm>
        <a:prstGeom prst="rect">
          <a:avLst/>
        </a:prstGeom>
      </xdr:spPr>
    </xdr:pic>
    <xdr:clientData/>
  </xdr:twoCellAnchor>
  <xdr:twoCellAnchor>
    <xdr:from>
      <xdr:col>1</xdr:col>
      <xdr:colOff>12700</xdr:colOff>
      <xdr:row>12</xdr:row>
      <xdr:rowOff>12700</xdr:rowOff>
    </xdr:from>
    <xdr:to>
      <xdr:col>2</xdr:col>
      <xdr:colOff>-12700</xdr:colOff>
      <xdr:row>13</xdr:row>
      <xdr:rowOff>-12700</xdr:rowOff>
    </xdr:to>
    <xdr:pic>
      <xdr:nvPicPr>
        <xdr:cNvPr id="11" name="Picture 1" descr="Picture"/>
        <xdr:cNvPicPr>
          <a:picLocks noChangeAspect="1"/>
        </xdr:cNvPicPr>
      </xdr:nvPicPr>
      <xdr:blipFill>
        <a:blip r:embed="rId4"/>
        <a:stretch>
          <a:fillRect/>
        </a:stretch>
      </xdr:blipFill>
      <xdr:spPr>
        <a:xfrm>
          <a:off x="1898650" y="8191500"/>
          <a:ext cx="1860550" cy="774700"/>
        </a:xfrm>
        <a:prstGeom prst="rect">
          <a:avLst/>
        </a:prstGeom>
      </xdr:spPr>
    </xdr:pic>
    <xdr:clientData/>
  </xdr:twoCellAnchor>
  <xdr:twoCellAnchor>
    <xdr:from>
      <xdr:col>1</xdr:col>
      <xdr:colOff>12700</xdr:colOff>
      <xdr:row>13</xdr:row>
      <xdr:rowOff>12700</xdr:rowOff>
    </xdr:from>
    <xdr:to>
      <xdr:col>2</xdr:col>
      <xdr:colOff>-12700</xdr:colOff>
      <xdr:row>14</xdr:row>
      <xdr:rowOff>-12700</xdr:rowOff>
    </xdr:to>
    <xdr:pic>
      <xdr:nvPicPr>
        <xdr:cNvPr id="12" name="Picture 1" descr="Picture"/>
        <xdr:cNvPicPr>
          <a:picLocks noChangeAspect="1"/>
        </xdr:cNvPicPr>
      </xdr:nvPicPr>
      <xdr:blipFill>
        <a:blip r:embed="rId4"/>
        <a:stretch>
          <a:fillRect/>
        </a:stretch>
      </xdr:blipFill>
      <xdr:spPr>
        <a:xfrm>
          <a:off x="1898650" y="8991600"/>
          <a:ext cx="1860550" cy="774700"/>
        </a:xfrm>
        <a:prstGeom prst="rect">
          <a:avLst/>
        </a:prstGeom>
      </xdr:spPr>
    </xdr:pic>
    <xdr:clientData/>
  </xdr:twoCellAnchor>
  <xdr:twoCellAnchor>
    <xdr:from>
      <xdr:col>1</xdr:col>
      <xdr:colOff>12700</xdr:colOff>
      <xdr:row>14</xdr:row>
      <xdr:rowOff>12700</xdr:rowOff>
    </xdr:from>
    <xdr:to>
      <xdr:col>2</xdr:col>
      <xdr:colOff>-12700</xdr:colOff>
      <xdr:row>15</xdr:row>
      <xdr:rowOff>-12700</xdr:rowOff>
    </xdr:to>
    <xdr:pic>
      <xdr:nvPicPr>
        <xdr:cNvPr id="13" name="Picture 1" descr="Picture"/>
        <xdr:cNvPicPr>
          <a:picLocks noChangeAspect="1"/>
        </xdr:cNvPicPr>
      </xdr:nvPicPr>
      <xdr:blipFill>
        <a:blip r:embed="rId3"/>
        <a:stretch>
          <a:fillRect/>
        </a:stretch>
      </xdr:blipFill>
      <xdr:spPr>
        <a:xfrm>
          <a:off x="1898650" y="9791700"/>
          <a:ext cx="1860550" cy="774700"/>
        </a:xfrm>
        <a:prstGeom prst="rect">
          <a:avLst/>
        </a:prstGeom>
      </xdr:spPr>
    </xdr:pic>
    <xdr:clientData/>
  </xdr:twoCellAnchor>
  <xdr:twoCellAnchor>
    <xdr:from>
      <xdr:col>1</xdr:col>
      <xdr:colOff>12700</xdr:colOff>
      <xdr:row>15</xdr:row>
      <xdr:rowOff>12700</xdr:rowOff>
    </xdr:from>
    <xdr:to>
      <xdr:col>2</xdr:col>
      <xdr:colOff>-12700</xdr:colOff>
      <xdr:row>16</xdr:row>
      <xdr:rowOff>-12700</xdr:rowOff>
    </xdr:to>
    <xdr:pic>
      <xdr:nvPicPr>
        <xdr:cNvPr id="14" name="Picture 1" descr="Picture"/>
        <xdr:cNvPicPr>
          <a:picLocks noChangeAspect="1"/>
        </xdr:cNvPicPr>
      </xdr:nvPicPr>
      <xdr:blipFill>
        <a:blip r:embed="rId5"/>
        <a:stretch>
          <a:fillRect/>
        </a:stretch>
      </xdr:blipFill>
      <xdr:spPr>
        <a:xfrm>
          <a:off x="1898650" y="10591800"/>
          <a:ext cx="1860550" cy="774700"/>
        </a:xfrm>
        <a:prstGeom prst="rect">
          <a:avLst/>
        </a:prstGeom>
      </xdr:spPr>
    </xdr:pic>
    <xdr:clientData/>
  </xdr:twoCellAnchor>
  <xdr:twoCellAnchor>
    <xdr:from>
      <xdr:col>1</xdr:col>
      <xdr:colOff>12700</xdr:colOff>
      <xdr:row>16</xdr:row>
      <xdr:rowOff>12700</xdr:rowOff>
    </xdr:from>
    <xdr:to>
      <xdr:col>2</xdr:col>
      <xdr:colOff>-12700</xdr:colOff>
      <xdr:row>17</xdr:row>
      <xdr:rowOff>-12700</xdr:rowOff>
    </xdr:to>
    <xdr:pic>
      <xdr:nvPicPr>
        <xdr:cNvPr id="15" name="Picture 1" descr="Picture"/>
        <xdr:cNvPicPr>
          <a:picLocks noChangeAspect="1"/>
        </xdr:cNvPicPr>
      </xdr:nvPicPr>
      <xdr:blipFill>
        <a:blip r:embed="rId4"/>
        <a:stretch>
          <a:fillRect/>
        </a:stretch>
      </xdr:blipFill>
      <xdr:spPr>
        <a:xfrm>
          <a:off x="1898650" y="11391900"/>
          <a:ext cx="1860550" cy="774700"/>
        </a:xfrm>
        <a:prstGeom prst="rect">
          <a:avLst/>
        </a:prstGeom>
      </xdr:spPr>
    </xdr:pic>
    <xdr:clientData/>
  </xdr:twoCellAnchor>
  <xdr:twoCellAnchor>
    <xdr:from>
      <xdr:col>1</xdr:col>
      <xdr:colOff>12700</xdr:colOff>
      <xdr:row>17</xdr:row>
      <xdr:rowOff>12700</xdr:rowOff>
    </xdr:from>
    <xdr:to>
      <xdr:col>2</xdr:col>
      <xdr:colOff>-12700</xdr:colOff>
      <xdr:row>18</xdr:row>
      <xdr:rowOff>-12700</xdr:rowOff>
    </xdr:to>
    <xdr:pic>
      <xdr:nvPicPr>
        <xdr:cNvPr id="16" name="Picture 1" descr="Picture"/>
        <xdr:cNvPicPr>
          <a:picLocks noChangeAspect="1"/>
        </xdr:cNvPicPr>
      </xdr:nvPicPr>
      <xdr:blipFill>
        <a:blip r:embed="rId6"/>
        <a:stretch>
          <a:fillRect/>
        </a:stretch>
      </xdr:blipFill>
      <xdr:spPr>
        <a:xfrm>
          <a:off x="1898650" y="12192000"/>
          <a:ext cx="1860550" cy="774700"/>
        </a:xfrm>
        <a:prstGeom prst="rect">
          <a:avLst/>
        </a:prstGeom>
      </xdr:spPr>
    </xdr:pic>
    <xdr:clientData/>
  </xdr:twoCellAnchor>
  <xdr:twoCellAnchor>
    <xdr:from>
      <xdr:col>1</xdr:col>
      <xdr:colOff>12700</xdr:colOff>
      <xdr:row>18</xdr:row>
      <xdr:rowOff>12700</xdr:rowOff>
    </xdr:from>
    <xdr:to>
      <xdr:col>2</xdr:col>
      <xdr:colOff>-12700</xdr:colOff>
      <xdr:row>19</xdr:row>
      <xdr:rowOff>-12700</xdr:rowOff>
    </xdr:to>
    <xdr:pic>
      <xdr:nvPicPr>
        <xdr:cNvPr id="17" name="Picture 1" descr="Picture"/>
        <xdr:cNvPicPr>
          <a:picLocks noChangeAspect="1"/>
        </xdr:cNvPicPr>
      </xdr:nvPicPr>
      <xdr:blipFill>
        <a:blip r:embed="rId7"/>
        <a:stretch>
          <a:fillRect/>
        </a:stretch>
      </xdr:blipFill>
      <xdr:spPr>
        <a:xfrm>
          <a:off x="1898650" y="12992100"/>
          <a:ext cx="1860550" cy="774700"/>
        </a:xfrm>
        <a:prstGeom prst="rect">
          <a:avLst/>
        </a:prstGeom>
      </xdr:spPr>
    </xdr:pic>
    <xdr:clientData/>
  </xdr:twoCellAnchor>
  <xdr:twoCellAnchor>
    <xdr:from>
      <xdr:col>1</xdr:col>
      <xdr:colOff>12700</xdr:colOff>
      <xdr:row>19</xdr:row>
      <xdr:rowOff>12700</xdr:rowOff>
    </xdr:from>
    <xdr:to>
      <xdr:col>2</xdr:col>
      <xdr:colOff>-12700</xdr:colOff>
      <xdr:row>20</xdr:row>
      <xdr:rowOff>-12700</xdr:rowOff>
    </xdr:to>
    <xdr:pic>
      <xdr:nvPicPr>
        <xdr:cNvPr id="18" name="Picture 1" descr="Picture"/>
        <xdr:cNvPicPr>
          <a:picLocks noChangeAspect="1"/>
        </xdr:cNvPicPr>
      </xdr:nvPicPr>
      <xdr:blipFill>
        <a:blip r:embed="rId6"/>
        <a:stretch>
          <a:fillRect/>
        </a:stretch>
      </xdr:blipFill>
      <xdr:spPr>
        <a:xfrm>
          <a:off x="1898650" y="13792200"/>
          <a:ext cx="1860550" cy="774700"/>
        </a:xfrm>
        <a:prstGeom prst="rect">
          <a:avLst/>
        </a:prstGeom>
      </xdr:spPr>
    </xdr:pic>
    <xdr:clientData/>
  </xdr:twoCellAnchor>
  <xdr:twoCellAnchor>
    <xdr:from>
      <xdr:col>1</xdr:col>
      <xdr:colOff>12700</xdr:colOff>
      <xdr:row>20</xdr:row>
      <xdr:rowOff>12700</xdr:rowOff>
    </xdr:from>
    <xdr:to>
      <xdr:col>2</xdr:col>
      <xdr:colOff>-12700</xdr:colOff>
      <xdr:row>21</xdr:row>
      <xdr:rowOff>-12700</xdr:rowOff>
    </xdr:to>
    <xdr:pic>
      <xdr:nvPicPr>
        <xdr:cNvPr id="19" name="Picture 1" descr="Picture"/>
        <xdr:cNvPicPr>
          <a:picLocks noChangeAspect="1"/>
        </xdr:cNvPicPr>
      </xdr:nvPicPr>
      <xdr:blipFill>
        <a:blip r:embed="rId7"/>
        <a:stretch>
          <a:fillRect/>
        </a:stretch>
      </xdr:blipFill>
      <xdr:spPr>
        <a:xfrm>
          <a:off x="1898650" y="14592300"/>
          <a:ext cx="1860550" cy="774700"/>
        </a:xfrm>
        <a:prstGeom prst="rect">
          <a:avLst/>
        </a:prstGeom>
      </xdr:spPr>
    </xdr:pic>
    <xdr:clientData/>
  </xdr:twoCellAnchor>
  <xdr:twoCellAnchor>
    <xdr:from>
      <xdr:col>1</xdr:col>
      <xdr:colOff>12700</xdr:colOff>
      <xdr:row>21</xdr:row>
      <xdr:rowOff>12700</xdr:rowOff>
    </xdr:from>
    <xdr:to>
      <xdr:col>2</xdr:col>
      <xdr:colOff>-12700</xdr:colOff>
      <xdr:row>22</xdr:row>
      <xdr:rowOff>-12700</xdr:rowOff>
    </xdr:to>
    <xdr:pic>
      <xdr:nvPicPr>
        <xdr:cNvPr id="20" name="Picture 1" descr="Picture"/>
        <xdr:cNvPicPr>
          <a:picLocks noChangeAspect="1"/>
        </xdr:cNvPicPr>
      </xdr:nvPicPr>
      <xdr:blipFill>
        <a:blip r:embed="rId6"/>
        <a:stretch>
          <a:fillRect/>
        </a:stretch>
      </xdr:blipFill>
      <xdr:spPr>
        <a:xfrm>
          <a:off x="1898650" y="15392400"/>
          <a:ext cx="1860550" cy="774700"/>
        </a:xfrm>
        <a:prstGeom prst="rect">
          <a:avLst/>
        </a:prstGeom>
      </xdr:spPr>
    </xdr:pic>
    <xdr:clientData/>
  </xdr:twoCellAnchor>
  <xdr:twoCellAnchor>
    <xdr:from>
      <xdr:col>1</xdr:col>
      <xdr:colOff>12700</xdr:colOff>
      <xdr:row>22</xdr:row>
      <xdr:rowOff>12700</xdr:rowOff>
    </xdr:from>
    <xdr:to>
      <xdr:col>2</xdr:col>
      <xdr:colOff>-12700</xdr:colOff>
      <xdr:row>23</xdr:row>
      <xdr:rowOff>-12700</xdr:rowOff>
    </xdr:to>
    <xdr:pic>
      <xdr:nvPicPr>
        <xdr:cNvPr id="21" name="Picture 1" descr="Picture"/>
        <xdr:cNvPicPr>
          <a:picLocks noChangeAspect="1"/>
        </xdr:cNvPicPr>
      </xdr:nvPicPr>
      <xdr:blipFill>
        <a:blip r:embed="rId6"/>
        <a:stretch>
          <a:fillRect/>
        </a:stretch>
      </xdr:blipFill>
      <xdr:spPr>
        <a:xfrm>
          <a:off x="1898650" y="16192500"/>
          <a:ext cx="1860550" cy="774700"/>
        </a:xfrm>
        <a:prstGeom prst="rect">
          <a:avLst/>
        </a:prstGeom>
      </xdr:spPr>
    </xdr:pic>
    <xdr:clientData/>
  </xdr:twoCellAnchor>
  <xdr:twoCellAnchor>
    <xdr:from>
      <xdr:col>1</xdr:col>
      <xdr:colOff>12700</xdr:colOff>
      <xdr:row>23</xdr:row>
      <xdr:rowOff>12700</xdr:rowOff>
    </xdr:from>
    <xdr:to>
      <xdr:col>2</xdr:col>
      <xdr:colOff>-12700</xdr:colOff>
      <xdr:row>24</xdr:row>
      <xdr:rowOff>-12700</xdr:rowOff>
    </xdr:to>
    <xdr:pic>
      <xdr:nvPicPr>
        <xdr:cNvPr id="22" name="Picture 1" descr="Picture"/>
        <xdr:cNvPicPr>
          <a:picLocks noChangeAspect="1"/>
        </xdr:cNvPicPr>
      </xdr:nvPicPr>
      <xdr:blipFill>
        <a:blip r:embed="rId7"/>
        <a:stretch>
          <a:fillRect/>
        </a:stretch>
      </xdr:blipFill>
      <xdr:spPr>
        <a:xfrm>
          <a:off x="1898650" y="16992600"/>
          <a:ext cx="1860550" cy="774700"/>
        </a:xfrm>
        <a:prstGeom prst="rect">
          <a:avLst/>
        </a:prstGeom>
      </xdr:spPr>
    </xdr:pic>
    <xdr:clientData/>
  </xdr:twoCellAnchor>
  <xdr:twoCellAnchor>
    <xdr:from>
      <xdr:col>1</xdr:col>
      <xdr:colOff>12700</xdr:colOff>
      <xdr:row>24</xdr:row>
      <xdr:rowOff>12700</xdr:rowOff>
    </xdr:from>
    <xdr:to>
      <xdr:col>2</xdr:col>
      <xdr:colOff>-12700</xdr:colOff>
      <xdr:row>25</xdr:row>
      <xdr:rowOff>-12700</xdr:rowOff>
    </xdr:to>
    <xdr:pic>
      <xdr:nvPicPr>
        <xdr:cNvPr id="23" name="Picture 1" descr="Picture"/>
        <xdr:cNvPicPr>
          <a:picLocks noChangeAspect="1"/>
        </xdr:cNvPicPr>
      </xdr:nvPicPr>
      <xdr:blipFill>
        <a:blip r:embed="rId6"/>
        <a:stretch>
          <a:fillRect/>
        </a:stretch>
      </xdr:blipFill>
      <xdr:spPr>
        <a:xfrm>
          <a:off x="1898650" y="17792700"/>
          <a:ext cx="1860550" cy="774700"/>
        </a:xfrm>
        <a:prstGeom prst="rect">
          <a:avLst/>
        </a:prstGeom>
      </xdr:spPr>
    </xdr:pic>
    <xdr:clientData/>
  </xdr:twoCellAnchor>
  <xdr:twoCellAnchor>
    <xdr:from>
      <xdr:col>1</xdr:col>
      <xdr:colOff>12700</xdr:colOff>
      <xdr:row>25</xdr:row>
      <xdr:rowOff>12700</xdr:rowOff>
    </xdr:from>
    <xdr:to>
      <xdr:col>2</xdr:col>
      <xdr:colOff>-12700</xdr:colOff>
      <xdr:row>26</xdr:row>
      <xdr:rowOff>-12700</xdr:rowOff>
    </xdr:to>
    <xdr:pic>
      <xdr:nvPicPr>
        <xdr:cNvPr id="24" name="Picture 1" descr="Picture"/>
        <xdr:cNvPicPr>
          <a:picLocks noChangeAspect="1"/>
        </xdr:cNvPicPr>
      </xdr:nvPicPr>
      <xdr:blipFill>
        <a:blip r:embed="rId7"/>
        <a:stretch>
          <a:fillRect/>
        </a:stretch>
      </xdr:blipFill>
      <xdr:spPr>
        <a:xfrm>
          <a:off x="1898650" y="18592800"/>
          <a:ext cx="1860550" cy="774700"/>
        </a:xfrm>
        <a:prstGeom prst="rect">
          <a:avLst/>
        </a:prstGeom>
      </xdr:spPr>
    </xdr:pic>
    <xdr:clientData/>
  </xdr:twoCellAnchor>
  <xdr:twoCellAnchor>
    <xdr:from>
      <xdr:col>1</xdr:col>
      <xdr:colOff>12700</xdr:colOff>
      <xdr:row>26</xdr:row>
      <xdr:rowOff>12700</xdr:rowOff>
    </xdr:from>
    <xdr:to>
      <xdr:col>2</xdr:col>
      <xdr:colOff>-12700</xdr:colOff>
      <xdr:row>27</xdr:row>
      <xdr:rowOff>-12700</xdr:rowOff>
    </xdr:to>
    <xdr:pic>
      <xdr:nvPicPr>
        <xdr:cNvPr id="25" name="Picture 1" descr="Picture"/>
        <xdr:cNvPicPr>
          <a:picLocks noChangeAspect="1"/>
        </xdr:cNvPicPr>
      </xdr:nvPicPr>
      <xdr:blipFill>
        <a:blip r:embed="rId6"/>
        <a:stretch>
          <a:fillRect/>
        </a:stretch>
      </xdr:blipFill>
      <xdr:spPr>
        <a:xfrm>
          <a:off x="1898650" y="19392900"/>
          <a:ext cx="1860550" cy="774700"/>
        </a:xfrm>
        <a:prstGeom prst="rect">
          <a:avLst/>
        </a:prstGeom>
      </xdr:spPr>
    </xdr:pic>
    <xdr:clientData/>
  </xdr:twoCellAnchor>
  <xdr:twoCellAnchor>
    <xdr:from>
      <xdr:col>1</xdr:col>
      <xdr:colOff>12700</xdr:colOff>
      <xdr:row>27</xdr:row>
      <xdr:rowOff>12700</xdr:rowOff>
    </xdr:from>
    <xdr:to>
      <xdr:col>2</xdr:col>
      <xdr:colOff>-12700</xdr:colOff>
      <xdr:row>28</xdr:row>
      <xdr:rowOff>-12700</xdr:rowOff>
    </xdr:to>
    <xdr:pic>
      <xdr:nvPicPr>
        <xdr:cNvPr id="26" name="Picture 1" descr="Picture"/>
        <xdr:cNvPicPr>
          <a:picLocks noChangeAspect="1"/>
        </xdr:cNvPicPr>
      </xdr:nvPicPr>
      <xdr:blipFill>
        <a:blip r:embed="rId6"/>
        <a:stretch>
          <a:fillRect/>
        </a:stretch>
      </xdr:blipFill>
      <xdr:spPr>
        <a:xfrm>
          <a:off x="1898650" y="20193000"/>
          <a:ext cx="1860550" cy="774700"/>
        </a:xfrm>
        <a:prstGeom prst="rect">
          <a:avLst/>
        </a:prstGeom>
      </xdr:spPr>
    </xdr:pic>
    <xdr:clientData/>
  </xdr:twoCellAnchor>
  <xdr:twoCellAnchor>
    <xdr:from>
      <xdr:col>1</xdr:col>
      <xdr:colOff>12700</xdr:colOff>
      <xdr:row>28</xdr:row>
      <xdr:rowOff>12700</xdr:rowOff>
    </xdr:from>
    <xdr:to>
      <xdr:col>2</xdr:col>
      <xdr:colOff>-12700</xdr:colOff>
      <xdr:row>29</xdr:row>
      <xdr:rowOff>-12700</xdr:rowOff>
    </xdr:to>
    <xdr:pic>
      <xdr:nvPicPr>
        <xdr:cNvPr id="27" name="Picture 1" descr="Picture"/>
        <xdr:cNvPicPr>
          <a:picLocks noChangeAspect="1"/>
        </xdr:cNvPicPr>
      </xdr:nvPicPr>
      <xdr:blipFill>
        <a:blip r:embed="rId7"/>
        <a:stretch>
          <a:fillRect/>
        </a:stretch>
      </xdr:blipFill>
      <xdr:spPr>
        <a:xfrm>
          <a:off x="1898650" y="20993100"/>
          <a:ext cx="1860550" cy="774700"/>
        </a:xfrm>
        <a:prstGeom prst="rect">
          <a:avLst/>
        </a:prstGeom>
      </xdr:spPr>
    </xdr:pic>
    <xdr:clientData/>
  </xdr:twoCellAnchor>
  <xdr:twoCellAnchor>
    <xdr:from>
      <xdr:col>1</xdr:col>
      <xdr:colOff>12700</xdr:colOff>
      <xdr:row>29</xdr:row>
      <xdr:rowOff>12700</xdr:rowOff>
    </xdr:from>
    <xdr:to>
      <xdr:col>2</xdr:col>
      <xdr:colOff>-12700</xdr:colOff>
      <xdr:row>30</xdr:row>
      <xdr:rowOff>-12700</xdr:rowOff>
    </xdr:to>
    <xdr:pic>
      <xdr:nvPicPr>
        <xdr:cNvPr id="28" name="Picture 1" descr="Picture"/>
        <xdr:cNvPicPr>
          <a:picLocks noChangeAspect="1"/>
        </xdr:cNvPicPr>
      </xdr:nvPicPr>
      <xdr:blipFill>
        <a:blip r:embed="rId7"/>
        <a:stretch>
          <a:fillRect/>
        </a:stretch>
      </xdr:blipFill>
      <xdr:spPr>
        <a:xfrm>
          <a:off x="1898650" y="21793200"/>
          <a:ext cx="1860550" cy="774700"/>
        </a:xfrm>
        <a:prstGeom prst="rect">
          <a:avLst/>
        </a:prstGeom>
      </xdr:spPr>
    </xdr:pic>
    <xdr:clientData/>
  </xdr:twoCellAnchor>
  <xdr:twoCellAnchor>
    <xdr:from>
      <xdr:col>1</xdr:col>
      <xdr:colOff>12700</xdr:colOff>
      <xdr:row>30</xdr:row>
      <xdr:rowOff>12700</xdr:rowOff>
    </xdr:from>
    <xdr:to>
      <xdr:col>2</xdr:col>
      <xdr:colOff>-12700</xdr:colOff>
      <xdr:row>31</xdr:row>
      <xdr:rowOff>-12700</xdr:rowOff>
    </xdr:to>
    <xdr:pic>
      <xdr:nvPicPr>
        <xdr:cNvPr id="29" name="Picture 1" descr="Picture"/>
        <xdr:cNvPicPr>
          <a:picLocks noChangeAspect="1"/>
        </xdr:cNvPicPr>
      </xdr:nvPicPr>
      <xdr:blipFill>
        <a:blip r:embed="rId6"/>
        <a:stretch>
          <a:fillRect/>
        </a:stretch>
      </xdr:blipFill>
      <xdr:spPr>
        <a:xfrm>
          <a:off x="1898650" y="22593300"/>
          <a:ext cx="1860550" cy="774700"/>
        </a:xfrm>
        <a:prstGeom prst="rect">
          <a:avLst/>
        </a:prstGeom>
      </xdr:spPr>
    </xdr:pic>
    <xdr:clientData/>
  </xdr:twoCellAnchor>
  <xdr:twoCellAnchor>
    <xdr:from>
      <xdr:col>1</xdr:col>
      <xdr:colOff>12700</xdr:colOff>
      <xdr:row>31</xdr:row>
      <xdr:rowOff>12700</xdr:rowOff>
    </xdr:from>
    <xdr:to>
      <xdr:col>2</xdr:col>
      <xdr:colOff>-12700</xdr:colOff>
      <xdr:row>32</xdr:row>
      <xdr:rowOff>-12700</xdr:rowOff>
    </xdr:to>
    <xdr:pic>
      <xdr:nvPicPr>
        <xdr:cNvPr id="30" name="Picture 1" descr="Picture"/>
        <xdr:cNvPicPr>
          <a:picLocks noChangeAspect="1"/>
        </xdr:cNvPicPr>
      </xdr:nvPicPr>
      <xdr:blipFill>
        <a:blip r:embed="rId6"/>
        <a:stretch>
          <a:fillRect/>
        </a:stretch>
      </xdr:blipFill>
      <xdr:spPr>
        <a:xfrm>
          <a:off x="1898650" y="23393400"/>
          <a:ext cx="1860550" cy="774700"/>
        </a:xfrm>
        <a:prstGeom prst="rect">
          <a:avLst/>
        </a:prstGeom>
      </xdr:spPr>
    </xdr:pic>
    <xdr:clientData/>
  </xdr:twoCellAnchor>
  <xdr:twoCellAnchor>
    <xdr:from>
      <xdr:col>1</xdr:col>
      <xdr:colOff>12700</xdr:colOff>
      <xdr:row>32</xdr:row>
      <xdr:rowOff>12700</xdr:rowOff>
    </xdr:from>
    <xdr:to>
      <xdr:col>2</xdr:col>
      <xdr:colOff>-12700</xdr:colOff>
      <xdr:row>33</xdr:row>
      <xdr:rowOff>-12700</xdr:rowOff>
    </xdr:to>
    <xdr:pic>
      <xdr:nvPicPr>
        <xdr:cNvPr id="31" name="Picture 1" descr="Picture"/>
        <xdr:cNvPicPr>
          <a:picLocks noChangeAspect="1"/>
        </xdr:cNvPicPr>
      </xdr:nvPicPr>
      <xdr:blipFill>
        <a:blip r:embed="rId6"/>
        <a:stretch>
          <a:fillRect/>
        </a:stretch>
      </xdr:blipFill>
      <xdr:spPr>
        <a:xfrm>
          <a:off x="1898650" y="24193500"/>
          <a:ext cx="1860550" cy="774700"/>
        </a:xfrm>
        <a:prstGeom prst="rect">
          <a:avLst/>
        </a:prstGeom>
      </xdr:spPr>
    </xdr:pic>
    <xdr:clientData/>
  </xdr:twoCellAnchor>
  <xdr:twoCellAnchor>
    <xdr:from>
      <xdr:col>1</xdr:col>
      <xdr:colOff>12700</xdr:colOff>
      <xdr:row>33</xdr:row>
      <xdr:rowOff>12700</xdr:rowOff>
    </xdr:from>
    <xdr:to>
      <xdr:col>2</xdr:col>
      <xdr:colOff>-12700</xdr:colOff>
      <xdr:row>34</xdr:row>
      <xdr:rowOff>-12700</xdr:rowOff>
    </xdr:to>
    <xdr:pic>
      <xdr:nvPicPr>
        <xdr:cNvPr id="32" name="Picture 1" descr="Picture"/>
        <xdr:cNvPicPr>
          <a:picLocks noChangeAspect="1"/>
        </xdr:cNvPicPr>
      </xdr:nvPicPr>
      <xdr:blipFill>
        <a:blip r:embed="rId8"/>
        <a:stretch>
          <a:fillRect/>
        </a:stretch>
      </xdr:blipFill>
      <xdr:spPr>
        <a:xfrm>
          <a:off x="1898650" y="24993600"/>
          <a:ext cx="1860550" cy="774700"/>
        </a:xfrm>
        <a:prstGeom prst="rect">
          <a:avLst/>
        </a:prstGeom>
      </xdr:spPr>
    </xdr:pic>
    <xdr:clientData/>
  </xdr:twoCellAnchor>
  <xdr:twoCellAnchor>
    <xdr:from>
      <xdr:col>1</xdr:col>
      <xdr:colOff>12700</xdr:colOff>
      <xdr:row>34</xdr:row>
      <xdr:rowOff>12700</xdr:rowOff>
    </xdr:from>
    <xdr:to>
      <xdr:col>2</xdr:col>
      <xdr:colOff>-12700</xdr:colOff>
      <xdr:row>35</xdr:row>
      <xdr:rowOff>-12700</xdr:rowOff>
    </xdr:to>
    <xdr:pic>
      <xdr:nvPicPr>
        <xdr:cNvPr id="33" name="Picture 1" descr="Picture"/>
        <xdr:cNvPicPr>
          <a:picLocks noChangeAspect="1"/>
        </xdr:cNvPicPr>
      </xdr:nvPicPr>
      <xdr:blipFill>
        <a:blip r:embed="rId7"/>
        <a:stretch>
          <a:fillRect/>
        </a:stretch>
      </xdr:blipFill>
      <xdr:spPr>
        <a:xfrm>
          <a:off x="1898650" y="25793700"/>
          <a:ext cx="1860550" cy="774700"/>
        </a:xfrm>
        <a:prstGeom prst="rect">
          <a:avLst/>
        </a:prstGeom>
      </xdr:spPr>
    </xdr:pic>
    <xdr:clientData/>
  </xdr:twoCellAnchor>
  <xdr:twoCellAnchor>
    <xdr:from>
      <xdr:col>1</xdr:col>
      <xdr:colOff>12700</xdr:colOff>
      <xdr:row>35</xdr:row>
      <xdr:rowOff>12700</xdr:rowOff>
    </xdr:from>
    <xdr:to>
      <xdr:col>2</xdr:col>
      <xdr:colOff>-12700</xdr:colOff>
      <xdr:row>36</xdr:row>
      <xdr:rowOff>-12700</xdr:rowOff>
    </xdr:to>
    <xdr:pic>
      <xdr:nvPicPr>
        <xdr:cNvPr id="34" name="Picture 1" descr="Picture"/>
        <xdr:cNvPicPr>
          <a:picLocks noChangeAspect="1"/>
        </xdr:cNvPicPr>
      </xdr:nvPicPr>
      <xdr:blipFill>
        <a:blip r:embed="rId6"/>
        <a:stretch>
          <a:fillRect/>
        </a:stretch>
      </xdr:blipFill>
      <xdr:spPr>
        <a:xfrm>
          <a:off x="1898650" y="26593800"/>
          <a:ext cx="1860550" cy="774700"/>
        </a:xfrm>
        <a:prstGeom prst="rect">
          <a:avLst/>
        </a:prstGeom>
      </xdr:spPr>
    </xdr:pic>
    <xdr:clientData/>
  </xdr:twoCellAnchor>
  <xdr:twoCellAnchor>
    <xdr:from>
      <xdr:col>1</xdr:col>
      <xdr:colOff>12700</xdr:colOff>
      <xdr:row>36</xdr:row>
      <xdr:rowOff>12700</xdr:rowOff>
    </xdr:from>
    <xdr:to>
      <xdr:col>2</xdr:col>
      <xdr:colOff>-12700</xdr:colOff>
      <xdr:row>37</xdr:row>
      <xdr:rowOff>-12700</xdr:rowOff>
    </xdr:to>
    <xdr:pic>
      <xdr:nvPicPr>
        <xdr:cNvPr id="35" name="Picture 1" descr="Picture"/>
        <xdr:cNvPicPr>
          <a:picLocks noChangeAspect="1"/>
        </xdr:cNvPicPr>
      </xdr:nvPicPr>
      <xdr:blipFill>
        <a:blip r:embed="rId6"/>
        <a:stretch>
          <a:fillRect/>
        </a:stretch>
      </xdr:blipFill>
      <xdr:spPr>
        <a:xfrm>
          <a:off x="1898650" y="27393900"/>
          <a:ext cx="1860550" cy="774700"/>
        </a:xfrm>
        <a:prstGeom prst="rect">
          <a:avLst/>
        </a:prstGeom>
      </xdr:spPr>
    </xdr:pic>
    <xdr:clientData/>
  </xdr:twoCellAnchor>
  <xdr:twoCellAnchor>
    <xdr:from>
      <xdr:col>1</xdr:col>
      <xdr:colOff>12700</xdr:colOff>
      <xdr:row>37</xdr:row>
      <xdr:rowOff>12700</xdr:rowOff>
    </xdr:from>
    <xdr:to>
      <xdr:col>2</xdr:col>
      <xdr:colOff>-12700</xdr:colOff>
      <xdr:row>38</xdr:row>
      <xdr:rowOff>-12700</xdr:rowOff>
    </xdr:to>
    <xdr:pic>
      <xdr:nvPicPr>
        <xdr:cNvPr id="36" name="Picture 1" descr="Picture"/>
        <xdr:cNvPicPr>
          <a:picLocks noChangeAspect="1"/>
        </xdr:cNvPicPr>
      </xdr:nvPicPr>
      <xdr:blipFill>
        <a:blip r:embed="rId8"/>
        <a:stretch>
          <a:fillRect/>
        </a:stretch>
      </xdr:blipFill>
      <xdr:spPr>
        <a:xfrm>
          <a:off x="1898650" y="28194000"/>
          <a:ext cx="1860550" cy="774700"/>
        </a:xfrm>
        <a:prstGeom prst="rect">
          <a:avLst/>
        </a:prstGeom>
      </xdr:spPr>
    </xdr:pic>
    <xdr:clientData/>
  </xdr:twoCellAnchor>
  <xdr:twoCellAnchor>
    <xdr:from>
      <xdr:col>1</xdr:col>
      <xdr:colOff>12700</xdr:colOff>
      <xdr:row>38</xdr:row>
      <xdr:rowOff>12700</xdr:rowOff>
    </xdr:from>
    <xdr:to>
      <xdr:col>2</xdr:col>
      <xdr:colOff>-12700</xdr:colOff>
      <xdr:row>39</xdr:row>
      <xdr:rowOff>-12700</xdr:rowOff>
    </xdr:to>
    <xdr:pic>
      <xdr:nvPicPr>
        <xdr:cNvPr id="37" name="Picture 1" descr="Picture"/>
        <xdr:cNvPicPr>
          <a:picLocks noChangeAspect="1"/>
        </xdr:cNvPicPr>
      </xdr:nvPicPr>
      <xdr:blipFill>
        <a:blip r:embed="rId9"/>
        <a:stretch>
          <a:fillRect/>
        </a:stretch>
      </xdr:blipFill>
      <xdr:spPr>
        <a:xfrm>
          <a:off x="1898650" y="28994100"/>
          <a:ext cx="1860550" cy="774700"/>
        </a:xfrm>
        <a:prstGeom prst="rect">
          <a:avLst/>
        </a:prstGeom>
      </xdr:spPr>
    </xdr:pic>
    <xdr:clientData/>
  </xdr:twoCellAnchor>
  <xdr:twoCellAnchor>
    <xdr:from>
      <xdr:col>1</xdr:col>
      <xdr:colOff>12700</xdr:colOff>
      <xdr:row>39</xdr:row>
      <xdr:rowOff>12700</xdr:rowOff>
    </xdr:from>
    <xdr:to>
      <xdr:col>2</xdr:col>
      <xdr:colOff>-12700</xdr:colOff>
      <xdr:row>40</xdr:row>
      <xdr:rowOff>-12700</xdr:rowOff>
    </xdr:to>
    <xdr:pic>
      <xdr:nvPicPr>
        <xdr:cNvPr id="38" name="Picture 1" descr="Picture"/>
        <xdr:cNvPicPr>
          <a:picLocks noChangeAspect="1"/>
        </xdr:cNvPicPr>
      </xdr:nvPicPr>
      <xdr:blipFill>
        <a:blip r:embed="rId10"/>
        <a:stretch>
          <a:fillRect/>
        </a:stretch>
      </xdr:blipFill>
      <xdr:spPr>
        <a:xfrm>
          <a:off x="1898650" y="29794200"/>
          <a:ext cx="1860550" cy="774700"/>
        </a:xfrm>
        <a:prstGeom prst="rect">
          <a:avLst/>
        </a:prstGeom>
      </xdr:spPr>
    </xdr:pic>
    <xdr:clientData/>
  </xdr:twoCellAnchor>
  <xdr:twoCellAnchor>
    <xdr:from>
      <xdr:col>1</xdr:col>
      <xdr:colOff>12700</xdr:colOff>
      <xdr:row>40</xdr:row>
      <xdr:rowOff>12700</xdr:rowOff>
    </xdr:from>
    <xdr:to>
      <xdr:col>2</xdr:col>
      <xdr:colOff>-12700</xdr:colOff>
      <xdr:row>41</xdr:row>
      <xdr:rowOff>-12700</xdr:rowOff>
    </xdr:to>
    <xdr:pic>
      <xdr:nvPicPr>
        <xdr:cNvPr id="39" name="Picture 1" descr="Picture"/>
        <xdr:cNvPicPr>
          <a:picLocks noChangeAspect="1"/>
        </xdr:cNvPicPr>
      </xdr:nvPicPr>
      <xdr:blipFill>
        <a:blip r:embed="rId11"/>
        <a:stretch>
          <a:fillRect/>
        </a:stretch>
      </xdr:blipFill>
      <xdr:spPr>
        <a:xfrm>
          <a:off x="1898650" y="30594300"/>
          <a:ext cx="1860550" cy="774700"/>
        </a:xfrm>
        <a:prstGeom prst="rect">
          <a:avLst/>
        </a:prstGeom>
      </xdr:spPr>
    </xdr:pic>
    <xdr:clientData/>
  </xdr:twoCellAnchor>
  <xdr:twoCellAnchor>
    <xdr:from>
      <xdr:col>1</xdr:col>
      <xdr:colOff>12700</xdr:colOff>
      <xdr:row>41</xdr:row>
      <xdr:rowOff>12700</xdr:rowOff>
    </xdr:from>
    <xdr:to>
      <xdr:col>2</xdr:col>
      <xdr:colOff>-12700</xdr:colOff>
      <xdr:row>42</xdr:row>
      <xdr:rowOff>-12700</xdr:rowOff>
    </xdr:to>
    <xdr:pic>
      <xdr:nvPicPr>
        <xdr:cNvPr id="40" name="Picture 1" descr="Picture"/>
        <xdr:cNvPicPr>
          <a:picLocks noChangeAspect="1"/>
        </xdr:cNvPicPr>
      </xdr:nvPicPr>
      <xdr:blipFill>
        <a:blip r:embed="rId10"/>
        <a:stretch>
          <a:fillRect/>
        </a:stretch>
      </xdr:blipFill>
      <xdr:spPr>
        <a:xfrm>
          <a:off x="1898650" y="31394400"/>
          <a:ext cx="1860550" cy="774700"/>
        </a:xfrm>
        <a:prstGeom prst="rect">
          <a:avLst/>
        </a:prstGeom>
      </xdr:spPr>
    </xdr:pic>
    <xdr:clientData/>
  </xdr:twoCellAnchor>
  <xdr:twoCellAnchor>
    <xdr:from>
      <xdr:col>1</xdr:col>
      <xdr:colOff>12700</xdr:colOff>
      <xdr:row>42</xdr:row>
      <xdr:rowOff>12700</xdr:rowOff>
    </xdr:from>
    <xdr:to>
      <xdr:col>2</xdr:col>
      <xdr:colOff>-12700</xdr:colOff>
      <xdr:row>43</xdr:row>
      <xdr:rowOff>-12700</xdr:rowOff>
    </xdr:to>
    <xdr:pic>
      <xdr:nvPicPr>
        <xdr:cNvPr id="41" name="Picture 1" descr="Picture"/>
        <xdr:cNvPicPr>
          <a:picLocks noChangeAspect="1"/>
        </xdr:cNvPicPr>
      </xdr:nvPicPr>
      <xdr:blipFill>
        <a:blip r:embed="rId12"/>
        <a:stretch>
          <a:fillRect/>
        </a:stretch>
      </xdr:blipFill>
      <xdr:spPr>
        <a:xfrm>
          <a:off x="1898650" y="32194500"/>
          <a:ext cx="1860550" cy="774700"/>
        </a:xfrm>
        <a:prstGeom prst="rect">
          <a:avLst/>
        </a:prstGeom>
      </xdr:spPr>
    </xdr:pic>
    <xdr:clientData/>
  </xdr:twoCellAnchor>
  <xdr:twoCellAnchor>
    <xdr:from>
      <xdr:col>1</xdr:col>
      <xdr:colOff>12700</xdr:colOff>
      <xdr:row>43</xdr:row>
      <xdr:rowOff>12700</xdr:rowOff>
    </xdr:from>
    <xdr:to>
      <xdr:col>2</xdr:col>
      <xdr:colOff>-12700</xdr:colOff>
      <xdr:row>44</xdr:row>
      <xdr:rowOff>-12700</xdr:rowOff>
    </xdr:to>
    <xdr:pic>
      <xdr:nvPicPr>
        <xdr:cNvPr id="42" name="Picture 1" descr="Picture"/>
        <xdr:cNvPicPr>
          <a:picLocks noChangeAspect="1"/>
        </xdr:cNvPicPr>
      </xdr:nvPicPr>
      <xdr:blipFill>
        <a:blip r:embed="rId13"/>
        <a:stretch>
          <a:fillRect/>
        </a:stretch>
      </xdr:blipFill>
      <xdr:spPr>
        <a:xfrm>
          <a:off x="1898650" y="32994600"/>
          <a:ext cx="1860550" cy="774700"/>
        </a:xfrm>
        <a:prstGeom prst="rect">
          <a:avLst/>
        </a:prstGeom>
      </xdr:spPr>
    </xdr:pic>
    <xdr:clientData/>
  </xdr:twoCellAnchor>
  <xdr:twoCellAnchor>
    <xdr:from>
      <xdr:col>1</xdr:col>
      <xdr:colOff>12700</xdr:colOff>
      <xdr:row>44</xdr:row>
      <xdr:rowOff>12700</xdr:rowOff>
    </xdr:from>
    <xdr:to>
      <xdr:col>2</xdr:col>
      <xdr:colOff>-12700</xdr:colOff>
      <xdr:row>45</xdr:row>
      <xdr:rowOff>-12700</xdr:rowOff>
    </xdr:to>
    <xdr:pic>
      <xdr:nvPicPr>
        <xdr:cNvPr id="43" name="Picture 1" descr="Picture"/>
        <xdr:cNvPicPr>
          <a:picLocks noChangeAspect="1"/>
        </xdr:cNvPicPr>
      </xdr:nvPicPr>
      <xdr:blipFill>
        <a:blip r:embed="rId14"/>
        <a:stretch>
          <a:fillRect/>
        </a:stretch>
      </xdr:blipFill>
      <xdr:spPr>
        <a:xfrm>
          <a:off x="1898650" y="33794700"/>
          <a:ext cx="1860550" cy="774700"/>
        </a:xfrm>
        <a:prstGeom prst="rect">
          <a:avLst/>
        </a:prstGeom>
      </xdr:spPr>
    </xdr:pic>
    <xdr:clientData/>
  </xdr:twoCellAnchor>
  <xdr:twoCellAnchor>
    <xdr:from>
      <xdr:col>1</xdr:col>
      <xdr:colOff>12700</xdr:colOff>
      <xdr:row>45</xdr:row>
      <xdr:rowOff>12700</xdr:rowOff>
    </xdr:from>
    <xdr:to>
      <xdr:col>2</xdr:col>
      <xdr:colOff>-12700</xdr:colOff>
      <xdr:row>46</xdr:row>
      <xdr:rowOff>-12700</xdr:rowOff>
    </xdr:to>
    <xdr:pic>
      <xdr:nvPicPr>
        <xdr:cNvPr id="44" name="Picture 1" descr="Picture"/>
        <xdr:cNvPicPr>
          <a:picLocks noChangeAspect="1"/>
        </xdr:cNvPicPr>
      </xdr:nvPicPr>
      <xdr:blipFill>
        <a:blip r:embed="rId14"/>
        <a:stretch>
          <a:fillRect/>
        </a:stretch>
      </xdr:blipFill>
      <xdr:spPr>
        <a:xfrm>
          <a:off x="1898650" y="34594800"/>
          <a:ext cx="1860550" cy="774700"/>
        </a:xfrm>
        <a:prstGeom prst="rect">
          <a:avLst/>
        </a:prstGeom>
      </xdr:spPr>
    </xdr:pic>
    <xdr:clientData/>
  </xdr:twoCellAnchor>
  <xdr:twoCellAnchor>
    <xdr:from>
      <xdr:col>1</xdr:col>
      <xdr:colOff>12700</xdr:colOff>
      <xdr:row>46</xdr:row>
      <xdr:rowOff>12700</xdr:rowOff>
    </xdr:from>
    <xdr:to>
      <xdr:col>2</xdr:col>
      <xdr:colOff>-12700</xdr:colOff>
      <xdr:row>47</xdr:row>
      <xdr:rowOff>-12700</xdr:rowOff>
    </xdr:to>
    <xdr:pic>
      <xdr:nvPicPr>
        <xdr:cNvPr id="45" name="Picture 1" descr="Picture"/>
        <xdr:cNvPicPr>
          <a:picLocks noChangeAspect="1"/>
        </xdr:cNvPicPr>
      </xdr:nvPicPr>
      <xdr:blipFill>
        <a:blip r:embed="rId15"/>
        <a:stretch>
          <a:fillRect/>
        </a:stretch>
      </xdr:blipFill>
      <xdr:spPr>
        <a:xfrm>
          <a:off x="1898650" y="35394900"/>
          <a:ext cx="1860550" cy="774700"/>
        </a:xfrm>
        <a:prstGeom prst="rect">
          <a:avLst/>
        </a:prstGeom>
      </xdr:spPr>
    </xdr:pic>
    <xdr:clientData/>
  </xdr:twoCellAnchor>
  <xdr:twoCellAnchor>
    <xdr:from>
      <xdr:col>1</xdr:col>
      <xdr:colOff>12700</xdr:colOff>
      <xdr:row>47</xdr:row>
      <xdr:rowOff>12700</xdr:rowOff>
    </xdr:from>
    <xdr:to>
      <xdr:col>2</xdr:col>
      <xdr:colOff>-12700</xdr:colOff>
      <xdr:row>48</xdr:row>
      <xdr:rowOff>-12700</xdr:rowOff>
    </xdr:to>
    <xdr:pic>
      <xdr:nvPicPr>
        <xdr:cNvPr id="46" name="Picture 1" descr="Picture"/>
        <xdr:cNvPicPr>
          <a:picLocks noChangeAspect="1"/>
        </xdr:cNvPicPr>
      </xdr:nvPicPr>
      <xdr:blipFill>
        <a:blip r:embed="rId15"/>
        <a:stretch>
          <a:fillRect/>
        </a:stretch>
      </xdr:blipFill>
      <xdr:spPr>
        <a:xfrm>
          <a:off x="1898650" y="36195000"/>
          <a:ext cx="1860550" cy="774700"/>
        </a:xfrm>
        <a:prstGeom prst="rect">
          <a:avLst/>
        </a:prstGeom>
      </xdr:spPr>
    </xdr:pic>
    <xdr:clientData/>
  </xdr:twoCellAnchor>
  <xdr:twoCellAnchor>
    <xdr:from>
      <xdr:col>1</xdr:col>
      <xdr:colOff>12700</xdr:colOff>
      <xdr:row>48</xdr:row>
      <xdr:rowOff>12700</xdr:rowOff>
    </xdr:from>
    <xdr:to>
      <xdr:col>2</xdr:col>
      <xdr:colOff>-12700</xdr:colOff>
      <xdr:row>49</xdr:row>
      <xdr:rowOff>-12700</xdr:rowOff>
    </xdr:to>
    <xdr:pic>
      <xdr:nvPicPr>
        <xdr:cNvPr id="47" name="Picture 1" descr="Picture"/>
        <xdr:cNvPicPr>
          <a:picLocks noChangeAspect="1"/>
        </xdr:cNvPicPr>
      </xdr:nvPicPr>
      <xdr:blipFill>
        <a:blip r:embed="rId16"/>
        <a:stretch>
          <a:fillRect/>
        </a:stretch>
      </xdr:blipFill>
      <xdr:spPr>
        <a:xfrm>
          <a:off x="1898650" y="36995100"/>
          <a:ext cx="1860550" cy="774700"/>
        </a:xfrm>
        <a:prstGeom prst="rect">
          <a:avLst/>
        </a:prstGeom>
      </xdr:spPr>
    </xdr:pic>
    <xdr:clientData/>
  </xdr:twoCellAnchor>
  <xdr:twoCellAnchor>
    <xdr:from>
      <xdr:col>1</xdr:col>
      <xdr:colOff>12700</xdr:colOff>
      <xdr:row>49</xdr:row>
      <xdr:rowOff>12700</xdr:rowOff>
    </xdr:from>
    <xdr:to>
      <xdr:col>2</xdr:col>
      <xdr:colOff>-12700</xdr:colOff>
      <xdr:row>50</xdr:row>
      <xdr:rowOff>-12700</xdr:rowOff>
    </xdr:to>
    <xdr:pic>
      <xdr:nvPicPr>
        <xdr:cNvPr id="48" name="Picture 1" descr="Picture"/>
        <xdr:cNvPicPr>
          <a:picLocks noChangeAspect="1"/>
        </xdr:cNvPicPr>
      </xdr:nvPicPr>
      <xdr:blipFill>
        <a:blip r:embed="rId16"/>
        <a:stretch>
          <a:fillRect/>
        </a:stretch>
      </xdr:blipFill>
      <xdr:spPr>
        <a:xfrm>
          <a:off x="1898650" y="37795200"/>
          <a:ext cx="1860550" cy="774700"/>
        </a:xfrm>
        <a:prstGeom prst="rect">
          <a:avLst/>
        </a:prstGeom>
      </xdr:spPr>
    </xdr:pic>
    <xdr:clientData/>
  </xdr:twoCellAnchor>
  <xdr:twoCellAnchor>
    <xdr:from>
      <xdr:col>1</xdr:col>
      <xdr:colOff>12700</xdr:colOff>
      <xdr:row>50</xdr:row>
      <xdr:rowOff>12700</xdr:rowOff>
    </xdr:from>
    <xdr:to>
      <xdr:col>2</xdr:col>
      <xdr:colOff>-12700</xdr:colOff>
      <xdr:row>51</xdr:row>
      <xdr:rowOff>-12700</xdr:rowOff>
    </xdr:to>
    <xdr:pic>
      <xdr:nvPicPr>
        <xdr:cNvPr id="49" name="Picture 1" descr="Picture"/>
        <xdr:cNvPicPr>
          <a:picLocks noChangeAspect="1"/>
        </xdr:cNvPicPr>
      </xdr:nvPicPr>
      <xdr:blipFill>
        <a:blip r:embed="rId15"/>
        <a:stretch>
          <a:fillRect/>
        </a:stretch>
      </xdr:blipFill>
      <xdr:spPr>
        <a:xfrm>
          <a:off x="1898650" y="38595300"/>
          <a:ext cx="1860550" cy="774700"/>
        </a:xfrm>
        <a:prstGeom prst="rect">
          <a:avLst/>
        </a:prstGeom>
      </xdr:spPr>
    </xdr:pic>
    <xdr:clientData/>
  </xdr:twoCellAnchor>
  <xdr:twoCellAnchor>
    <xdr:from>
      <xdr:col>1</xdr:col>
      <xdr:colOff>12700</xdr:colOff>
      <xdr:row>51</xdr:row>
      <xdr:rowOff>12700</xdr:rowOff>
    </xdr:from>
    <xdr:to>
      <xdr:col>2</xdr:col>
      <xdr:colOff>-12700</xdr:colOff>
      <xdr:row>52</xdr:row>
      <xdr:rowOff>-12700</xdr:rowOff>
    </xdr:to>
    <xdr:pic>
      <xdr:nvPicPr>
        <xdr:cNvPr id="50" name="Picture 1" descr="Picture"/>
        <xdr:cNvPicPr>
          <a:picLocks noChangeAspect="1"/>
        </xdr:cNvPicPr>
      </xdr:nvPicPr>
      <xdr:blipFill>
        <a:blip r:embed="rId15"/>
        <a:stretch>
          <a:fillRect/>
        </a:stretch>
      </xdr:blipFill>
      <xdr:spPr>
        <a:xfrm>
          <a:off x="1898650" y="39395400"/>
          <a:ext cx="1860550" cy="774700"/>
        </a:xfrm>
        <a:prstGeom prst="rect">
          <a:avLst/>
        </a:prstGeom>
      </xdr:spPr>
    </xdr:pic>
    <xdr:clientData/>
  </xdr:twoCellAnchor>
  <xdr:twoCellAnchor>
    <xdr:from>
      <xdr:col>1</xdr:col>
      <xdr:colOff>12700</xdr:colOff>
      <xdr:row>52</xdr:row>
      <xdr:rowOff>12700</xdr:rowOff>
    </xdr:from>
    <xdr:to>
      <xdr:col>2</xdr:col>
      <xdr:colOff>-12700</xdr:colOff>
      <xdr:row>53</xdr:row>
      <xdr:rowOff>-12700</xdr:rowOff>
    </xdr:to>
    <xdr:pic>
      <xdr:nvPicPr>
        <xdr:cNvPr id="51" name="Picture 1" descr="Picture"/>
        <xdr:cNvPicPr>
          <a:picLocks noChangeAspect="1"/>
        </xdr:cNvPicPr>
      </xdr:nvPicPr>
      <xdr:blipFill>
        <a:blip r:embed="rId16"/>
        <a:stretch>
          <a:fillRect/>
        </a:stretch>
      </xdr:blipFill>
      <xdr:spPr>
        <a:xfrm>
          <a:off x="1898650" y="40195500"/>
          <a:ext cx="1860550" cy="7747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438785</xdr:colOff>
      <xdr:row>3</xdr:row>
      <xdr:rowOff>12700</xdr:rowOff>
    </xdr:to>
    <xdr:pic>
      <xdr:nvPicPr>
        <xdr:cNvPr id="3" name="ID_3AEB9A330C524FB5BD9B8DAFFD1158FB" descr="XAWecU"/>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4" name="ID_DCD11B86A949439FBC02260DADAA715F" descr="FOxFRI"/>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5" name="ID_2F737C56D4C3442B88F0172D13AC9073" descr="XRGyEQ"/>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6" name="ID_78B39A8B30174151B10386977A01A00B" descr="KagsCC"/>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7" name="ID_C61978CC33FE411689E887D80F907B34" descr="Lxnseu"/>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8" name="ID_0D0BA0BD53574F0790C5AC0E7AF52BC6" descr="wiqJcW"/>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9" name="ID_A639BDD6A3044EB9BD8EAFAC9C96AE0E" descr="tCNTkb"/>
        <xdr:cNvPicPr/>
      </xdr:nvPicPr>
      <xdr:blipFill>
        <a:blip r:embed="rId1"/>
        <a:stretch>
          <a:fillRect/>
        </a:stretch>
      </xdr:blipFill>
      <xdr:spPr>
        <a:xfrm>
          <a:off x="38100" y="38100"/>
          <a:ext cx="1724025" cy="508000"/>
        </a:xfrm>
        <a:prstGeom prst="rect">
          <a:avLst/>
        </a:prstGeom>
      </xdr:spPr>
    </xdr:pic>
    <xdr:clientData/>
  </xdr:twoCellAnchor>
  <xdr:twoCellAnchor editAs="oneCell">
    <xdr:from>
      <xdr:col>0</xdr:col>
      <xdr:colOff>0</xdr:colOff>
      <xdr:row>0</xdr:row>
      <xdr:rowOff>0</xdr:rowOff>
    </xdr:from>
    <xdr:to>
      <xdr:col>2</xdr:col>
      <xdr:colOff>438785</xdr:colOff>
      <xdr:row>3</xdr:row>
      <xdr:rowOff>12700</xdr:rowOff>
    </xdr:to>
    <xdr:pic>
      <xdr:nvPicPr>
        <xdr:cNvPr id="10" name="ID_71398AB74A324609B25E3239AC00463C" descr="uWemSp"/>
        <xdr:cNvPicPr/>
      </xdr:nvPicPr>
      <xdr:blipFill>
        <a:blip r:embed="rId1"/>
        <a:stretch>
          <a:fillRect/>
        </a:stretch>
      </xdr:blipFill>
      <xdr:spPr>
        <a:xfrm>
          <a:off x="38100" y="38100"/>
          <a:ext cx="1724025" cy="50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44"/>
  <sheetViews>
    <sheetView tabSelected="1" topLeftCell="A200" workbookViewId="0">
      <selection activeCell="E164" sqref="E164"/>
    </sheetView>
  </sheetViews>
  <sheetFormatPr defaultColWidth="14" defaultRowHeight="13"/>
  <cols>
    <col min="1" max="20" width="27" customWidth="1"/>
  </cols>
  <sheetData>
    <row r="1" ht="15.5" spans="1:10">
      <c r="A1" s="3" t="s">
        <v>0</v>
      </c>
      <c r="B1" s="2"/>
      <c r="C1" s="2"/>
      <c r="D1" s="2"/>
    </row>
    <row r="2" ht="15.5" spans="1:10">
      <c r="A2" s="55" t="s">
        <v>1</v>
      </c>
      <c r="B2" s="9" t="s">
        <v>2</v>
      </c>
      <c r="C2" s="83"/>
      <c r="D2" s="53"/>
    </row>
    <row r="3" ht="15.5" spans="1:10">
      <c r="A3" s="55" t="s">
        <v>3</v>
      </c>
      <c r="B3" s="9" t="s">
        <v>4</v>
      </c>
      <c r="C3" s="55" t="s">
        <v>5</v>
      </c>
      <c r="D3" s="9" t="s">
        <v>6</v>
      </c>
    </row>
    <row r="4" ht="15.5" spans="1:10">
      <c r="A4" s="55" t="s">
        <v>7</v>
      </c>
      <c r="B4" s="9" t="s">
        <v>8</v>
      </c>
      <c r="C4" s="55" t="s">
        <v>9</v>
      </c>
      <c r="D4" s="9" t="s">
        <v>9</v>
      </c>
    </row>
    <row r="5" ht="15.5" spans="1:10">
      <c r="A5" s="55" t="s">
        <v>10</v>
      </c>
      <c r="B5" s="9" t="s">
        <v>6</v>
      </c>
      <c r="C5" s="55" t="s">
        <v>11</v>
      </c>
      <c r="D5" s="9" t="s">
        <v>12</v>
      </c>
    </row>
    <row r="6" ht="15.5" spans="1:10">
      <c r="A6" s="55" t="s">
        <v>13</v>
      </c>
      <c r="B6" s="8" t="s">
        <v>14</v>
      </c>
      <c r="C6" s="55" t="s">
        <v>15</v>
      </c>
      <c r="D6" s="9" t="s">
        <v>16</v>
      </c>
    </row>
    <row r="7" ht="15.5" spans="1:10">
      <c r="A7" s="55" t="s">
        <v>17</v>
      </c>
      <c r="B7" s="9" t="s">
        <v>12</v>
      </c>
      <c r="C7" s="55" t="s">
        <v>18</v>
      </c>
      <c r="D7" s="9" t="s">
        <v>19</v>
      </c>
    </row>
    <row r="8" ht="15.5" spans="1:10">
      <c r="A8" s="55" t="s">
        <v>20</v>
      </c>
      <c r="B8" s="9" t="s">
        <v>21</v>
      </c>
      <c r="C8" s="55" t="s">
        <v>22</v>
      </c>
      <c r="D8" s="8" t="s">
        <v>23</v>
      </c>
    </row>
    <row r="9" ht="15.5" spans="1:10">
      <c r="A9" s="55" t="s">
        <v>24</v>
      </c>
      <c r="B9" s="9" t="s">
        <v>25</v>
      </c>
      <c r="C9" s="55" t="s">
        <v>26</v>
      </c>
      <c r="D9" s="9" t="s">
        <v>27</v>
      </c>
    </row>
    <row r="10" ht="15.5" spans="1:10">
      <c r="A10" s="55" t="s">
        <v>28</v>
      </c>
      <c r="B10" s="9" t="s">
        <v>29</v>
      </c>
      <c r="C10" s="55" t="s">
        <v>30</v>
      </c>
      <c r="D10" s="9" t="s">
        <v>31</v>
      </c>
    </row>
    <row r="11" ht="15.5" spans="1:10">
      <c r="A11" s="55" t="s">
        <v>32</v>
      </c>
      <c r="B11" s="9" t="s">
        <v>33</v>
      </c>
      <c r="C11" s="55" t="s">
        <v>34</v>
      </c>
      <c r="D11" s="9" t="s">
        <v>35</v>
      </c>
    </row>
    <row r="12" ht="15.5" spans="1:10">
      <c r="A12" s="55" t="s">
        <v>36</v>
      </c>
      <c r="B12" s="9" t="s">
        <v>37</v>
      </c>
      <c r="C12" s="55" t="s">
        <v>38</v>
      </c>
      <c r="D12" s="9" t="s">
        <v>39</v>
      </c>
    </row>
    <row r="13" ht="15.5" spans="1:10">
      <c r="A13" s="55" t="s">
        <v>40</v>
      </c>
      <c r="B13" s="9" t="s">
        <v>41</v>
      </c>
      <c r="C13" s="55" t="s">
        <v>42</v>
      </c>
      <c r="D13" s="9" t="s">
        <v>43</v>
      </c>
    </row>
    <row r="14" spans="1:10">
      <c r="A14" s="2"/>
      <c r="B14" s="2"/>
      <c r="C14" s="47"/>
      <c r="D14" s="2"/>
    </row>
    <row r="16" ht="15.5" spans="1:10">
      <c r="A16" s="3" t="s">
        <v>44</v>
      </c>
      <c r="B16" s="2" t="s">
        <v>45</v>
      </c>
      <c r="C16" s="2"/>
      <c r="D16" s="2"/>
      <c r="E16" s="2"/>
      <c r="F16" s="2"/>
      <c r="G16" s="2"/>
      <c r="H16" s="2"/>
      <c r="I16" s="2"/>
      <c r="J16" s="2"/>
    </row>
    <row r="17" ht="15.5" spans="1:10">
      <c r="A17" s="55" t="s">
        <v>46</v>
      </c>
      <c r="B17" s="55" t="s">
        <v>47</v>
      </c>
      <c r="C17" s="55" t="s">
        <v>48</v>
      </c>
      <c r="D17" s="55" t="s">
        <v>49</v>
      </c>
      <c r="E17" s="55" t="s">
        <v>50</v>
      </c>
      <c r="F17" s="55" t="s">
        <v>51</v>
      </c>
      <c r="G17" s="55" t="s">
        <v>52</v>
      </c>
      <c r="H17" s="55" t="s">
        <v>53</v>
      </c>
      <c r="I17" s="55" t="s">
        <v>54</v>
      </c>
      <c r="J17" s="55" t="s">
        <v>55</v>
      </c>
    </row>
    <row r="18" spans="1:10">
      <c r="A18" s="9">
        <v>1</v>
      </c>
      <c r="B18" s="84" t="s">
        <v>4</v>
      </c>
      <c r="C18" s="9" t="s">
        <v>56</v>
      </c>
      <c r="D18" s="9" t="s">
        <v>57</v>
      </c>
      <c r="E18" s="9" t="s">
        <v>58</v>
      </c>
      <c r="F18" s="9" t="s">
        <v>59</v>
      </c>
      <c r="G18" s="9" t="s">
        <v>60</v>
      </c>
      <c r="H18" s="9" t="s">
        <v>61</v>
      </c>
      <c r="I18" s="9" t="s">
        <v>62</v>
      </c>
      <c r="J18" s="9" t="s">
        <v>63</v>
      </c>
    </row>
    <row r="19" spans="1:10">
      <c r="A19" s="9">
        <v>2</v>
      </c>
      <c r="B19" s="84" t="s">
        <v>64</v>
      </c>
      <c r="C19" s="9" t="s">
        <v>56</v>
      </c>
      <c r="D19" s="9" t="s">
        <v>65</v>
      </c>
      <c r="E19" s="9" t="s">
        <v>66</v>
      </c>
      <c r="F19" s="9" t="s">
        <v>67</v>
      </c>
      <c r="G19" s="9" t="s">
        <v>67</v>
      </c>
      <c r="H19" s="9" t="s">
        <v>67</v>
      </c>
      <c r="I19" s="9" t="s">
        <v>68</v>
      </c>
      <c r="J19" s="9" t="s">
        <v>69</v>
      </c>
    </row>
    <row r="20" spans="1:10">
      <c r="A20" s="9">
        <v>3</v>
      </c>
      <c r="B20" s="84" t="s">
        <v>70</v>
      </c>
      <c r="C20" s="9" t="s">
        <v>56</v>
      </c>
      <c r="D20" s="9" t="s">
        <v>65</v>
      </c>
      <c r="E20" s="9" t="s">
        <v>71</v>
      </c>
      <c r="F20" s="9" t="s">
        <v>72</v>
      </c>
      <c r="G20" s="9" t="s">
        <v>67</v>
      </c>
      <c r="H20" s="9" t="s">
        <v>67</v>
      </c>
      <c r="I20" s="9" t="s">
        <v>73</v>
      </c>
      <c r="J20" s="9" t="s">
        <v>63</v>
      </c>
    </row>
    <row r="21" spans="1:10">
      <c r="A21" s="9">
        <v>4</v>
      </c>
      <c r="B21" s="84" t="s">
        <v>74</v>
      </c>
      <c r="C21" s="9" t="s">
        <v>56</v>
      </c>
      <c r="D21" s="9" t="s">
        <v>57</v>
      </c>
      <c r="E21" s="9" t="s">
        <v>75</v>
      </c>
      <c r="F21" s="9" t="s">
        <v>76</v>
      </c>
      <c r="G21" s="9" t="s">
        <v>67</v>
      </c>
      <c r="H21" s="9" t="s">
        <v>77</v>
      </c>
      <c r="I21" s="9" t="s">
        <v>78</v>
      </c>
      <c r="J21" s="9" t="s">
        <v>63</v>
      </c>
    </row>
    <row r="22" spans="1:10">
      <c r="A22" s="9">
        <v>5</v>
      </c>
      <c r="B22" s="84" t="s">
        <v>79</v>
      </c>
      <c r="C22" s="9" t="s">
        <v>56</v>
      </c>
      <c r="D22" s="9" t="s">
        <v>80</v>
      </c>
      <c r="E22" s="9" t="s">
        <v>81</v>
      </c>
      <c r="F22" s="9" t="s">
        <v>82</v>
      </c>
      <c r="G22" s="9" t="s">
        <v>67</v>
      </c>
      <c r="H22" s="9" t="s">
        <v>83</v>
      </c>
      <c r="I22" s="9" t="s">
        <v>78</v>
      </c>
      <c r="J22" s="9" t="s">
        <v>63</v>
      </c>
    </row>
    <row r="23" spans="1:10">
      <c r="A23" s="9">
        <v>6</v>
      </c>
      <c r="B23" s="84" t="s">
        <v>84</v>
      </c>
      <c r="C23" s="9" t="s">
        <v>56</v>
      </c>
      <c r="D23" s="9" t="s">
        <v>80</v>
      </c>
      <c r="E23" s="9" t="s">
        <v>71</v>
      </c>
      <c r="F23" s="9" t="s">
        <v>72</v>
      </c>
      <c r="G23" s="9" t="s">
        <v>67</v>
      </c>
      <c r="H23" s="9" t="s">
        <v>67</v>
      </c>
      <c r="I23" s="9" t="s">
        <v>85</v>
      </c>
      <c r="J23" s="9" t="s">
        <v>63</v>
      </c>
    </row>
    <row r="24" spans="1:10">
      <c r="A24" s="9">
        <v>7</v>
      </c>
      <c r="B24" s="84" t="s">
        <v>86</v>
      </c>
      <c r="C24" s="9" t="s">
        <v>56</v>
      </c>
      <c r="D24" s="9" t="s">
        <v>57</v>
      </c>
      <c r="E24" s="9" t="s">
        <v>81</v>
      </c>
      <c r="F24" s="9" t="s">
        <v>87</v>
      </c>
      <c r="G24" s="9" t="s">
        <v>67</v>
      </c>
      <c r="H24" s="9" t="s">
        <v>88</v>
      </c>
      <c r="I24" s="9" t="s">
        <v>89</v>
      </c>
      <c r="J24" s="9" t="s">
        <v>63</v>
      </c>
    </row>
    <row r="25" spans="1:10">
      <c r="A25" s="9">
        <v>8</v>
      </c>
      <c r="B25" s="84" t="s">
        <v>90</v>
      </c>
      <c r="C25" s="9" t="s">
        <v>56</v>
      </c>
      <c r="D25" s="9" t="s">
        <v>57</v>
      </c>
      <c r="E25" s="9" t="s">
        <v>91</v>
      </c>
      <c r="F25" s="9" t="s">
        <v>92</v>
      </c>
      <c r="G25" s="9" t="s">
        <v>67</v>
      </c>
      <c r="H25" s="9" t="s">
        <v>93</v>
      </c>
      <c r="I25" s="9" t="s">
        <v>94</v>
      </c>
      <c r="J25" s="9" t="s">
        <v>63</v>
      </c>
    </row>
    <row r="26" spans="1:10">
      <c r="A26" s="9">
        <v>9</v>
      </c>
      <c r="B26" s="84" t="s">
        <v>95</v>
      </c>
      <c r="C26" s="9" t="s">
        <v>56</v>
      </c>
      <c r="D26" s="9" t="s">
        <v>65</v>
      </c>
      <c r="E26" s="9" t="s">
        <v>71</v>
      </c>
      <c r="F26" s="9" t="s">
        <v>72</v>
      </c>
      <c r="G26" s="9" t="s">
        <v>67</v>
      </c>
      <c r="H26" s="9" t="s">
        <v>67</v>
      </c>
      <c r="I26" s="9" t="s">
        <v>89</v>
      </c>
      <c r="J26" s="9" t="s">
        <v>63</v>
      </c>
    </row>
    <row r="27" spans="1:10">
      <c r="A27" s="9">
        <v>10</v>
      </c>
      <c r="B27" s="84" t="s">
        <v>96</v>
      </c>
      <c r="C27" s="9" t="s">
        <v>56</v>
      </c>
      <c r="D27" s="9" t="s">
        <v>57</v>
      </c>
      <c r="E27" s="9" t="s">
        <v>97</v>
      </c>
      <c r="F27" s="9" t="s">
        <v>98</v>
      </c>
      <c r="G27" s="9" t="s">
        <v>67</v>
      </c>
      <c r="H27" s="9" t="s">
        <v>83</v>
      </c>
      <c r="I27" s="9" t="s">
        <v>62</v>
      </c>
      <c r="J27" s="9" t="s">
        <v>63</v>
      </c>
    </row>
    <row r="28" spans="1:10">
      <c r="A28" s="9">
        <v>11</v>
      </c>
      <c r="B28" s="84" t="s">
        <v>99</v>
      </c>
      <c r="C28" s="9" t="s">
        <v>100</v>
      </c>
      <c r="D28" s="9" t="s">
        <v>57</v>
      </c>
      <c r="E28" s="9" t="s">
        <v>101</v>
      </c>
      <c r="F28" s="9" t="s">
        <v>102</v>
      </c>
      <c r="G28" s="9" t="s">
        <v>67</v>
      </c>
      <c r="H28" s="9" t="s">
        <v>67</v>
      </c>
      <c r="I28" s="9" t="s">
        <v>85</v>
      </c>
      <c r="J28" s="9" t="s">
        <v>63</v>
      </c>
    </row>
    <row r="29" spans="1:10">
      <c r="A29" s="9">
        <v>12</v>
      </c>
      <c r="B29" s="84" t="s">
        <v>103</v>
      </c>
      <c r="C29" s="9" t="s">
        <v>56</v>
      </c>
      <c r="D29" s="9" t="s">
        <v>57</v>
      </c>
      <c r="E29" s="9" t="s">
        <v>101</v>
      </c>
      <c r="F29" s="9" t="s">
        <v>104</v>
      </c>
      <c r="G29" s="9" t="s">
        <v>67</v>
      </c>
      <c r="H29" s="9" t="s">
        <v>105</v>
      </c>
      <c r="I29" s="9" t="s">
        <v>85</v>
      </c>
      <c r="J29" s="9" t="s">
        <v>63</v>
      </c>
    </row>
    <row r="30" spans="1:10">
      <c r="A30" s="9">
        <v>13</v>
      </c>
      <c r="B30" s="84" t="s">
        <v>106</v>
      </c>
      <c r="C30" s="9" t="s">
        <v>56</v>
      </c>
      <c r="D30" s="9" t="s">
        <v>57</v>
      </c>
      <c r="E30" s="9" t="s">
        <v>107</v>
      </c>
      <c r="F30" s="9" t="s">
        <v>108</v>
      </c>
      <c r="G30" s="9" t="s">
        <v>67</v>
      </c>
      <c r="H30" s="9" t="s">
        <v>109</v>
      </c>
      <c r="I30" s="9" t="s">
        <v>62</v>
      </c>
      <c r="J30" s="9" t="s">
        <v>63</v>
      </c>
    </row>
    <row r="31" spans="1:10">
      <c r="A31" s="2" t="s">
        <v>110</v>
      </c>
      <c r="B31" s="9"/>
      <c r="C31" s="9"/>
      <c r="D31" s="9"/>
      <c r="E31" s="9"/>
      <c r="F31" s="9"/>
      <c r="G31" s="9"/>
      <c r="H31" s="9"/>
      <c r="I31" s="9"/>
      <c r="J31" s="9"/>
    </row>
    <row r="32" spans="1:10">
      <c r="A32" s="2"/>
      <c r="B32" s="9"/>
      <c r="C32" s="9"/>
      <c r="D32" s="9"/>
      <c r="E32" s="9"/>
      <c r="F32" s="9"/>
      <c r="G32" s="9"/>
      <c r="H32" s="9"/>
      <c r="I32" s="9"/>
      <c r="J32" s="9"/>
    </row>
    <row r="33" ht="15.5" spans="1:11">
      <c r="A33" s="3" t="s">
        <v>111</v>
      </c>
      <c r="B33" s="2" t="s">
        <v>112</v>
      </c>
      <c r="C33" s="2"/>
      <c r="D33" s="2"/>
      <c r="E33" s="2"/>
      <c r="F33" s="2"/>
      <c r="G33" s="2"/>
      <c r="H33" s="2"/>
      <c r="I33" s="2"/>
      <c r="J33" s="2"/>
    </row>
    <row r="34" ht="15.5" spans="1:11">
      <c r="A34" s="55" t="s">
        <v>46</v>
      </c>
      <c r="B34" s="55" t="s">
        <v>47</v>
      </c>
      <c r="C34" s="55" t="s">
        <v>50</v>
      </c>
      <c r="D34" s="55" t="s">
        <v>52</v>
      </c>
      <c r="E34" s="85"/>
      <c r="F34" s="86"/>
      <c r="G34" s="86"/>
      <c r="H34" s="86"/>
      <c r="I34" s="86"/>
      <c r="J34" s="86"/>
    </row>
    <row r="35" ht="26" spans="1:11">
      <c r="A35" s="9">
        <v>1</v>
      </c>
      <c r="B35" s="84" t="s">
        <v>113</v>
      </c>
      <c r="C35" s="9" t="s">
        <v>114</v>
      </c>
      <c r="D35" s="9" t="s">
        <v>115</v>
      </c>
      <c r="E35" s="9"/>
      <c r="F35" s="9"/>
      <c r="G35" s="9"/>
      <c r="H35" s="9"/>
      <c r="I35" s="9"/>
      <c r="J35" s="9"/>
    </row>
    <row r="36" spans="1:11">
      <c r="A36" s="9">
        <v>2</v>
      </c>
      <c r="B36" s="84" t="s">
        <v>90</v>
      </c>
      <c r="C36" s="9" t="s">
        <v>66</v>
      </c>
      <c r="D36" s="9" t="s">
        <v>67</v>
      </c>
    </row>
    <row r="37" spans="1:11">
      <c r="A37" s="9">
        <v>3</v>
      </c>
      <c r="B37" s="84" t="s">
        <v>79</v>
      </c>
      <c r="C37" s="9" t="s">
        <v>66</v>
      </c>
      <c r="D37" s="9" t="s">
        <v>67</v>
      </c>
    </row>
    <row r="38" spans="1:11">
      <c r="A38" s="9">
        <v>4</v>
      </c>
      <c r="B38" s="84" t="s">
        <v>74</v>
      </c>
      <c r="C38" s="9" t="s">
        <v>116</v>
      </c>
      <c r="D38" s="9" t="s">
        <v>67</v>
      </c>
    </row>
    <row r="39" spans="1:11">
      <c r="A39" s="9">
        <v>5</v>
      </c>
      <c r="B39" s="84" t="s">
        <v>117</v>
      </c>
      <c r="C39" s="9" t="s">
        <v>66</v>
      </c>
      <c r="D39" s="9" t="s">
        <v>118</v>
      </c>
    </row>
    <row r="40" spans="1:11">
      <c r="A40" s="9">
        <v>6</v>
      </c>
      <c r="B40" s="84" t="s">
        <v>86</v>
      </c>
      <c r="C40" s="9" t="s">
        <v>66</v>
      </c>
      <c r="D40" s="9" t="s">
        <v>67</v>
      </c>
    </row>
    <row r="41" spans="1:11">
      <c r="A41" s="9">
        <v>7</v>
      </c>
      <c r="B41" s="84" t="s">
        <v>95</v>
      </c>
      <c r="C41" s="9" t="s">
        <v>66</v>
      </c>
      <c r="D41" s="9" t="s">
        <v>67</v>
      </c>
    </row>
    <row r="42" spans="1:11">
      <c r="A42" s="9">
        <v>8</v>
      </c>
      <c r="B42" s="84" t="s">
        <v>84</v>
      </c>
      <c r="C42" s="9" t="s">
        <v>66</v>
      </c>
      <c r="D42" s="9" t="s">
        <v>67</v>
      </c>
    </row>
    <row r="43" spans="1:11">
      <c r="A43" s="9">
        <v>9</v>
      </c>
      <c r="B43" s="84" t="s">
        <v>70</v>
      </c>
      <c r="C43" s="9" t="s">
        <v>66</v>
      </c>
      <c r="D43" s="9" t="s">
        <v>67</v>
      </c>
    </row>
    <row r="44" spans="1:11">
      <c r="A44" s="2" t="s">
        <v>110</v>
      </c>
    </row>
    <row r="45" spans="1:11">
      <c r="A45" s="2"/>
    </row>
    <row r="46" ht="15.5" spans="1:11">
      <c r="A46" s="70" t="s">
        <v>119</v>
      </c>
      <c r="B46" s="2" t="s">
        <v>120</v>
      </c>
      <c r="C46" s="2"/>
      <c r="D46" s="2"/>
      <c r="E46" s="2"/>
      <c r="F46" s="2"/>
    </row>
    <row r="47" ht="15.5" spans="1:11">
      <c r="A47" s="11" t="s">
        <v>46</v>
      </c>
      <c r="B47" s="55" t="s">
        <v>121</v>
      </c>
      <c r="C47" s="55" t="s">
        <v>122</v>
      </c>
      <c r="D47" s="55" t="s">
        <v>53</v>
      </c>
      <c r="E47" s="55" t="s">
        <v>123</v>
      </c>
      <c r="F47" s="55" t="s">
        <v>124</v>
      </c>
      <c r="G47" s="55" t="s">
        <v>125</v>
      </c>
      <c r="H47" s="55" t="s">
        <v>126</v>
      </c>
      <c r="I47" s="55" t="s">
        <v>127</v>
      </c>
      <c r="J47" s="55" t="s">
        <v>128</v>
      </c>
    </row>
    <row r="48" spans="1:11">
      <c r="A48" s="9">
        <v>1</v>
      </c>
      <c r="B48" s="84" t="s">
        <v>129</v>
      </c>
      <c r="C48" s="9" t="s">
        <v>130</v>
      </c>
      <c r="D48" s="9" t="s">
        <v>131</v>
      </c>
      <c r="E48" s="9" t="s">
        <v>67</v>
      </c>
      <c r="F48" s="9" t="s">
        <v>132</v>
      </c>
      <c r="G48" s="9" t="s">
        <v>133</v>
      </c>
      <c r="H48" s="9" t="s">
        <v>133</v>
      </c>
      <c r="I48" s="9" t="s">
        <v>67</v>
      </c>
      <c r="J48" s="9" t="s">
        <v>134</v>
      </c>
      <c r="K48" s="9"/>
    </row>
    <row r="49" ht="39" spans="1:11">
      <c r="A49" s="9">
        <v>2</v>
      </c>
      <c r="B49" s="84" t="s">
        <v>135</v>
      </c>
      <c r="C49" s="9" t="s">
        <v>130</v>
      </c>
      <c r="D49" s="9" t="s">
        <v>136</v>
      </c>
      <c r="E49" s="9" t="s">
        <v>67</v>
      </c>
      <c r="F49" s="9" t="s">
        <v>137</v>
      </c>
      <c r="G49" s="9" t="s">
        <v>138</v>
      </c>
      <c r="H49" s="9" t="s">
        <v>138</v>
      </c>
      <c r="I49" s="9" t="s">
        <v>67</v>
      </c>
      <c r="J49" s="9" t="s">
        <v>67</v>
      </c>
    </row>
    <row r="50" spans="1:11">
      <c r="A50" s="9">
        <v>3</v>
      </c>
      <c r="B50" s="84" t="s">
        <v>139</v>
      </c>
      <c r="C50" s="9" t="s">
        <v>130</v>
      </c>
      <c r="D50" s="9" t="s">
        <v>140</v>
      </c>
      <c r="E50" s="9" t="s">
        <v>67</v>
      </c>
      <c r="F50" s="9" t="s">
        <v>141</v>
      </c>
      <c r="G50" s="9" t="s">
        <v>142</v>
      </c>
      <c r="H50" s="9" t="s">
        <v>143</v>
      </c>
      <c r="I50" s="9" t="s">
        <v>67</v>
      </c>
      <c r="J50" s="9" t="s">
        <v>67</v>
      </c>
    </row>
    <row r="51" spans="1:11">
      <c r="A51" s="9">
        <v>4</v>
      </c>
      <c r="B51" s="84" t="s">
        <v>4</v>
      </c>
      <c r="C51" s="9" t="s">
        <v>144</v>
      </c>
      <c r="D51" s="9" t="s">
        <v>145</v>
      </c>
      <c r="E51" s="9" t="s">
        <v>67</v>
      </c>
      <c r="F51" s="9" t="s">
        <v>60</v>
      </c>
      <c r="G51" s="9" t="s">
        <v>133</v>
      </c>
      <c r="H51" s="9" t="s">
        <v>133</v>
      </c>
      <c r="I51" s="9" t="s">
        <v>67</v>
      </c>
      <c r="J51" s="9" t="s">
        <v>67</v>
      </c>
    </row>
    <row r="52" spans="1:11">
      <c r="A52" s="9">
        <v>5</v>
      </c>
      <c r="B52" s="84" t="s">
        <v>146</v>
      </c>
      <c r="C52" s="9" t="s">
        <v>130</v>
      </c>
      <c r="D52" s="9" t="s">
        <v>147</v>
      </c>
      <c r="E52" s="9" t="s">
        <v>67</v>
      </c>
      <c r="F52" s="9" t="s">
        <v>148</v>
      </c>
      <c r="G52" s="9" t="s">
        <v>138</v>
      </c>
      <c r="H52" s="9" t="s">
        <v>138</v>
      </c>
      <c r="I52" s="9" t="s">
        <v>67</v>
      </c>
      <c r="J52" s="9" t="s">
        <v>67</v>
      </c>
    </row>
    <row r="53" ht="39" spans="1:11">
      <c r="A53" s="9">
        <v>6</v>
      </c>
      <c r="B53" s="84" t="s">
        <v>149</v>
      </c>
      <c r="C53" s="9" t="s">
        <v>130</v>
      </c>
      <c r="D53" s="9" t="s">
        <v>150</v>
      </c>
      <c r="E53" s="9" t="s">
        <v>67</v>
      </c>
      <c r="F53" s="9" t="s">
        <v>148</v>
      </c>
      <c r="G53" s="9" t="s">
        <v>138</v>
      </c>
      <c r="H53" s="9" t="s">
        <v>138</v>
      </c>
      <c r="I53" s="9" t="s">
        <v>67</v>
      </c>
      <c r="J53" s="9" t="s">
        <v>67</v>
      </c>
    </row>
    <row r="54" ht="39" spans="1:11">
      <c r="A54" s="9">
        <v>7</v>
      </c>
      <c r="B54" s="84" t="s">
        <v>151</v>
      </c>
      <c r="C54" s="9" t="s">
        <v>130</v>
      </c>
      <c r="D54" s="9" t="s">
        <v>152</v>
      </c>
      <c r="E54" s="9" t="s">
        <v>67</v>
      </c>
      <c r="F54" s="9" t="s">
        <v>153</v>
      </c>
      <c r="G54" s="9" t="s">
        <v>154</v>
      </c>
      <c r="H54" s="9" t="s">
        <v>155</v>
      </c>
      <c r="I54" s="9" t="s">
        <v>67</v>
      </c>
      <c r="J54" s="9" t="s">
        <v>67</v>
      </c>
    </row>
    <row r="55" ht="39" spans="1:11">
      <c r="A55" s="9">
        <v>8</v>
      </c>
      <c r="B55" s="84" t="s">
        <v>156</v>
      </c>
      <c r="C55" s="9" t="s">
        <v>130</v>
      </c>
      <c r="D55" s="9" t="s">
        <v>157</v>
      </c>
      <c r="E55" s="9" t="s">
        <v>67</v>
      </c>
      <c r="F55" s="9" t="s">
        <v>158</v>
      </c>
      <c r="G55" s="9" t="s">
        <v>133</v>
      </c>
      <c r="H55" s="9" t="s">
        <v>133</v>
      </c>
      <c r="I55" s="9" t="s">
        <v>67</v>
      </c>
      <c r="J55" s="9" t="s">
        <v>67</v>
      </c>
    </row>
    <row r="56" spans="1:11">
      <c r="A56" s="9">
        <v>9</v>
      </c>
      <c r="B56" s="84" t="s">
        <v>159</v>
      </c>
      <c r="C56" s="9" t="s">
        <v>130</v>
      </c>
      <c r="D56" s="9" t="s">
        <v>160</v>
      </c>
      <c r="E56" s="9" t="s">
        <v>67</v>
      </c>
      <c r="F56" s="9" t="s">
        <v>161</v>
      </c>
      <c r="G56" s="9" t="s">
        <v>133</v>
      </c>
      <c r="H56" s="9" t="s">
        <v>133</v>
      </c>
      <c r="I56" s="9" t="s">
        <v>67</v>
      </c>
      <c r="J56" s="9" t="s">
        <v>67</v>
      </c>
    </row>
    <row r="57" spans="1:11">
      <c r="A57" s="9">
        <v>10</v>
      </c>
      <c r="B57" s="84" t="s">
        <v>162</v>
      </c>
      <c r="C57" s="9" t="s">
        <v>130</v>
      </c>
      <c r="D57" s="9" t="s">
        <v>163</v>
      </c>
      <c r="E57" s="9" t="s">
        <v>67</v>
      </c>
      <c r="F57" s="9" t="s">
        <v>164</v>
      </c>
      <c r="G57" s="9" t="s">
        <v>165</v>
      </c>
      <c r="H57" s="9" t="s">
        <v>166</v>
      </c>
      <c r="I57" s="9" t="s">
        <v>67</v>
      </c>
      <c r="J57" s="9" t="s">
        <v>67</v>
      </c>
    </row>
    <row r="58" ht="13.5" spans="1:11">
      <c r="A58" s="2" t="s">
        <v>110</v>
      </c>
      <c r="B58" s="87"/>
      <c r="C58" s="87"/>
      <c r="D58" s="87"/>
      <c r="E58" s="87"/>
      <c r="F58" s="87"/>
    </row>
    <row r="59" ht="13.5" spans="1:11">
      <c r="A59" s="2"/>
      <c r="B59" s="87"/>
      <c r="C59" s="87"/>
      <c r="D59" s="87"/>
      <c r="E59" s="87"/>
      <c r="F59" s="87"/>
    </row>
    <row r="60" ht="15.5" spans="1:11">
      <c r="A60" s="70" t="s">
        <v>167</v>
      </c>
      <c r="B60" s="2" t="s">
        <v>168</v>
      </c>
      <c r="C60" s="87"/>
      <c r="D60" s="87"/>
      <c r="E60" s="87"/>
      <c r="F60" s="87"/>
    </row>
    <row r="61" ht="15.5" spans="1:11">
      <c r="A61" s="11" t="s">
        <v>46</v>
      </c>
      <c r="B61" s="55" t="s">
        <v>121</v>
      </c>
      <c r="C61" s="55" t="s">
        <v>169</v>
      </c>
      <c r="D61" s="55" t="s">
        <v>52</v>
      </c>
      <c r="E61" s="55" t="s">
        <v>170</v>
      </c>
      <c r="F61" s="55" t="s">
        <v>171</v>
      </c>
      <c r="G61" s="55" t="s">
        <v>172</v>
      </c>
      <c r="H61" s="55" t="s">
        <v>173</v>
      </c>
      <c r="I61" s="55" t="s">
        <v>123</v>
      </c>
      <c r="J61" s="55" t="s">
        <v>127</v>
      </c>
      <c r="K61" s="55" t="s">
        <v>128</v>
      </c>
    </row>
    <row r="62" spans="1:11">
      <c r="A62" s="9">
        <v>1</v>
      </c>
      <c r="B62" s="84" t="s">
        <v>174</v>
      </c>
      <c r="C62" s="9" t="s">
        <v>175</v>
      </c>
      <c r="D62" s="9" t="s">
        <v>176</v>
      </c>
      <c r="E62" s="9" t="s">
        <v>177</v>
      </c>
      <c r="F62" s="9" t="s">
        <v>178</v>
      </c>
      <c r="G62" s="9" t="s">
        <v>177</v>
      </c>
      <c r="H62" s="9" t="s">
        <v>178</v>
      </c>
      <c r="I62" s="9" t="s">
        <v>67</v>
      </c>
      <c r="J62" s="9" t="s">
        <v>67</v>
      </c>
      <c r="K62" s="9" t="s">
        <v>67</v>
      </c>
    </row>
    <row r="63" spans="1:11">
      <c r="A63" s="9">
        <v>2</v>
      </c>
      <c r="B63" s="84" t="s">
        <v>129</v>
      </c>
      <c r="C63" s="9" t="s">
        <v>179</v>
      </c>
      <c r="D63" s="9" t="s">
        <v>180</v>
      </c>
      <c r="E63" s="9" t="s">
        <v>181</v>
      </c>
      <c r="F63" s="9" t="s">
        <v>182</v>
      </c>
      <c r="G63" s="9" t="s">
        <v>181</v>
      </c>
      <c r="H63" s="9" t="s">
        <v>182</v>
      </c>
      <c r="I63" s="9" t="s">
        <v>67</v>
      </c>
      <c r="J63" s="9" t="s">
        <v>67</v>
      </c>
      <c r="K63" s="9" t="s">
        <v>134</v>
      </c>
    </row>
    <row r="64" spans="1:11">
      <c r="A64" s="9">
        <v>3</v>
      </c>
      <c r="B64" s="84" t="s">
        <v>4</v>
      </c>
      <c r="C64" s="9" t="s">
        <v>183</v>
      </c>
      <c r="D64" s="9" t="s">
        <v>115</v>
      </c>
      <c r="E64" s="9" t="s">
        <v>184</v>
      </c>
      <c r="F64" s="9" t="s">
        <v>185</v>
      </c>
      <c r="G64" s="9" t="s">
        <v>184</v>
      </c>
      <c r="H64" s="9" t="s">
        <v>185</v>
      </c>
      <c r="I64" s="9" t="s">
        <v>186</v>
      </c>
      <c r="J64" s="9" t="s">
        <v>67</v>
      </c>
      <c r="K64" s="9" t="s">
        <v>67</v>
      </c>
    </row>
    <row r="65" spans="1:20">
      <c r="A65" s="9">
        <v>4</v>
      </c>
      <c r="B65" s="84" t="s">
        <v>117</v>
      </c>
      <c r="C65" s="9" t="s">
        <v>183</v>
      </c>
      <c r="D65" s="9" t="s">
        <v>118</v>
      </c>
      <c r="E65" s="9" t="s">
        <v>187</v>
      </c>
      <c r="F65" s="9" t="s">
        <v>185</v>
      </c>
      <c r="G65" s="9" t="s">
        <v>187</v>
      </c>
      <c r="H65" s="9" t="s">
        <v>185</v>
      </c>
      <c r="I65" s="9" t="s">
        <v>188</v>
      </c>
      <c r="J65" s="9" t="s">
        <v>67</v>
      </c>
      <c r="K65" s="9" t="s">
        <v>67</v>
      </c>
    </row>
    <row r="66" spans="1:20">
      <c r="A66" s="2" t="s">
        <v>110</v>
      </c>
    </row>
    <row r="68" ht="15.5" spans="1:20">
      <c r="A68" s="3" t="s">
        <v>189</v>
      </c>
      <c r="B68" s="2" t="s">
        <v>190</v>
      </c>
      <c r="C68" s="2"/>
      <c r="D68" s="2"/>
      <c r="E68" s="2"/>
      <c r="F68" s="2"/>
      <c r="G68" s="2"/>
      <c r="H68" s="2"/>
      <c r="I68" s="2"/>
      <c r="J68" s="2"/>
      <c r="K68" s="2"/>
      <c r="L68" s="2"/>
      <c r="M68" s="2"/>
      <c r="N68" s="2"/>
      <c r="O68" s="2"/>
      <c r="P68" s="2"/>
      <c r="Q68" s="2"/>
      <c r="R68" s="2"/>
      <c r="S68" s="2"/>
      <c r="T68" s="2"/>
    </row>
    <row r="69" ht="15.5" spans="1:20">
      <c r="A69" s="11" t="s">
        <v>46</v>
      </c>
      <c r="B69" s="11" t="s">
        <v>191</v>
      </c>
      <c r="C69" s="18" t="s">
        <v>192</v>
      </c>
      <c r="D69" s="11" t="s">
        <v>3</v>
      </c>
      <c r="E69" s="18" t="s">
        <v>5</v>
      </c>
      <c r="F69" s="18" t="s">
        <v>13</v>
      </c>
      <c r="G69" s="18" t="s">
        <v>52</v>
      </c>
      <c r="H69" s="18" t="s">
        <v>193</v>
      </c>
      <c r="I69" s="18" t="s">
        <v>171</v>
      </c>
      <c r="J69" s="18" t="s">
        <v>123</v>
      </c>
      <c r="K69" s="18" t="s">
        <v>194</v>
      </c>
      <c r="L69" s="18" t="s">
        <v>195</v>
      </c>
      <c r="M69" s="18" t="s">
        <v>196</v>
      </c>
      <c r="N69" s="18" t="s">
        <v>197</v>
      </c>
      <c r="O69" s="2"/>
      <c r="P69" s="2"/>
      <c r="Q69" s="2"/>
      <c r="R69" s="2"/>
      <c r="S69" s="2"/>
      <c r="T69" s="2"/>
    </row>
    <row r="70" spans="1:20">
      <c r="A70" s="9">
        <v>1</v>
      </c>
      <c r="B70" s="9" t="s">
        <v>198</v>
      </c>
      <c r="C70" s="9" t="s">
        <v>8</v>
      </c>
      <c r="D70" s="8" t="s">
        <v>199</v>
      </c>
      <c r="E70" s="88" t="s">
        <v>200</v>
      </c>
      <c r="F70" s="21" t="s">
        <v>201</v>
      </c>
      <c r="G70" s="19" t="s">
        <v>202</v>
      </c>
      <c r="H70" s="19" t="s">
        <v>203</v>
      </c>
      <c r="I70" s="19" t="s">
        <v>204</v>
      </c>
      <c r="J70" s="19" t="s">
        <v>205</v>
      </c>
      <c r="K70" s="22" t="s">
        <v>206</v>
      </c>
      <c r="L70" s="2" t="s">
        <v>207</v>
      </c>
      <c r="M70" s="2" t="s">
        <v>208</v>
      </c>
      <c r="N70" s="2" t="s">
        <v>209</v>
      </c>
      <c r="O70" s="2"/>
      <c r="P70" s="2"/>
      <c r="Q70" s="2"/>
      <c r="R70" s="2"/>
      <c r="S70" s="2"/>
      <c r="T70" s="2"/>
    </row>
    <row r="71" spans="1:20">
      <c r="A71" s="9">
        <v>2</v>
      </c>
      <c r="B71" s="9" t="s">
        <v>210</v>
      </c>
      <c r="C71" s="9" t="s">
        <v>8</v>
      </c>
      <c r="D71" s="8" t="s">
        <v>211</v>
      </c>
      <c r="E71" s="88" t="s">
        <v>200</v>
      </c>
      <c r="F71" s="21" t="s">
        <v>212</v>
      </c>
      <c r="G71" s="19" t="s">
        <v>213</v>
      </c>
      <c r="H71" s="19" t="s">
        <v>214</v>
      </c>
      <c r="I71" s="19" t="s">
        <v>215</v>
      </c>
      <c r="J71" s="19" t="s">
        <v>67</v>
      </c>
      <c r="K71" s="22" t="s">
        <v>206</v>
      </c>
      <c r="L71" s="2" t="s">
        <v>216</v>
      </c>
      <c r="M71" s="2" t="s">
        <v>217</v>
      </c>
      <c r="N71" s="2" t="s">
        <v>67</v>
      </c>
    </row>
    <row r="72" spans="1:20">
      <c r="A72" s="9">
        <v>3</v>
      </c>
      <c r="B72" s="9" t="s">
        <v>218</v>
      </c>
      <c r="C72" s="9" t="s">
        <v>8</v>
      </c>
      <c r="D72" s="8" t="s">
        <v>4</v>
      </c>
      <c r="E72" s="88" t="s">
        <v>219</v>
      </c>
      <c r="F72" s="21" t="s">
        <v>220</v>
      </c>
      <c r="G72" s="19" t="s">
        <v>221</v>
      </c>
      <c r="H72" s="19" t="s">
        <v>222</v>
      </c>
      <c r="I72" s="19" t="s">
        <v>223</v>
      </c>
      <c r="J72" s="19" t="s">
        <v>67</v>
      </c>
      <c r="K72" s="22" t="s">
        <v>224</v>
      </c>
      <c r="L72" s="2" t="s">
        <v>225</v>
      </c>
      <c r="M72" s="2" t="s">
        <v>226</v>
      </c>
      <c r="N72" s="2" t="s">
        <v>209</v>
      </c>
    </row>
    <row r="73" spans="1:20">
      <c r="A73" s="9">
        <v>4</v>
      </c>
      <c r="B73" s="9" t="s">
        <v>227</v>
      </c>
      <c r="C73" s="9" t="s">
        <v>8</v>
      </c>
      <c r="D73" s="8" t="s">
        <v>228</v>
      </c>
      <c r="E73" s="88" t="s">
        <v>200</v>
      </c>
      <c r="F73" s="21" t="s">
        <v>229</v>
      </c>
      <c r="G73" s="19" t="s">
        <v>230</v>
      </c>
      <c r="H73" s="19" t="s">
        <v>231</v>
      </c>
      <c r="I73" s="19" t="s">
        <v>232</v>
      </c>
      <c r="J73" s="19" t="s">
        <v>67</v>
      </c>
      <c r="K73" s="22" t="s">
        <v>206</v>
      </c>
      <c r="L73" s="2" t="s">
        <v>225</v>
      </c>
      <c r="M73" s="2" t="s">
        <v>233</v>
      </c>
      <c r="N73" s="2" t="s">
        <v>234</v>
      </c>
    </row>
    <row r="74" spans="1:20">
      <c r="A74" s="9">
        <v>5</v>
      </c>
      <c r="B74" s="9" t="s">
        <v>235</v>
      </c>
      <c r="C74" s="9" t="s">
        <v>8</v>
      </c>
      <c r="D74" s="8" t="s">
        <v>236</v>
      </c>
      <c r="E74" s="88" t="s">
        <v>237</v>
      </c>
      <c r="F74" s="21" t="s">
        <v>238</v>
      </c>
      <c r="G74" s="19" t="s">
        <v>239</v>
      </c>
      <c r="H74" s="19" t="s">
        <v>240</v>
      </c>
      <c r="I74" s="19" t="s">
        <v>241</v>
      </c>
      <c r="J74" s="19" t="s">
        <v>67</v>
      </c>
      <c r="K74" s="22" t="s">
        <v>206</v>
      </c>
      <c r="L74" s="2" t="s">
        <v>242</v>
      </c>
      <c r="M74" s="2" t="s">
        <v>217</v>
      </c>
      <c r="N74" s="2" t="s">
        <v>67</v>
      </c>
    </row>
    <row r="75" spans="1:20">
      <c r="A75" s="9">
        <v>6</v>
      </c>
      <c r="B75" s="9" t="s">
        <v>243</v>
      </c>
      <c r="C75" s="9" t="s">
        <v>8</v>
      </c>
      <c r="D75" s="8" t="s">
        <v>106</v>
      </c>
      <c r="E75" s="88" t="s">
        <v>244</v>
      </c>
      <c r="F75" s="21" t="s">
        <v>245</v>
      </c>
      <c r="G75" s="19" t="s">
        <v>205</v>
      </c>
      <c r="H75" s="19" t="s">
        <v>246</v>
      </c>
      <c r="I75" s="19" t="s">
        <v>247</v>
      </c>
      <c r="J75" s="19" t="s">
        <v>202</v>
      </c>
      <c r="K75" s="22" t="s">
        <v>248</v>
      </c>
      <c r="L75" s="2" t="s">
        <v>225</v>
      </c>
      <c r="M75" s="2" t="s">
        <v>249</v>
      </c>
      <c r="N75" s="2" t="s">
        <v>209</v>
      </c>
    </row>
    <row r="76" spans="1:20">
      <c r="A76" s="9">
        <v>7</v>
      </c>
      <c r="B76" s="9" t="s">
        <v>250</v>
      </c>
      <c r="C76" s="9" t="s">
        <v>251</v>
      </c>
      <c r="D76" s="8" t="s">
        <v>4</v>
      </c>
      <c r="E76" s="88" t="s">
        <v>252</v>
      </c>
      <c r="F76" s="21" t="s">
        <v>253</v>
      </c>
      <c r="G76" s="19" t="s">
        <v>221</v>
      </c>
      <c r="H76" s="19" t="s">
        <v>254</v>
      </c>
      <c r="I76" s="19" t="s">
        <v>255</v>
      </c>
      <c r="J76" s="19" t="s">
        <v>67</v>
      </c>
      <c r="K76" s="22" t="s">
        <v>256</v>
      </c>
      <c r="L76" s="2" t="s">
        <v>257</v>
      </c>
      <c r="M76" s="2" t="s">
        <v>217</v>
      </c>
      <c r="N76" s="2" t="s">
        <v>67</v>
      </c>
    </row>
    <row r="77" spans="1:20">
      <c r="A77" s="9">
        <v>8</v>
      </c>
      <c r="B77" s="9" t="s">
        <v>258</v>
      </c>
      <c r="C77" s="9" t="s">
        <v>251</v>
      </c>
      <c r="D77" s="8" t="s">
        <v>259</v>
      </c>
      <c r="E77" s="88" t="s">
        <v>260</v>
      </c>
      <c r="F77" s="21" t="s">
        <v>261</v>
      </c>
      <c r="G77" s="19" t="s">
        <v>262</v>
      </c>
      <c r="H77" s="19" t="s">
        <v>263</v>
      </c>
      <c r="I77" s="19" t="s">
        <v>264</v>
      </c>
      <c r="J77" s="19" t="s">
        <v>67</v>
      </c>
      <c r="K77" s="22" t="s">
        <v>265</v>
      </c>
      <c r="L77" s="2" t="s">
        <v>242</v>
      </c>
      <c r="M77" s="2" t="s">
        <v>217</v>
      </c>
      <c r="N77" s="2" t="s">
        <v>67</v>
      </c>
    </row>
    <row r="78" spans="1:20">
      <c r="A78" s="9" t="s">
        <v>110</v>
      </c>
      <c r="B78" s="2"/>
      <c r="C78" s="2"/>
      <c r="D78" s="2"/>
      <c r="E78" s="2"/>
      <c r="F78" s="2"/>
      <c r="G78" s="2"/>
      <c r="H78" s="2"/>
      <c r="I78" s="2"/>
      <c r="J78" s="2"/>
      <c r="K78" s="2"/>
      <c r="L78" s="2"/>
      <c r="M78" s="2"/>
      <c r="N78" s="2"/>
      <c r="O78" s="2"/>
      <c r="P78" s="2"/>
      <c r="Q78" s="2"/>
      <c r="R78" s="2"/>
      <c r="S78" s="2"/>
      <c r="T78" s="2"/>
    </row>
    <row r="79" spans="1:20">
      <c r="A79" s="2"/>
      <c r="B79" s="2"/>
      <c r="C79" s="2"/>
      <c r="D79" s="2"/>
      <c r="E79" s="2"/>
      <c r="F79" s="2"/>
      <c r="G79" s="2"/>
      <c r="H79" s="2"/>
      <c r="I79" s="2"/>
      <c r="J79" s="2"/>
      <c r="K79" s="2"/>
      <c r="L79" s="2"/>
      <c r="M79" s="2"/>
      <c r="N79" s="2"/>
      <c r="O79" s="2"/>
      <c r="P79" s="2"/>
      <c r="Q79" s="2"/>
      <c r="R79" s="2"/>
      <c r="S79" s="2"/>
      <c r="T79" s="2"/>
    </row>
    <row r="80" ht="15.5" spans="1:20">
      <c r="A80" s="3" t="s">
        <v>266</v>
      </c>
      <c r="B80" s="2" t="s">
        <v>267</v>
      </c>
      <c r="C80" s="2"/>
      <c r="D80" s="2"/>
      <c r="E80" s="2"/>
      <c r="F80" s="2"/>
      <c r="G80" s="2"/>
      <c r="H80" s="2"/>
      <c r="I80" s="2"/>
      <c r="J80" s="2"/>
      <c r="K80" s="2"/>
      <c r="L80" s="2"/>
      <c r="M80" s="2"/>
      <c r="N80" s="2"/>
      <c r="O80" s="2"/>
      <c r="P80" s="2"/>
      <c r="Q80" s="2"/>
      <c r="R80" s="2"/>
      <c r="S80" s="2"/>
      <c r="T80" s="2"/>
    </row>
    <row r="81" ht="15.5" spans="1:20">
      <c r="A81" s="55" t="s">
        <v>46</v>
      </c>
      <c r="B81" s="55" t="s">
        <v>266</v>
      </c>
      <c r="C81" s="55" t="s">
        <v>52</v>
      </c>
      <c r="D81" s="55" t="s">
        <v>268</v>
      </c>
      <c r="E81" s="2"/>
      <c r="F81" s="2"/>
      <c r="G81" s="2"/>
      <c r="H81" s="2"/>
      <c r="I81" s="2"/>
      <c r="J81" s="2"/>
      <c r="K81" s="2"/>
      <c r="L81" s="2"/>
      <c r="M81" s="2"/>
      <c r="N81" s="2"/>
      <c r="O81" s="2"/>
      <c r="P81" s="2"/>
      <c r="Q81" s="2"/>
      <c r="R81" s="2"/>
      <c r="S81" s="2"/>
      <c r="T81" s="2"/>
    </row>
    <row r="82" ht="91" spans="1:20">
      <c r="A82" s="9">
        <v>1</v>
      </c>
      <c r="B82" s="84" t="s">
        <v>4</v>
      </c>
      <c r="C82" s="89" t="s">
        <v>269</v>
      </c>
      <c r="D82" s="84" t="s">
        <v>270</v>
      </c>
      <c r="E82" s="2"/>
      <c r="F82" s="2"/>
      <c r="G82" s="2"/>
      <c r="H82" s="2"/>
      <c r="I82" s="2"/>
      <c r="J82" s="2"/>
      <c r="K82" s="2"/>
      <c r="L82" s="2"/>
      <c r="M82" s="2"/>
      <c r="N82" s="2"/>
      <c r="O82" s="2"/>
      <c r="P82" s="2"/>
      <c r="Q82" s="2"/>
      <c r="R82" s="2"/>
      <c r="S82" s="2"/>
      <c r="T82" s="2"/>
    </row>
    <row r="83" spans="1:20">
      <c r="A83" s="9" t="s">
        <v>110</v>
      </c>
      <c r="B83" s="2"/>
      <c r="C83" s="2"/>
      <c r="D83" s="2"/>
      <c r="E83" s="2"/>
      <c r="F83" s="2"/>
      <c r="G83" s="2"/>
      <c r="H83" s="2"/>
      <c r="I83" s="2"/>
      <c r="J83" s="2"/>
      <c r="K83" s="2"/>
      <c r="L83" s="2"/>
      <c r="M83" s="2"/>
      <c r="N83" s="2"/>
      <c r="O83" s="2"/>
      <c r="P83" s="2"/>
      <c r="Q83" s="2"/>
      <c r="R83" s="2"/>
      <c r="S83" s="2"/>
      <c r="T83" s="2"/>
    </row>
    <row r="84" spans="1:20">
      <c r="A84" s="2"/>
      <c r="B84" s="2"/>
      <c r="C84" s="2"/>
      <c r="D84" s="2"/>
      <c r="E84" s="2"/>
      <c r="F84" s="2"/>
      <c r="G84" s="2"/>
      <c r="H84" s="2"/>
      <c r="I84" s="2"/>
      <c r="J84" s="2"/>
      <c r="K84" s="2"/>
      <c r="L84" s="2"/>
      <c r="M84" s="2"/>
      <c r="N84" s="2"/>
      <c r="O84" s="2"/>
      <c r="P84" s="2"/>
      <c r="Q84" s="2"/>
      <c r="R84" s="2"/>
      <c r="S84" s="2"/>
      <c r="T84" s="2"/>
    </row>
    <row r="85" ht="15.5" spans="1:20">
      <c r="A85" s="3" t="s">
        <v>271</v>
      </c>
      <c r="B85" s="2" t="s">
        <v>272</v>
      </c>
      <c r="C85" s="2"/>
      <c r="D85" s="2"/>
      <c r="E85" s="2"/>
      <c r="F85" s="2"/>
      <c r="G85" s="2"/>
      <c r="H85" s="2"/>
      <c r="I85" s="2"/>
      <c r="J85" s="2"/>
      <c r="K85" s="2"/>
      <c r="L85" s="2"/>
      <c r="M85" s="2"/>
      <c r="N85" s="2"/>
      <c r="O85" s="2"/>
      <c r="P85" s="2"/>
      <c r="Q85" s="2"/>
      <c r="R85" s="2"/>
      <c r="S85" s="2"/>
      <c r="T85" s="2"/>
    </row>
    <row r="86" ht="15.5" spans="1:20">
      <c r="A86" s="55" t="s">
        <v>46</v>
      </c>
      <c r="B86" s="55" t="s">
        <v>273</v>
      </c>
      <c r="C86" s="55" t="s">
        <v>274</v>
      </c>
      <c r="D86" s="55" t="s">
        <v>275</v>
      </c>
      <c r="E86" s="55" t="s">
        <v>276</v>
      </c>
      <c r="F86" s="2"/>
      <c r="G86" s="2"/>
      <c r="H86" s="2"/>
      <c r="I86" s="2"/>
      <c r="J86" s="2"/>
      <c r="K86" s="2"/>
      <c r="L86" s="2"/>
      <c r="M86" s="2"/>
      <c r="N86" s="2"/>
      <c r="O86" s="2"/>
      <c r="P86" s="2"/>
      <c r="Q86" s="2"/>
      <c r="R86" s="2"/>
      <c r="S86" s="2"/>
      <c r="T86" s="2"/>
    </row>
    <row r="87" ht="130" spans="1:20">
      <c r="A87" s="9">
        <v>1</v>
      </c>
      <c r="B87" s="8" t="s">
        <v>277</v>
      </c>
      <c r="C87" s="84" t="s">
        <v>278</v>
      </c>
      <c r="D87" s="84" t="s">
        <v>279</v>
      </c>
      <c r="E87" s="84" t="s">
        <v>280</v>
      </c>
      <c r="F87" s="2"/>
      <c r="G87" s="2"/>
      <c r="H87" s="2"/>
      <c r="I87" s="2"/>
      <c r="J87" s="2"/>
      <c r="K87" s="2"/>
      <c r="L87" s="2"/>
      <c r="M87" s="2"/>
      <c r="N87" s="2"/>
      <c r="O87" s="2"/>
      <c r="P87" s="2"/>
      <c r="Q87" s="2"/>
      <c r="R87" s="2"/>
      <c r="S87" s="2"/>
      <c r="T87" s="2"/>
    </row>
    <row r="88" ht="26" spans="1:20">
      <c r="A88" s="9">
        <v>2</v>
      </c>
      <c r="B88" s="8" t="s">
        <v>277</v>
      </c>
      <c r="C88" s="84" t="s">
        <v>281</v>
      </c>
      <c r="D88" s="84" t="s">
        <v>282</v>
      </c>
      <c r="E88" s="84" t="s">
        <v>283</v>
      </c>
    </row>
    <row r="89" ht="26" spans="1:20">
      <c r="A89" s="9">
        <v>3</v>
      </c>
      <c r="B89" s="8" t="s">
        <v>23</v>
      </c>
      <c r="C89" s="84" t="s">
        <v>281</v>
      </c>
      <c r="D89" s="84" t="s">
        <v>282</v>
      </c>
      <c r="E89" s="84" t="s">
        <v>284</v>
      </c>
    </row>
    <row r="90" ht="39" spans="1:20">
      <c r="A90" s="9">
        <v>4</v>
      </c>
      <c r="B90" s="8" t="s">
        <v>23</v>
      </c>
      <c r="C90" s="84" t="s">
        <v>285</v>
      </c>
      <c r="D90" s="84" t="s">
        <v>286</v>
      </c>
      <c r="E90" s="84" t="s">
        <v>287</v>
      </c>
    </row>
    <row r="91" ht="26" spans="1:20">
      <c r="A91" s="9">
        <v>5</v>
      </c>
      <c r="B91" s="8" t="s">
        <v>288</v>
      </c>
      <c r="C91" s="84" t="s">
        <v>281</v>
      </c>
      <c r="D91" s="84" t="s">
        <v>282</v>
      </c>
      <c r="E91" s="84" t="s">
        <v>289</v>
      </c>
    </row>
    <row r="92" ht="130" spans="1:20">
      <c r="A92" s="9">
        <v>6</v>
      </c>
      <c r="B92" s="8" t="s">
        <v>290</v>
      </c>
      <c r="C92" s="84" t="s">
        <v>278</v>
      </c>
      <c r="D92" s="84" t="s">
        <v>291</v>
      </c>
      <c r="E92" s="84" t="s">
        <v>292</v>
      </c>
    </row>
    <row r="93" ht="52" spans="1:20">
      <c r="A93" s="9">
        <v>7</v>
      </c>
      <c r="B93" s="8" t="s">
        <v>290</v>
      </c>
      <c r="C93" s="84" t="s">
        <v>278</v>
      </c>
      <c r="D93" s="84" t="s">
        <v>293</v>
      </c>
      <c r="E93" s="84" t="s">
        <v>294</v>
      </c>
    </row>
    <row r="94" ht="39" spans="1:20">
      <c r="A94" s="9">
        <v>8</v>
      </c>
      <c r="B94" s="8" t="s">
        <v>290</v>
      </c>
      <c r="C94" s="84" t="s">
        <v>285</v>
      </c>
      <c r="D94" s="84" t="s">
        <v>295</v>
      </c>
      <c r="E94" s="84" t="s">
        <v>296</v>
      </c>
    </row>
    <row r="95" ht="39" spans="1:20">
      <c r="A95" s="9">
        <v>9</v>
      </c>
      <c r="B95" s="8" t="s">
        <v>290</v>
      </c>
      <c r="C95" s="84" t="s">
        <v>297</v>
      </c>
      <c r="D95" s="84" t="s">
        <v>298</v>
      </c>
      <c r="E95" s="84" t="s">
        <v>298</v>
      </c>
    </row>
    <row r="96" ht="26" spans="1:20">
      <c r="A96" s="9">
        <v>10</v>
      </c>
      <c r="B96" s="8" t="s">
        <v>290</v>
      </c>
      <c r="C96" s="84" t="s">
        <v>281</v>
      </c>
      <c r="D96" s="84" t="s">
        <v>282</v>
      </c>
      <c r="E96" s="84" t="s">
        <v>299</v>
      </c>
    </row>
    <row r="97" ht="130" spans="1:5">
      <c r="A97" s="9">
        <v>11</v>
      </c>
      <c r="B97" s="8" t="s">
        <v>300</v>
      </c>
      <c r="C97" s="84" t="s">
        <v>278</v>
      </c>
      <c r="D97" s="84" t="s">
        <v>301</v>
      </c>
      <c r="E97" s="84" t="s">
        <v>302</v>
      </c>
    </row>
    <row r="98" ht="26" spans="1:5">
      <c r="A98" s="9">
        <v>12</v>
      </c>
      <c r="B98" s="8" t="s">
        <v>300</v>
      </c>
      <c r="C98" s="84" t="s">
        <v>281</v>
      </c>
      <c r="D98" s="84" t="s">
        <v>282</v>
      </c>
      <c r="E98" s="84" t="s">
        <v>303</v>
      </c>
    </row>
    <row r="99" ht="39" spans="1:5">
      <c r="A99" s="9">
        <v>13</v>
      </c>
      <c r="B99" s="8" t="s">
        <v>300</v>
      </c>
      <c r="C99" s="84" t="s">
        <v>285</v>
      </c>
      <c r="D99" s="84" t="s">
        <v>304</v>
      </c>
      <c r="E99" s="84" t="s">
        <v>305</v>
      </c>
    </row>
    <row r="100" ht="130" spans="1:5">
      <c r="A100" s="9">
        <v>14</v>
      </c>
      <c r="B100" s="8" t="s">
        <v>306</v>
      </c>
      <c r="C100" s="84" t="s">
        <v>278</v>
      </c>
      <c r="D100" s="84" t="s">
        <v>307</v>
      </c>
      <c r="E100" s="84" t="s">
        <v>308</v>
      </c>
    </row>
    <row r="101" ht="26" spans="1:5">
      <c r="A101" s="9">
        <v>15</v>
      </c>
      <c r="B101" s="8" t="s">
        <v>306</v>
      </c>
      <c r="C101" s="84" t="s">
        <v>281</v>
      </c>
      <c r="D101" s="84" t="s">
        <v>282</v>
      </c>
      <c r="E101" s="84" t="s">
        <v>309</v>
      </c>
    </row>
    <row r="102" ht="39" spans="1:5">
      <c r="A102" s="9">
        <v>16</v>
      </c>
      <c r="B102" s="8" t="s">
        <v>310</v>
      </c>
      <c r="C102" s="84" t="s">
        <v>285</v>
      </c>
      <c r="D102" s="84" t="s">
        <v>311</v>
      </c>
      <c r="E102" s="84" t="s">
        <v>312</v>
      </c>
    </row>
    <row r="103" ht="26" spans="1:5">
      <c r="A103" s="9">
        <v>17</v>
      </c>
      <c r="B103" s="8" t="s">
        <v>310</v>
      </c>
      <c r="C103" s="84" t="s">
        <v>281</v>
      </c>
      <c r="D103" s="84" t="s">
        <v>282</v>
      </c>
      <c r="E103" s="84" t="s">
        <v>313</v>
      </c>
    </row>
    <row r="104" ht="26" spans="1:5">
      <c r="A104" s="9">
        <v>18</v>
      </c>
      <c r="B104" s="8" t="s">
        <v>314</v>
      </c>
      <c r="C104" s="84" t="s">
        <v>281</v>
      </c>
      <c r="D104" s="84" t="s">
        <v>282</v>
      </c>
      <c r="E104" s="84" t="s">
        <v>315</v>
      </c>
    </row>
    <row r="105" ht="52" spans="1:5">
      <c r="A105" s="9">
        <v>19</v>
      </c>
      <c r="B105" s="8" t="s">
        <v>316</v>
      </c>
      <c r="C105" s="84" t="s">
        <v>278</v>
      </c>
      <c r="D105" s="84" t="s">
        <v>317</v>
      </c>
      <c r="E105" s="84" t="s">
        <v>318</v>
      </c>
    </row>
    <row r="106" ht="26" spans="1:5">
      <c r="A106" s="9">
        <v>20</v>
      </c>
      <c r="B106" s="8" t="s">
        <v>316</v>
      </c>
      <c r="C106" s="84" t="s">
        <v>281</v>
      </c>
      <c r="D106" s="84" t="s">
        <v>282</v>
      </c>
      <c r="E106" s="84" t="s">
        <v>319</v>
      </c>
    </row>
    <row r="107" ht="39" spans="1:5">
      <c r="A107" s="9">
        <v>21</v>
      </c>
      <c r="B107" s="8" t="s">
        <v>316</v>
      </c>
      <c r="C107" s="84" t="s">
        <v>285</v>
      </c>
      <c r="D107" s="84" t="s">
        <v>320</v>
      </c>
      <c r="E107" s="84" t="s">
        <v>321</v>
      </c>
    </row>
    <row r="108" ht="130" spans="1:5">
      <c r="A108" s="9">
        <v>22</v>
      </c>
      <c r="B108" s="8" t="s">
        <v>316</v>
      </c>
      <c r="C108" s="84" t="s">
        <v>278</v>
      </c>
      <c r="D108" s="84" t="s">
        <v>322</v>
      </c>
      <c r="E108" s="84" t="s">
        <v>323</v>
      </c>
    </row>
    <row r="109" ht="26" spans="1:5">
      <c r="A109" s="9">
        <v>23</v>
      </c>
      <c r="B109" s="8" t="s">
        <v>324</v>
      </c>
      <c r="C109" s="84" t="s">
        <v>325</v>
      </c>
      <c r="D109" s="84" t="s">
        <v>67</v>
      </c>
      <c r="E109" s="84" t="s">
        <v>326</v>
      </c>
    </row>
    <row r="110" ht="39" spans="1:5">
      <c r="A110" s="9">
        <v>24</v>
      </c>
      <c r="B110" s="8" t="s">
        <v>324</v>
      </c>
      <c r="C110" s="84" t="s">
        <v>285</v>
      </c>
      <c r="D110" s="84" t="s">
        <v>327</v>
      </c>
      <c r="E110" s="84" t="s">
        <v>328</v>
      </c>
    </row>
    <row r="111" ht="26" spans="1:5">
      <c r="A111" s="9">
        <v>25</v>
      </c>
      <c r="B111" s="8" t="s">
        <v>324</v>
      </c>
      <c r="C111" s="84" t="s">
        <v>281</v>
      </c>
      <c r="D111" s="84" t="s">
        <v>282</v>
      </c>
      <c r="E111" s="84" t="s">
        <v>329</v>
      </c>
    </row>
    <row r="112" ht="26" spans="1:5">
      <c r="A112" s="9">
        <v>26</v>
      </c>
      <c r="B112" s="8" t="s">
        <v>330</v>
      </c>
      <c r="C112" s="84" t="s">
        <v>281</v>
      </c>
      <c r="D112" s="84" t="s">
        <v>282</v>
      </c>
      <c r="E112" s="84" t="s">
        <v>331</v>
      </c>
    </row>
    <row r="113" ht="338" spans="1:5">
      <c r="A113" s="9">
        <v>27</v>
      </c>
      <c r="B113" s="8" t="s">
        <v>330</v>
      </c>
      <c r="C113" s="84" t="s">
        <v>332</v>
      </c>
      <c r="D113" s="84" t="s">
        <v>333</v>
      </c>
      <c r="E113" s="84" t="s">
        <v>334</v>
      </c>
    </row>
    <row r="114" ht="26" spans="1:5">
      <c r="A114" s="9">
        <v>28</v>
      </c>
      <c r="B114" s="8" t="s">
        <v>330</v>
      </c>
      <c r="C114" s="84" t="s">
        <v>278</v>
      </c>
      <c r="D114" s="84" t="s">
        <v>335</v>
      </c>
      <c r="E114" s="84" t="s">
        <v>336</v>
      </c>
    </row>
    <row r="115" ht="247" spans="1:5">
      <c r="A115" s="9">
        <v>29</v>
      </c>
      <c r="B115" s="8" t="s">
        <v>337</v>
      </c>
      <c r="C115" s="84" t="s">
        <v>332</v>
      </c>
      <c r="D115" s="84" t="s">
        <v>338</v>
      </c>
      <c r="E115" s="84" t="s">
        <v>333</v>
      </c>
    </row>
    <row r="116" ht="39" spans="1:5">
      <c r="A116" s="9">
        <v>30</v>
      </c>
      <c r="B116" s="8" t="s">
        <v>337</v>
      </c>
      <c r="C116" s="84" t="s">
        <v>281</v>
      </c>
      <c r="D116" s="84" t="s">
        <v>282</v>
      </c>
      <c r="E116" s="84" t="s">
        <v>339</v>
      </c>
    </row>
    <row r="117" ht="39" spans="1:5">
      <c r="A117" s="9">
        <v>31</v>
      </c>
      <c r="B117" s="8" t="s">
        <v>337</v>
      </c>
      <c r="C117" s="84" t="s">
        <v>285</v>
      </c>
      <c r="D117" s="84" t="s">
        <v>340</v>
      </c>
      <c r="E117" s="84" t="s">
        <v>341</v>
      </c>
    </row>
    <row r="118" ht="39" spans="1:5">
      <c r="A118" s="9">
        <v>32</v>
      </c>
      <c r="B118" s="8" t="s">
        <v>342</v>
      </c>
      <c r="C118" s="84" t="s">
        <v>285</v>
      </c>
      <c r="D118" s="84" t="s">
        <v>343</v>
      </c>
      <c r="E118" s="84" t="s">
        <v>344</v>
      </c>
    </row>
    <row r="119" ht="26" spans="1:5">
      <c r="A119" s="9">
        <v>33</v>
      </c>
      <c r="B119" s="8" t="s">
        <v>342</v>
      </c>
      <c r="C119" s="84" t="s">
        <v>281</v>
      </c>
      <c r="D119" s="84" t="s">
        <v>282</v>
      </c>
      <c r="E119" s="84" t="s">
        <v>345</v>
      </c>
    </row>
    <row r="120" ht="130" spans="1:5">
      <c r="A120" s="9">
        <v>34</v>
      </c>
      <c r="B120" s="8" t="s">
        <v>346</v>
      </c>
      <c r="C120" s="84" t="s">
        <v>278</v>
      </c>
      <c r="D120" s="84" t="s">
        <v>347</v>
      </c>
      <c r="E120" s="84" t="s">
        <v>348</v>
      </c>
    </row>
    <row r="121" ht="52" spans="1:5">
      <c r="A121" s="9">
        <v>35</v>
      </c>
      <c r="B121" s="8" t="s">
        <v>346</v>
      </c>
      <c r="C121" s="84" t="s">
        <v>278</v>
      </c>
      <c r="D121" s="84" t="s">
        <v>349</v>
      </c>
      <c r="E121" s="84" t="s">
        <v>350</v>
      </c>
    </row>
    <row r="122" ht="52" spans="1:5">
      <c r="A122" s="9">
        <v>36</v>
      </c>
      <c r="B122" s="8" t="s">
        <v>351</v>
      </c>
      <c r="C122" s="84" t="s">
        <v>278</v>
      </c>
      <c r="D122" s="84" t="s">
        <v>352</v>
      </c>
      <c r="E122" s="84" t="s">
        <v>353</v>
      </c>
    </row>
    <row r="123" ht="234" spans="1:5">
      <c r="A123" s="9">
        <v>37</v>
      </c>
      <c r="B123" s="8" t="s">
        <v>354</v>
      </c>
      <c r="C123" s="84" t="s">
        <v>332</v>
      </c>
      <c r="D123" s="84" t="s">
        <v>355</v>
      </c>
      <c r="E123" s="84" t="s">
        <v>338</v>
      </c>
    </row>
    <row r="124" ht="52" spans="1:5">
      <c r="A124" s="9">
        <v>38</v>
      </c>
      <c r="B124" s="8" t="s">
        <v>356</v>
      </c>
      <c r="C124" s="84" t="s">
        <v>357</v>
      </c>
      <c r="D124" s="84" t="s">
        <v>282</v>
      </c>
      <c r="E124" s="84" t="s">
        <v>358</v>
      </c>
    </row>
    <row r="125" ht="39" spans="1:5">
      <c r="A125" s="9">
        <v>39</v>
      </c>
      <c r="B125" s="8" t="s">
        <v>359</v>
      </c>
      <c r="C125" s="84" t="s">
        <v>285</v>
      </c>
      <c r="D125" s="84" t="s">
        <v>360</v>
      </c>
      <c r="E125" s="84" t="s">
        <v>361</v>
      </c>
    </row>
    <row r="126" ht="130" spans="1:5">
      <c r="A126" s="9">
        <v>40</v>
      </c>
      <c r="B126" s="8" t="s">
        <v>359</v>
      </c>
      <c r="C126" s="84" t="s">
        <v>278</v>
      </c>
      <c r="D126" s="84" t="s">
        <v>362</v>
      </c>
      <c r="E126" s="84" t="s">
        <v>363</v>
      </c>
    </row>
    <row r="127" ht="26" spans="1:5">
      <c r="A127" s="9">
        <v>41</v>
      </c>
      <c r="B127" s="8" t="s">
        <v>359</v>
      </c>
      <c r="C127" s="84" t="s">
        <v>281</v>
      </c>
      <c r="D127" s="84" t="s">
        <v>282</v>
      </c>
      <c r="E127" s="84" t="s">
        <v>67</v>
      </c>
    </row>
    <row r="128" ht="52" spans="1:5">
      <c r="A128" s="9">
        <v>42</v>
      </c>
      <c r="B128" s="8" t="s">
        <v>364</v>
      </c>
      <c r="C128" s="84" t="s">
        <v>278</v>
      </c>
      <c r="D128" s="84" t="s">
        <v>365</v>
      </c>
      <c r="E128" s="84" t="s">
        <v>366</v>
      </c>
    </row>
    <row r="129" ht="130" spans="1:20">
      <c r="A129" s="9">
        <v>43</v>
      </c>
      <c r="B129" s="8" t="s">
        <v>364</v>
      </c>
      <c r="C129" s="84" t="s">
        <v>278</v>
      </c>
      <c r="D129" s="84" t="s">
        <v>367</v>
      </c>
      <c r="E129" s="84" t="s">
        <v>368</v>
      </c>
    </row>
    <row r="130" ht="39" spans="1:20">
      <c r="A130" s="9">
        <v>44</v>
      </c>
      <c r="B130" s="8" t="s">
        <v>369</v>
      </c>
      <c r="C130" s="84" t="s">
        <v>285</v>
      </c>
      <c r="D130" s="84" t="s">
        <v>370</v>
      </c>
      <c r="E130" s="84" t="s">
        <v>371</v>
      </c>
    </row>
    <row r="131" ht="39" spans="1:20">
      <c r="A131" s="9">
        <v>45</v>
      </c>
      <c r="B131" s="8" t="s">
        <v>369</v>
      </c>
      <c r="C131" s="84" t="s">
        <v>372</v>
      </c>
      <c r="D131" s="84" t="s">
        <v>373</v>
      </c>
      <c r="E131" s="84" t="s">
        <v>374</v>
      </c>
    </row>
    <row r="132" ht="26" spans="1:20">
      <c r="A132" s="9">
        <v>46</v>
      </c>
      <c r="B132" s="8" t="s">
        <v>369</v>
      </c>
      <c r="C132" s="84" t="s">
        <v>281</v>
      </c>
      <c r="D132" s="84" t="s">
        <v>282</v>
      </c>
      <c r="E132" s="84" t="s">
        <v>375</v>
      </c>
    </row>
    <row r="133" spans="1:20">
      <c r="A133" s="9" t="s">
        <v>110</v>
      </c>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ht="15.5" spans="1:20">
      <c r="A135" s="3" t="s">
        <v>376</v>
      </c>
      <c r="B135" s="90"/>
      <c r="C135" s="91"/>
      <c r="D135" s="92"/>
      <c r="E135" s="92"/>
      <c r="F135" s="92"/>
      <c r="G135" s="92"/>
      <c r="H135" s="92"/>
      <c r="I135" s="2"/>
      <c r="J135" s="2"/>
      <c r="K135" s="2"/>
      <c r="L135" s="2"/>
      <c r="M135" s="2"/>
      <c r="N135" s="2"/>
      <c r="O135" s="2"/>
      <c r="P135" s="2"/>
      <c r="Q135" s="2"/>
      <c r="R135" s="2"/>
      <c r="S135" s="2"/>
      <c r="T135" s="2"/>
    </row>
    <row r="136" ht="13.5" spans="1:20">
      <c r="A136" s="2" t="s">
        <v>377</v>
      </c>
      <c r="B136" s="93" t="s">
        <v>378</v>
      </c>
      <c r="C136" s="91"/>
      <c r="D136" s="92"/>
      <c r="E136" s="92"/>
      <c r="F136" s="92"/>
      <c r="G136" s="92"/>
      <c r="H136" s="92"/>
      <c r="I136" s="2"/>
      <c r="J136" s="2"/>
      <c r="K136" s="2"/>
      <c r="L136" s="2"/>
      <c r="M136" s="2"/>
      <c r="N136" s="2"/>
      <c r="O136" s="2"/>
      <c r="P136" s="2"/>
      <c r="Q136" s="2"/>
      <c r="R136" s="2"/>
      <c r="S136" s="2"/>
      <c r="T136" s="2"/>
    </row>
    <row r="137" ht="15.5" spans="1:20">
      <c r="A137" s="11" t="s">
        <v>379</v>
      </c>
      <c r="B137" s="9" t="s">
        <v>12</v>
      </c>
      <c r="C137" s="11" t="s">
        <v>1</v>
      </c>
      <c r="D137" s="9" t="s">
        <v>2</v>
      </c>
      <c r="E137" s="92"/>
      <c r="F137" s="92"/>
      <c r="G137" s="92"/>
      <c r="H137" s="92"/>
      <c r="I137" s="2"/>
      <c r="J137" s="2"/>
      <c r="K137" s="2"/>
      <c r="L137" s="2"/>
      <c r="M137" s="2"/>
      <c r="N137" s="2"/>
      <c r="O137" s="2"/>
      <c r="P137" s="2"/>
      <c r="Q137" s="2"/>
      <c r="R137" s="2"/>
      <c r="S137" s="2"/>
      <c r="T137" s="2"/>
    </row>
    <row r="138" ht="15.5" spans="1:20">
      <c r="A138" s="11" t="s">
        <v>380</v>
      </c>
      <c r="B138" s="9" t="s">
        <v>381</v>
      </c>
      <c r="C138" s="11" t="s">
        <v>382</v>
      </c>
      <c r="D138" s="9" t="s">
        <v>383</v>
      </c>
      <c r="E138" s="92"/>
      <c r="F138" s="92"/>
      <c r="G138" s="92"/>
      <c r="H138" s="92"/>
      <c r="I138" s="2"/>
      <c r="J138" s="2"/>
      <c r="K138" s="2"/>
      <c r="L138" s="2"/>
      <c r="M138" s="2"/>
      <c r="N138" s="2"/>
      <c r="O138" s="2"/>
      <c r="P138" s="2"/>
      <c r="Q138" s="2"/>
      <c r="R138" s="2"/>
      <c r="S138" s="2"/>
      <c r="T138" s="2"/>
    </row>
    <row r="139" ht="15.5" spans="1:20">
      <c r="A139" s="11" t="s">
        <v>384</v>
      </c>
      <c r="B139" s="9" t="s">
        <v>385</v>
      </c>
      <c r="C139" s="11" t="s">
        <v>386</v>
      </c>
      <c r="D139" s="9" t="s">
        <v>387</v>
      </c>
      <c r="E139" s="92"/>
      <c r="F139" s="92"/>
      <c r="G139" s="92"/>
      <c r="H139" s="92"/>
      <c r="I139" s="2"/>
      <c r="J139" s="2"/>
      <c r="K139" s="2"/>
      <c r="L139" s="2"/>
      <c r="M139" s="2"/>
      <c r="N139" s="2"/>
      <c r="O139" s="2"/>
      <c r="P139" s="2"/>
      <c r="Q139" s="2"/>
      <c r="R139" s="2"/>
      <c r="S139" s="2"/>
      <c r="T139" s="2"/>
    </row>
    <row r="140" ht="15.5" spans="1:20">
      <c r="A140" s="11" t="s">
        <v>388</v>
      </c>
      <c r="B140" s="9" t="s">
        <v>389</v>
      </c>
      <c r="C140" s="11" t="s">
        <v>390</v>
      </c>
      <c r="D140" s="9" t="s">
        <v>391</v>
      </c>
      <c r="E140" s="92"/>
      <c r="F140" s="92"/>
      <c r="G140" s="92"/>
      <c r="H140" s="92"/>
      <c r="I140" s="2"/>
      <c r="J140" s="2"/>
      <c r="K140" s="2"/>
      <c r="L140" s="2"/>
      <c r="M140" s="2"/>
      <c r="N140" s="2"/>
      <c r="O140" s="2"/>
      <c r="P140" s="2"/>
      <c r="Q140" s="2"/>
      <c r="R140" s="2"/>
      <c r="S140" s="2"/>
      <c r="T140" s="2"/>
    </row>
    <row r="141" ht="15.5" spans="1:20">
      <c r="A141" s="11" t="s">
        <v>392</v>
      </c>
      <c r="B141" s="9" t="s">
        <v>39</v>
      </c>
      <c r="C141" s="11" t="s">
        <v>393</v>
      </c>
      <c r="D141" s="9" t="s">
        <v>391</v>
      </c>
      <c r="E141" s="92"/>
      <c r="F141" s="92"/>
      <c r="G141" s="92"/>
      <c r="H141" s="92"/>
      <c r="I141" s="2"/>
      <c r="J141" s="2"/>
      <c r="K141" s="2"/>
      <c r="L141" s="2"/>
      <c r="M141" s="2"/>
      <c r="N141" s="2"/>
      <c r="O141" s="2"/>
      <c r="P141" s="2"/>
      <c r="Q141" s="2"/>
      <c r="R141" s="2"/>
      <c r="S141" s="2"/>
      <c r="T141" s="2"/>
    </row>
    <row r="142" ht="13.5" spans="1:20">
      <c r="A142" s="9"/>
      <c r="B142" s="92"/>
      <c r="C142" s="92"/>
      <c r="D142" s="92"/>
      <c r="E142" s="92"/>
      <c r="F142" s="92"/>
      <c r="G142" s="92"/>
      <c r="H142" s="92"/>
      <c r="I142" s="2"/>
      <c r="J142" s="2"/>
      <c r="K142" s="2"/>
      <c r="L142" s="2"/>
      <c r="M142" s="2"/>
      <c r="N142" s="2"/>
      <c r="O142" s="2"/>
      <c r="P142" s="2"/>
      <c r="Q142" s="2"/>
      <c r="R142" s="2"/>
      <c r="S142" s="2"/>
      <c r="T142" s="2"/>
    </row>
    <row r="143" ht="13.5" spans="1:20">
      <c r="A143" s="9"/>
      <c r="B143" s="92"/>
      <c r="C143" s="92"/>
      <c r="D143" s="92"/>
      <c r="E143" s="92"/>
      <c r="F143" s="92"/>
      <c r="G143" s="92"/>
      <c r="H143" s="92"/>
      <c r="I143" s="2"/>
      <c r="J143" s="2"/>
      <c r="K143" s="2"/>
      <c r="L143" s="2"/>
      <c r="M143" s="2"/>
      <c r="N143" s="2"/>
      <c r="O143" s="2"/>
      <c r="P143" s="2"/>
      <c r="Q143" s="2"/>
      <c r="R143" s="2"/>
      <c r="S143" s="2"/>
      <c r="T143" s="2"/>
    </row>
    <row r="144" ht="15.5" spans="1:20">
      <c r="A144" s="3" t="s">
        <v>394</v>
      </c>
      <c r="B144" s="2"/>
      <c r="C144" s="92"/>
      <c r="D144" s="92"/>
      <c r="E144" s="92"/>
      <c r="F144" s="92"/>
      <c r="G144" s="92"/>
      <c r="H144" s="92"/>
      <c r="I144" s="2"/>
      <c r="J144" s="2"/>
      <c r="K144" s="2"/>
      <c r="L144" s="2"/>
      <c r="M144" s="2"/>
      <c r="N144" s="2"/>
      <c r="O144" s="2"/>
      <c r="P144" s="2"/>
      <c r="Q144" s="2"/>
      <c r="R144" s="2"/>
      <c r="S144" s="2"/>
      <c r="T144" s="2"/>
    </row>
    <row r="145" ht="15.5" spans="1:20">
      <c r="A145" s="55" t="s">
        <v>46</v>
      </c>
      <c r="B145" s="55" t="s">
        <v>395</v>
      </c>
      <c r="C145" s="55" t="s">
        <v>396</v>
      </c>
      <c r="D145" s="55" t="s">
        <v>397</v>
      </c>
      <c r="E145" s="87"/>
      <c r="F145" s="87"/>
      <c r="G145" s="87"/>
      <c r="H145" s="87"/>
      <c r="I145" s="2"/>
      <c r="J145" s="2"/>
      <c r="K145" s="2"/>
      <c r="L145" s="2"/>
      <c r="M145" s="2"/>
      <c r="N145" s="2"/>
      <c r="O145" s="2"/>
      <c r="P145" s="2"/>
      <c r="Q145" s="2"/>
      <c r="R145" s="2"/>
      <c r="S145" s="2"/>
      <c r="T145" s="2"/>
    </row>
    <row r="146" ht="13.5" spans="1:20">
      <c r="A146" s="9">
        <v>1</v>
      </c>
      <c r="B146" s="9" t="s">
        <v>398</v>
      </c>
      <c r="C146" s="9" t="s">
        <v>2</v>
      </c>
      <c r="D146" s="9" t="s">
        <v>399</v>
      </c>
      <c r="E146" s="94"/>
      <c r="F146" s="94"/>
      <c r="G146" s="94"/>
      <c r="H146" s="94"/>
      <c r="I146" s="2"/>
      <c r="J146" s="2"/>
      <c r="K146" s="2"/>
      <c r="L146" s="2"/>
      <c r="M146" s="2"/>
      <c r="N146" s="2"/>
      <c r="O146" s="2"/>
      <c r="P146" s="2"/>
      <c r="Q146" s="2"/>
      <c r="R146" s="2"/>
      <c r="S146" s="2"/>
      <c r="T146" s="2"/>
    </row>
    <row r="147" ht="13.5" spans="1:20">
      <c r="A147" s="17"/>
      <c r="B147" s="92"/>
      <c r="C147" s="92"/>
      <c r="D147" s="92"/>
      <c r="E147" s="92"/>
      <c r="F147" s="92"/>
      <c r="G147" s="92"/>
      <c r="H147" s="92"/>
      <c r="I147" s="2"/>
      <c r="J147" s="2"/>
      <c r="K147" s="2"/>
      <c r="L147" s="2"/>
      <c r="M147" s="2"/>
      <c r="N147" s="2"/>
      <c r="O147" s="2"/>
      <c r="P147" s="2"/>
      <c r="Q147" s="2"/>
      <c r="R147" s="2"/>
      <c r="S147" s="2"/>
      <c r="T147" s="2"/>
    </row>
    <row r="148" ht="19" customHeight="1" spans="1:20">
      <c r="A148" s="17"/>
      <c r="B148" s="92"/>
      <c r="C148" s="92"/>
      <c r="D148" s="92"/>
      <c r="E148" s="92"/>
      <c r="F148" s="92"/>
      <c r="G148" s="92"/>
      <c r="H148" s="92"/>
      <c r="I148" s="2"/>
      <c r="J148" s="2"/>
      <c r="K148" s="2"/>
      <c r="L148" s="2"/>
      <c r="M148" s="2"/>
      <c r="N148" s="2"/>
      <c r="O148" s="2"/>
      <c r="P148" s="2"/>
      <c r="Q148" s="2"/>
      <c r="R148" s="2"/>
      <c r="S148" s="2"/>
      <c r="T148" s="2"/>
    </row>
    <row r="149" ht="15.5" spans="1:20">
      <c r="A149" s="3" t="s">
        <v>400</v>
      </c>
      <c r="B149" s="2"/>
      <c r="C149" s="92"/>
      <c r="D149" s="92"/>
      <c r="E149" s="92"/>
      <c r="F149" s="92"/>
      <c r="G149" s="92"/>
      <c r="H149" s="92"/>
      <c r="I149" s="2"/>
      <c r="J149" s="2"/>
      <c r="K149" s="2"/>
      <c r="L149" s="2"/>
      <c r="M149" s="2"/>
      <c r="N149" s="2"/>
      <c r="O149" s="2"/>
      <c r="P149" s="2"/>
      <c r="Q149" s="2"/>
      <c r="R149" s="2"/>
      <c r="S149" s="2"/>
      <c r="T149" s="2"/>
    </row>
    <row r="150" ht="15.5" spans="1:20">
      <c r="A150" s="11" t="s">
        <v>46</v>
      </c>
      <c r="B150" s="11" t="s">
        <v>401</v>
      </c>
      <c r="C150" s="11" t="s">
        <v>170</v>
      </c>
      <c r="D150" s="6" t="s">
        <v>171</v>
      </c>
      <c r="E150" s="11" t="s">
        <v>402</v>
      </c>
      <c r="F150" s="11" t="s">
        <v>172</v>
      </c>
      <c r="G150" s="6" t="s">
        <v>173</v>
      </c>
      <c r="H150" s="11" t="s">
        <v>403</v>
      </c>
      <c r="I150" s="2"/>
      <c r="J150" s="2"/>
      <c r="K150" s="2"/>
      <c r="L150" s="2"/>
      <c r="M150" s="2"/>
      <c r="N150" s="2"/>
      <c r="O150" s="2"/>
      <c r="P150" s="2"/>
      <c r="Q150" s="2"/>
      <c r="R150" s="2"/>
      <c r="S150" s="2"/>
      <c r="T150" s="2"/>
    </row>
    <row r="151" spans="1:20">
      <c r="A151" s="9">
        <v>1</v>
      </c>
      <c r="B151" s="84" t="s">
        <v>4</v>
      </c>
      <c r="C151" s="9" t="s">
        <v>404</v>
      </c>
      <c r="D151" s="9" t="s">
        <v>185</v>
      </c>
      <c r="E151" s="9" t="s">
        <v>405</v>
      </c>
      <c r="F151" s="9" t="s">
        <v>404</v>
      </c>
      <c r="G151" s="9" t="s">
        <v>185</v>
      </c>
      <c r="H151" s="9" t="s">
        <v>405</v>
      </c>
      <c r="I151" s="2"/>
      <c r="J151" s="2"/>
      <c r="K151" s="2"/>
      <c r="L151" s="2"/>
      <c r="M151" s="2"/>
      <c r="N151" s="2"/>
      <c r="O151" s="2"/>
      <c r="P151" s="2"/>
      <c r="Q151" s="2"/>
      <c r="R151" s="2"/>
      <c r="S151" s="2"/>
      <c r="T151" s="2"/>
    </row>
    <row r="152" spans="1:20">
      <c r="A152" s="9">
        <v>2</v>
      </c>
      <c r="B152" s="84" t="s">
        <v>129</v>
      </c>
      <c r="C152" s="9" t="s">
        <v>406</v>
      </c>
      <c r="D152" s="9" t="s">
        <v>182</v>
      </c>
      <c r="E152" s="9" t="s">
        <v>407</v>
      </c>
      <c r="F152" s="9" t="s">
        <v>406</v>
      </c>
      <c r="G152" s="9" t="s">
        <v>182</v>
      </c>
      <c r="H152" s="9" t="s">
        <v>407</v>
      </c>
    </row>
    <row r="153" spans="1:20">
      <c r="A153" s="9">
        <v>3</v>
      </c>
      <c r="B153" s="84" t="s">
        <v>174</v>
      </c>
      <c r="C153" s="9" t="s">
        <v>408</v>
      </c>
      <c r="D153" s="9" t="s">
        <v>178</v>
      </c>
      <c r="E153" s="9" t="s">
        <v>409</v>
      </c>
      <c r="F153" s="9" t="s">
        <v>408</v>
      </c>
      <c r="G153" s="9" t="s">
        <v>178</v>
      </c>
      <c r="H153" s="9" t="s">
        <v>409</v>
      </c>
    </row>
    <row r="154" spans="1:20">
      <c r="A154" s="9">
        <v>4</v>
      </c>
      <c r="B154" s="84" t="s">
        <v>117</v>
      </c>
      <c r="C154" s="9" t="s">
        <v>410</v>
      </c>
      <c r="D154" s="9" t="s">
        <v>185</v>
      </c>
      <c r="E154" s="9" t="s">
        <v>405</v>
      </c>
      <c r="F154" s="9" t="s">
        <v>410</v>
      </c>
      <c r="G154" s="9" t="s">
        <v>185</v>
      </c>
      <c r="H154" s="9" t="s">
        <v>405</v>
      </c>
    </row>
    <row r="155" ht="13.5" spans="1:20">
      <c r="A155" s="17"/>
      <c r="B155" s="92"/>
      <c r="C155" s="92"/>
      <c r="D155" s="92"/>
      <c r="E155" s="92"/>
      <c r="F155" s="92"/>
      <c r="G155" s="92"/>
      <c r="H155" s="92"/>
      <c r="I155" s="2"/>
      <c r="J155" s="2"/>
      <c r="K155" s="2"/>
      <c r="L155" s="2"/>
      <c r="M155" s="2"/>
      <c r="N155" s="2"/>
      <c r="O155" s="2"/>
      <c r="P155" s="2"/>
      <c r="Q155" s="2"/>
      <c r="R155" s="2"/>
      <c r="S155" s="2"/>
      <c r="T155" s="2"/>
    </row>
    <row r="156" ht="19" customHeight="1" spans="1:20">
      <c r="A156" s="17"/>
      <c r="B156" s="92"/>
      <c r="C156" s="92"/>
      <c r="D156" s="92"/>
      <c r="E156" s="92"/>
      <c r="F156" s="92"/>
      <c r="G156" s="92"/>
      <c r="H156" s="92"/>
      <c r="I156" s="2"/>
      <c r="J156" s="2"/>
      <c r="K156" s="2"/>
      <c r="L156" s="2"/>
      <c r="M156" s="2"/>
      <c r="N156" s="2"/>
      <c r="O156" s="2"/>
      <c r="P156" s="2"/>
      <c r="Q156" s="2"/>
      <c r="R156" s="2"/>
      <c r="S156" s="2"/>
      <c r="T156" s="2"/>
    </row>
    <row r="157" ht="15.5" spans="1:20">
      <c r="A157" s="3" t="s">
        <v>411</v>
      </c>
      <c r="B157" s="2"/>
      <c r="C157" s="90"/>
      <c r="D157" s="90"/>
      <c r="E157" s="2"/>
      <c r="F157" s="2"/>
      <c r="G157" s="2"/>
      <c r="H157" s="2"/>
      <c r="I157" s="2"/>
      <c r="J157" s="2"/>
      <c r="K157" s="2"/>
      <c r="L157" s="2"/>
      <c r="M157" s="2"/>
      <c r="N157" s="2"/>
      <c r="O157" s="2"/>
      <c r="P157" s="2"/>
      <c r="Q157" s="2"/>
      <c r="R157" s="2"/>
      <c r="S157" s="2"/>
      <c r="T157" s="2"/>
    </row>
    <row r="158" ht="13.5" spans="1:20">
      <c r="A158" s="17"/>
      <c r="B158" s="92"/>
      <c r="C158" s="92"/>
      <c r="D158" s="92"/>
      <c r="E158" s="92"/>
      <c r="F158" s="92"/>
      <c r="G158" s="92"/>
      <c r="H158" s="92"/>
      <c r="I158" s="2"/>
      <c r="J158" s="2"/>
      <c r="K158" s="2"/>
      <c r="L158" s="2"/>
      <c r="M158" s="2"/>
      <c r="N158" s="2"/>
      <c r="O158" s="2"/>
      <c r="P158" s="2"/>
      <c r="Q158" s="2"/>
      <c r="R158" s="2"/>
      <c r="S158" s="2"/>
      <c r="T158" s="2"/>
    </row>
    <row r="159" ht="19" customHeight="1" spans="1:20">
      <c r="A159" s="17"/>
      <c r="B159" s="92"/>
      <c r="C159" s="92"/>
      <c r="D159" s="92"/>
      <c r="E159" s="92"/>
      <c r="F159" s="92"/>
      <c r="G159" s="92"/>
      <c r="H159" s="92"/>
      <c r="I159" s="2"/>
      <c r="J159" s="2"/>
      <c r="K159" s="2"/>
      <c r="L159" s="2"/>
      <c r="M159" s="2"/>
      <c r="N159" s="2"/>
      <c r="O159" s="2"/>
      <c r="P159" s="2"/>
      <c r="Q159" s="2"/>
      <c r="R159" s="2"/>
      <c r="S159" s="2"/>
      <c r="T159" s="2"/>
    </row>
    <row r="160" ht="15.5" spans="1:20">
      <c r="A160" s="3" t="s">
        <v>412</v>
      </c>
      <c r="B160" s="92"/>
      <c r="C160" s="92"/>
      <c r="D160" s="92"/>
      <c r="E160" s="92"/>
      <c r="F160" s="92"/>
      <c r="G160" s="92"/>
      <c r="H160" s="92"/>
      <c r="I160" s="2"/>
      <c r="J160" s="2"/>
      <c r="K160" s="2"/>
      <c r="L160" s="2"/>
      <c r="M160" s="2"/>
      <c r="N160" s="2"/>
      <c r="O160" s="2"/>
      <c r="P160" s="2"/>
      <c r="Q160" s="2"/>
      <c r="R160" s="2"/>
      <c r="S160" s="2"/>
      <c r="T160" s="2"/>
    </row>
    <row r="161" ht="15.5" spans="1:20">
      <c r="A161" s="11" t="s">
        <v>413</v>
      </c>
      <c r="B161" s="9" t="s">
        <v>387</v>
      </c>
      <c r="C161" s="11" t="s">
        <v>414</v>
      </c>
      <c r="D161" s="9" t="s">
        <v>387</v>
      </c>
      <c r="E161" s="92"/>
      <c r="F161" s="92"/>
      <c r="G161" s="92"/>
      <c r="H161" s="92"/>
      <c r="I161" s="2"/>
      <c r="J161" s="2"/>
      <c r="K161" s="2"/>
      <c r="L161" s="2"/>
      <c r="M161" s="2"/>
      <c r="N161" s="2"/>
      <c r="O161" s="2"/>
      <c r="P161" s="2"/>
      <c r="Q161" s="2"/>
      <c r="R161" s="2"/>
      <c r="S161" s="2"/>
      <c r="T161" s="2"/>
    </row>
    <row r="162" ht="15.5" spans="1:20">
      <c r="A162" s="11" t="s">
        <v>415</v>
      </c>
      <c r="B162" s="9" t="s">
        <v>387</v>
      </c>
      <c r="C162" s="11" t="s">
        <v>416</v>
      </c>
      <c r="D162" s="9" t="s">
        <v>387</v>
      </c>
      <c r="E162" s="92"/>
      <c r="F162" s="92"/>
      <c r="G162" s="92"/>
      <c r="H162" s="92"/>
      <c r="I162" s="2"/>
      <c r="J162" s="2"/>
      <c r="K162" s="2"/>
      <c r="L162" s="2"/>
      <c r="M162" s="2"/>
      <c r="N162" s="2"/>
      <c r="O162" s="2"/>
      <c r="P162" s="2"/>
      <c r="Q162" s="2"/>
      <c r="R162" s="2"/>
      <c r="S162" s="2"/>
      <c r="T162" s="2"/>
    </row>
    <row r="163" ht="15.5" spans="1:20">
      <c r="A163" s="11" t="s">
        <v>417</v>
      </c>
      <c r="B163" s="9" t="s">
        <v>387</v>
      </c>
      <c r="C163" s="11" t="s">
        <v>418</v>
      </c>
      <c r="D163" s="9" t="s">
        <v>387</v>
      </c>
      <c r="E163" s="92"/>
      <c r="F163" s="92"/>
      <c r="G163" s="92"/>
      <c r="H163" s="92"/>
      <c r="I163" s="2"/>
      <c r="J163" s="2"/>
      <c r="K163" s="2"/>
      <c r="L163" s="2"/>
      <c r="M163" s="2"/>
      <c r="N163" s="2"/>
      <c r="O163" s="2"/>
      <c r="P163" s="2"/>
      <c r="Q163" s="2"/>
      <c r="R163" s="2"/>
      <c r="S163" s="2"/>
      <c r="T163" s="2"/>
    </row>
    <row r="164" ht="15.5" spans="1:20">
      <c r="A164" s="11" t="s">
        <v>419</v>
      </c>
      <c r="B164" s="9" t="s">
        <v>387</v>
      </c>
      <c r="C164" s="11" t="s">
        <v>420</v>
      </c>
      <c r="D164" s="9" t="s">
        <v>387</v>
      </c>
      <c r="E164" s="2"/>
      <c r="F164" s="2"/>
      <c r="G164" s="2"/>
      <c r="H164" s="2"/>
      <c r="I164" s="2"/>
      <c r="J164" s="2"/>
      <c r="K164" s="2"/>
      <c r="L164" s="2"/>
      <c r="M164" s="2"/>
      <c r="N164" s="2"/>
      <c r="O164" s="2"/>
      <c r="P164" s="2"/>
      <c r="Q164" s="2"/>
      <c r="R164" s="2"/>
      <c r="S164" s="2"/>
      <c r="T164" s="2"/>
    </row>
    <row r="165" ht="13.5" spans="1:20">
      <c r="A165" s="90"/>
      <c r="B165" s="90"/>
      <c r="C165" s="90"/>
      <c r="D165" s="90"/>
      <c r="E165" s="2"/>
      <c r="F165" s="2"/>
      <c r="G165" s="2"/>
      <c r="H165" s="2"/>
      <c r="I165" s="2"/>
      <c r="J165" s="2"/>
      <c r="K165" s="2"/>
      <c r="L165" s="2"/>
      <c r="M165" s="2"/>
      <c r="N165" s="2"/>
      <c r="O165" s="2"/>
      <c r="P165" s="2"/>
      <c r="Q165" s="2"/>
      <c r="R165" s="2"/>
      <c r="S165" s="2"/>
      <c r="T165" s="2"/>
    </row>
    <row r="166" ht="19" customHeight="1" spans="1:20">
      <c r="A166" s="90"/>
      <c r="B166" s="90"/>
      <c r="C166" s="90"/>
      <c r="D166" s="90"/>
      <c r="E166" s="2"/>
      <c r="F166" s="2"/>
      <c r="G166" s="2"/>
      <c r="H166" s="2"/>
      <c r="I166" s="2"/>
      <c r="J166" s="2"/>
      <c r="K166" s="2"/>
      <c r="L166" s="2"/>
      <c r="M166" s="2"/>
      <c r="N166" s="2"/>
      <c r="O166" s="2"/>
      <c r="P166" s="2"/>
      <c r="Q166" s="2"/>
      <c r="R166" s="2"/>
      <c r="S166" s="2"/>
      <c r="T166" s="2"/>
    </row>
    <row r="167" ht="15.5" spans="1:20">
      <c r="A167" s="3" t="s">
        <v>421</v>
      </c>
      <c r="B167" s="2"/>
      <c r="C167" s="90"/>
      <c r="D167" s="90"/>
      <c r="E167" s="2"/>
      <c r="F167" s="2"/>
      <c r="G167" s="2"/>
      <c r="H167" s="2"/>
      <c r="I167" s="2"/>
      <c r="J167" s="2"/>
      <c r="K167" s="2"/>
      <c r="L167" s="2"/>
      <c r="M167" s="2"/>
      <c r="N167" s="2"/>
      <c r="O167" s="2"/>
      <c r="P167" s="2"/>
      <c r="Q167" s="2"/>
      <c r="R167" s="2"/>
      <c r="S167" s="2"/>
      <c r="T167" s="2"/>
    </row>
    <row r="168" ht="15.5" spans="1:20">
      <c r="A168" s="55" t="s">
        <v>46</v>
      </c>
      <c r="B168" s="11" t="s">
        <v>422</v>
      </c>
      <c r="C168" s="11" t="s">
        <v>423</v>
      </c>
      <c r="D168" s="90"/>
      <c r="E168" s="2"/>
      <c r="F168" s="2"/>
      <c r="G168" s="2"/>
      <c r="H168" s="2"/>
      <c r="I168" s="2"/>
      <c r="J168" s="2"/>
      <c r="K168" s="2"/>
      <c r="L168" s="2"/>
      <c r="M168" s="2"/>
      <c r="N168" s="2"/>
      <c r="O168" s="2"/>
      <c r="P168" s="2"/>
      <c r="Q168" s="2"/>
      <c r="R168" s="2"/>
      <c r="S168" s="2"/>
      <c r="T168" s="2"/>
    </row>
    <row r="169" ht="13.5" spans="1:20">
      <c r="A169" s="9">
        <v>1</v>
      </c>
      <c r="B169" s="9" t="s">
        <v>67</v>
      </c>
      <c r="C169" s="9" t="s">
        <v>227</v>
      </c>
      <c r="D169" s="90"/>
      <c r="E169" s="2"/>
      <c r="F169" s="2"/>
      <c r="G169" s="2"/>
      <c r="H169" s="2"/>
      <c r="I169" s="2"/>
      <c r="J169" s="2"/>
      <c r="K169" s="2"/>
      <c r="L169" s="2"/>
      <c r="M169" s="2"/>
      <c r="N169" s="2"/>
      <c r="O169" s="2"/>
      <c r="P169" s="2"/>
      <c r="Q169" s="2"/>
      <c r="R169" s="2"/>
      <c r="S169" s="2"/>
      <c r="T169" s="2"/>
    </row>
    <row r="170" spans="1:20">
      <c r="A170" s="9">
        <v>2</v>
      </c>
      <c r="B170" s="9" t="s">
        <v>67</v>
      </c>
      <c r="C170" s="9" t="s">
        <v>235</v>
      </c>
    </row>
    <row r="171" spans="1:20">
      <c r="A171" s="9">
        <v>3</v>
      </c>
      <c r="B171" s="9" t="s">
        <v>67</v>
      </c>
      <c r="C171" s="9" t="s">
        <v>218</v>
      </c>
    </row>
    <row r="172" spans="1:20">
      <c r="A172" s="9">
        <v>4</v>
      </c>
      <c r="B172" s="9" t="s">
        <v>67</v>
      </c>
      <c r="C172" s="9" t="s">
        <v>198</v>
      </c>
    </row>
    <row r="173" spans="1:20">
      <c r="A173" s="9">
        <v>5</v>
      </c>
      <c r="B173" s="9" t="s">
        <v>67</v>
      </c>
      <c r="C173" s="9" t="s">
        <v>210</v>
      </c>
    </row>
    <row r="174" ht="13.5" spans="1:20">
      <c r="A174" s="9" t="s">
        <v>110</v>
      </c>
      <c r="B174" s="90"/>
      <c r="C174" s="90"/>
      <c r="D174" s="90"/>
      <c r="E174" s="2"/>
      <c r="F174" s="2"/>
      <c r="G174" s="2"/>
      <c r="H174" s="2"/>
      <c r="I174" s="2"/>
      <c r="J174" s="2"/>
      <c r="K174" s="2"/>
      <c r="L174" s="2"/>
      <c r="M174" s="2"/>
      <c r="N174" s="2"/>
      <c r="O174" s="2"/>
      <c r="P174" s="2"/>
      <c r="Q174" s="2"/>
      <c r="R174" s="2"/>
      <c r="S174" s="2"/>
      <c r="T174" s="2"/>
    </row>
    <row r="175" ht="19" customHeight="1" spans="1:20">
      <c r="A175" s="90"/>
      <c r="B175" s="90"/>
      <c r="C175" s="90"/>
      <c r="D175" s="90"/>
      <c r="E175" s="2"/>
      <c r="F175" s="2"/>
      <c r="G175" s="2"/>
      <c r="H175" s="2"/>
      <c r="I175" s="2"/>
      <c r="J175" s="2"/>
      <c r="K175" s="2"/>
      <c r="L175" s="2"/>
      <c r="M175" s="2"/>
      <c r="N175" s="2"/>
      <c r="O175" s="2"/>
      <c r="P175" s="2"/>
      <c r="Q175" s="2"/>
      <c r="R175" s="2"/>
      <c r="S175" s="2"/>
      <c r="T175" s="2"/>
    </row>
    <row r="176" ht="15.5" spans="1:20">
      <c r="A176" s="3" t="s">
        <v>424</v>
      </c>
      <c r="B176" s="90"/>
      <c r="C176" s="90"/>
      <c r="D176" s="90"/>
      <c r="E176" s="2"/>
      <c r="F176" s="2"/>
      <c r="G176" s="2"/>
      <c r="H176" s="2"/>
      <c r="I176" s="2"/>
      <c r="J176" s="2"/>
      <c r="K176" s="2"/>
      <c r="L176" s="2"/>
      <c r="M176" s="2"/>
      <c r="N176" s="2"/>
      <c r="O176" s="2"/>
      <c r="P176" s="2"/>
      <c r="Q176" s="2"/>
      <c r="R176" s="2"/>
      <c r="S176" s="2"/>
      <c r="T176" s="2"/>
    </row>
    <row r="177" ht="15.5" spans="1:20">
      <c r="A177" s="11" t="s">
        <v>425</v>
      </c>
      <c r="B177" s="9" t="s">
        <v>426</v>
      </c>
      <c r="C177" s="11" t="s">
        <v>427</v>
      </c>
      <c r="D177" s="9" t="s">
        <v>428</v>
      </c>
      <c r="E177" s="2"/>
      <c r="F177" s="2"/>
      <c r="G177" s="2"/>
      <c r="H177" s="2"/>
      <c r="I177" s="2"/>
      <c r="J177" s="2"/>
      <c r="K177" s="2"/>
      <c r="L177" s="2"/>
      <c r="M177" s="2"/>
      <c r="N177" s="2"/>
      <c r="O177" s="2"/>
      <c r="P177" s="2"/>
      <c r="Q177" s="2"/>
      <c r="R177" s="2"/>
      <c r="S177" s="2"/>
      <c r="T177" s="2"/>
    </row>
    <row r="178" ht="15.5" spans="1:20">
      <c r="A178" s="11" t="s">
        <v>429</v>
      </c>
      <c r="B178" s="9" t="s">
        <v>428</v>
      </c>
      <c r="C178" s="11" t="s">
        <v>430</v>
      </c>
      <c r="D178" s="9" t="s">
        <v>428</v>
      </c>
      <c r="E178" s="2"/>
      <c r="F178" s="2"/>
      <c r="G178" s="2"/>
      <c r="H178" s="2"/>
      <c r="I178" s="2"/>
      <c r="J178" s="2"/>
      <c r="K178" s="2"/>
      <c r="L178" s="2"/>
      <c r="M178" s="2"/>
      <c r="N178" s="2"/>
      <c r="O178" s="2"/>
      <c r="P178" s="2"/>
      <c r="Q178" s="2"/>
      <c r="R178" s="2"/>
      <c r="S178" s="2"/>
      <c r="T178" s="2"/>
    </row>
    <row r="179" ht="15.5" spans="1:20">
      <c r="A179" s="11" t="s">
        <v>431</v>
      </c>
      <c r="B179" s="9" t="s">
        <v>432</v>
      </c>
      <c r="C179" s="90"/>
      <c r="D179" s="90"/>
      <c r="E179" s="2"/>
      <c r="F179" s="2"/>
      <c r="G179" s="2"/>
      <c r="H179" s="2"/>
      <c r="I179" s="2"/>
      <c r="J179" s="2"/>
      <c r="K179" s="2"/>
      <c r="L179" s="2"/>
      <c r="M179" s="2"/>
      <c r="N179" s="2"/>
      <c r="O179" s="2"/>
      <c r="P179" s="2"/>
      <c r="Q179" s="2"/>
      <c r="R179" s="2"/>
      <c r="S179" s="2"/>
      <c r="T179" s="2"/>
    </row>
    <row r="180" ht="13.5" spans="1:20">
      <c r="A180" s="11" t="s">
        <v>433</v>
      </c>
      <c r="B180" s="44" t="s">
        <v>434</v>
      </c>
      <c r="C180" s="9" t="s">
        <v>387</v>
      </c>
      <c r="D180" s="2"/>
      <c r="E180" s="2"/>
      <c r="F180" s="2"/>
      <c r="G180" s="2"/>
      <c r="H180" s="2"/>
      <c r="I180" s="2"/>
      <c r="J180" s="2"/>
      <c r="K180" s="2"/>
      <c r="L180" s="2"/>
      <c r="M180" s="2"/>
      <c r="N180" s="2"/>
      <c r="O180" s="2"/>
      <c r="P180" s="2"/>
      <c r="Q180" s="2"/>
      <c r="R180" s="2"/>
      <c r="S180" s="2"/>
      <c r="T180" s="2"/>
    </row>
    <row r="181" ht="13.5" spans="1:20">
      <c r="A181" s="11"/>
      <c r="B181" s="44" t="s">
        <v>435</v>
      </c>
      <c r="C181" s="9" t="s">
        <v>387</v>
      </c>
      <c r="D181" s="90"/>
      <c r="E181" s="2"/>
      <c r="F181" s="2"/>
      <c r="G181" s="2"/>
      <c r="H181" s="2"/>
      <c r="I181" s="2"/>
      <c r="J181" s="2"/>
      <c r="K181" s="2"/>
      <c r="L181" s="2"/>
      <c r="M181" s="2"/>
      <c r="N181" s="2"/>
      <c r="O181" s="2"/>
      <c r="P181" s="2"/>
      <c r="Q181" s="2"/>
      <c r="R181" s="2"/>
      <c r="S181" s="2"/>
      <c r="T181" s="2"/>
    </row>
    <row r="182" ht="13.5" spans="1:20">
      <c r="A182" s="11"/>
      <c r="B182" s="44" t="s">
        <v>436</v>
      </c>
      <c r="C182" s="9" t="s">
        <v>387</v>
      </c>
      <c r="D182" s="90"/>
      <c r="E182" s="2"/>
      <c r="F182" s="2"/>
      <c r="G182" s="2"/>
      <c r="H182" s="2"/>
      <c r="I182" s="2"/>
      <c r="J182" s="2"/>
      <c r="K182" s="2"/>
      <c r="L182" s="2"/>
      <c r="M182" s="2"/>
      <c r="N182" s="2"/>
      <c r="O182" s="2"/>
      <c r="P182" s="2"/>
      <c r="Q182" s="2"/>
      <c r="R182" s="2"/>
      <c r="S182" s="2"/>
      <c r="T182" s="2"/>
    </row>
    <row r="183" ht="13.5" spans="1:20">
      <c r="A183" s="11"/>
      <c r="B183" s="44" t="s">
        <v>437</v>
      </c>
      <c r="C183" s="9" t="s">
        <v>387</v>
      </c>
      <c r="D183" s="90"/>
      <c r="E183" s="2"/>
      <c r="F183" s="2"/>
      <c r="G183" s="2"/>
      <c r="H183" s="2"/>
      <c r="I183" s="2"/>
      <c r="J183" s="2"/>
      <c r="K183" s="2"/>
      <c r="L183" s="2"/>
      <c r="M183" s="2"/>
      <c r="N183" s="2"/>
      <c r="O183" s="2"/>
      <c r="P183" s="2"/>
      <c r="Q183" s="2"/>
      <c r="R183" s="2"/>
      <c r="S183" s="2"/>
      <c r="T183" s="2"/>
    </row>
    <row r="184" ht="13.5" spans="1:20">
      <c r="A184" s="11" t="s">
        <v>438</v>
      </c>
      <c r="B184" s="44" t="s">
        <v>439</v>
      </c>
      <c r="C184" s="9" t="s">
        <v>387</v>
      </c>
      <c r="D184" s="90"/>
      <c r="E184" s="2"/>
      <c r="F184" s="2"/>
      <c r="G184" s="2"/>
      <c r="H184" s="2"/>
      <c r="I184" s="2"/>
      <c r="J184" s="2"/>
      <c r="K184" s="2"/>
      <c r="L184" s="2"/>
      <c r="M184" s="2"/>
      <c r="N184" s="2"/>
      <c r="O184" s="2"/>
      <c r="P184" s="2"/>
      <c r="Q184" s="2"/>
      <c r="R184" s="2"/>
      <c r="S184" s="2"/>
      <c r="T184" s="2"/>
    </row>
    <row r="185" ht="13.5" spans="1:20">
      <c r="A185" s="11"/>
      <c r="B185" s="44" t="s">
        <v>440</v>
      </c>
      <c r="C185" s="9" t="s">
        <v>387</v>
      </c>
      <c r="D185" s="90"/>
      <c r="E185" s="2"/>
      <c r="F185" s="2"/>
      <c r="G185" s="2"/>
      <c r="H185" s="2"/>
      <c r="I185" s="2"/>
      <c r="J185" s="2"/>
      <c r="K185" s="2"/>
      <c r="L185" s="2"/>
      <c r="M185" s="2"/>
      <c r="N185" s="2"/>
      <c r="O185" s="2"/>
      <c r="P185" s="2"/>
      <c r="Q185" s="2"/>
      <c r="R185" s="2"/>
      <c r="S185" s="2"/>
      <c r="T185" s="2"/>
    </row>
    <row r="186" ht="13.5" spans="1:20">
      <c r="A186" s="11"/>
      <c r="B186" s="44" t="s">
        <v>441</v>
      </c>
      <c r="C186" s="9" t="s">
        <v>387</v>
      </c>
      <c r="D186" s="90"/>
      <c r="E186" s="2"/>
      <c r="F186" s="2"/>
      <c r="G186" s="2"/>
      <c r="H186" s="2"/>
      <c r="I186" s="2"/>
      <c r="J186" s="2"/>
      <c r="K186" s="2"/>
      <c r="L186" s="2"/>
      <c r="M186" s="2"/>
      <c r="N186" s="2"/>
      <c r="O186" s="2"/>
      <c r="P186" s="2"/>
      <c r="Q186" s="2"/>
      <c r="R186" s="2"/>
      <c r="S186" s="2"/>
      <c r="T186" s="2"/>
    </row>
    <row r="187" ht="13.5" spans="1:20">
      <c r="A187" s="11"/>
      <c r="B187" s="44" t="s">
        <v>442</v>
      </c>
      <c r="C187" s="9" t="s">
        <v>387</v>
      </c>
      <c r="D187" s="90"/>
      <c r="E187" s="2"/>
      <c r="F187" s="2"/>
      <c r="G187" s="2"/>
      <c r="H187" s="2"/>
      <c r="I187" s="2"/>
      <c r="J187" s="2"/>
      <c r="K187" s="2"/>
      <c r="L187" s="2"/>
      <c r="M187" s="2"/>
      <c r="N187" s="2"/>
      <c r="O187" s="2"/>
      <c r="P187" s="2"/>
      <c r="Q187" s="2"/>
      <c r="R187" s="2"/>
      <c r="S187" s="2"/>
      <c r="T187" s="2"/>
    </row>
    <row r="188" ht="13.5" spans="1:20">
      <c r="A188" s="11"/>
      <c r="B188" s="44" t="s">
        <v>443</v>
      </c>
      <c r="C188" s="9" t="s">
        <v>387</v>
      </c>
      <c r="D188" s="90"/>
      <c r="E188" s="2"/>
      <c r="F188" s="2"/>
      <c r="G188" s="2"/>
      <c r="H188" s="2"/>
      <c r="I188" s="2"/>
      <c r="J188" s="2"/>
      <c r="K188" s="2"/>
      <c r="L188" s="2"/>
      <c r="M188" s="2"/>
      <c r="N188" s="2"/>
      <c r="O188" s="2"/>
      <c r="P188" s="2"/>
      <c r="Q188" s="2"/>
      <c r="R188" s="2"/>
      <c r="S188" s="2"/>
      <c r="T188" s="2"/>
    </row>
    <row r="189" ht="13.5" spans="1:20">
      <c r="A189" s="11" t="s">
        <v>444</v>
      </c>
      <c r="B189" s="44" t="s">
        <v>445</v>
      </c>
      <c r="C189" s="9" t="s">
        <v>387</v>
      </c>
      <c r="D189" s="90"/>
      <c r="E189" s="2"/>
      <c r="F189" s="2"/>
      <c r="G189" s="2"/>
      <c r="H189" s="2"/>
      <c r="I189" s="2"/>
      <c r="J189" s="2"/>
      <c r="K189" s="2"/>
      <c r="L189" s="2"/>
      <c r="M189" s="2"/>
      <c r="N189" s="2"/>
      <c r="O189" s="2"/>
      <c r="P189" s="2"/>
      <c r="Q189" s="2"/>
      <c r="R189" s="2"/>
      <c r="S189" s="2"/>
      <c r="T189" s="2"/>
    </row>
    <row r="190" ht="13.5" spans="1:20">
      <c r="A190" s="11"/>
      <c r="B190" s="44" t="s">
        <v>446</v>
      </c>
      <c r="C190" s="9" t="s">
        <v>387</v>
      </c>
      <c r="D190" s="90"/>
      <c r="E190" s="2"/>
      <c r="F190" s="2"/>
      <c r="G190" s="2"/>
      <c r="H190" s="2"/>
      <c r="I190" s="2"/>
      <c r="J190" s="2"/>
      <c r="K190" s="2"/>
      <c r="L190" s="2"/>
      <c r="M190" s="2"/>
      <c r="N190" s="2"/>
      <c r="O190" s="2"/>
      <c r="P190" s="2"/>
      <c r="Q190" s="2"/>
      <c r="R190" s="2"/>
      <c r="S190" s="2"/>
      <c r="T190" s="2"/>
    </row>
    <row r="191" ht="13.5" spans="1:20">
      <c r="A191" s="11"/>
      <c r="B191" s="44" t="s">
        <v>447</v>
      </c>
      <c r="C191" s="9" t="s">
        <v>387</v>
      </c>
      <c r="D191" s="90"/>
      <c r="E191" s="12"/>
      <c r="F191" s="2"/>
      <c r="G191" s="2"/>
      <c r="H191" s="2"/>
      <c r="I191" s="2"/>
      <c r="J191" s="2"/>
      <c r="K191" s="2"/>
      <c r="L191" s="2"/>
      <c r="M191" s="2"/>
      <c r="N191" s="2"/>
      <c r="O191" s="2"/>
      <c r="P191" s="2"/>
      <c r="Q191" s="2"/>
      <c r="R191" s="2"/>
      <c r="S191" s="2"/>
      <c r="T191" s="2"/>
    </row>
    <row r="192" ht="13.5" spans="1:20">
      <c r="A192" s="11"/>
      <c r="B192" s="44" t="s">
        <v>448</v>
      </c>
      <c r="C192" s="9" t="s">
        <v>387</v>
      </c>
      <c r="D192" s="90"/>
      <c r="E192" s="2"/>
      <c r="F192" s="2"/>
      <c r="G192" s="2"/>
      <c r="H192" s="2"/>
      <c r="I192" s="2"/>
      <c r="J192" s="2"/>
      <c r="K192" s="2"/>
      <c r="L192" s="2"/>
      <c r="M192" s="2"/>
      <c r="N192" s="2"/>
      <c r="O192" s="2"/>
      <c r="P192" s="2"/>
      <c r="Q192" s="2"/>
      <c r="R192" s="2"/>
      <c r="S192" s="2"/>
      <c r="T192" s="2"/>
    </row>
    <row r="193" ht="13.5" spans="1:20">
      <c r="A193" s="11"/>
      <c r="B193" s="44" t="s">
        <v>449</v>
      </c>
      <c r="C193" s="9" t="s">
        <v>387</v>
      </c>
      <c r="D193" s="90"/>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ht="15.5" spans="1:20">
      <c r="A196" s="3" t="s">
        <v>450</v>
      </c>
      <c r="B196" s="2" t="s">
        <v>451</v>
      </c>
      <c r="C196" s="2"/>
      <c r="D196" s="2"/>
      <c r="E196" s="12"/>
      <c r="F196" s="2"/>
      <c r="G196" s="2"/>
      <c r="H196" s="2"/>
      <c r="I196" s="2"/>
      <c r="J196" s="2"/>
      <c r="K196" s="2"/>
      <c r="L196" s="2"/>
      <c r="M196" s="2"/>
      <c r="N196" s="2"/>
      <c r="O196" s="2"/>
      <c r="P196" s="2"/>
      <c r="Q196" s="2"/>
      <c r="R196" s="2"/>
      <c r="S196" s="2"/>
      <c r="T196" s="2"/>
    </row>
    <row r="197" ht="15.5" spans="1:20">
      <c r="A197" s="11" t="s">
        <v>46</v>
      </c>
      <c r="B197" s="11" t="s">
        <v>1</v>
      </c>
      <c r="C197" s="11" t="s">
        <v>452</v>
      </c>
      <c r="D197" s="11" t="s">
        <v>453</v>
      </c>
      <c r="E197" s="11" t="s">
        <v>13</v>
      </c>
      <c r="F197" s="11" t="s">
        <v>7</v>
      </c>
      <c r="G197" s="2"/>
      <c r="H197" s="2"/>
      <c r="I197" s="2"/>
      <c r="J197" s="2"/>
      <c r="K197" s="2"/>
      <c r="L197" s="2"/>
      <c r="M197" s="2"/>
      <c r="N197" s="2"/>
      <c r="O197" s="2"/>
      <c r="P197" s="2"/>
      <c r="Q197" s="2"/>
      <c r="R197" s="2"/>
      <c r="S197" s="2"/>
      <c r="T197" s="2"/>
    </row>
    <row r="198" spans="1:20">
      <c r="A198" s="9">
        <v>1</v>
      </c>
      <c r="B198" s="9" t="s">
        <v>454</v>
      </c>
      <c r="C198" s="84" t="s">
        <v>455</v>
      </c>
      <c r="D198" s="9" t="s">
        <v>456</v>
      </c>
      <c r="E198" s="9" t="s">
        <v>457</v>
      </c>
      <c r="F198" s="9" t="s">
        <v>8</v>
      </c>
      <c r="G198" s="2"/>
      <c r="H198" s="2"/>
      <c r="I198" s="2"/>
      <c r="J198" s="2"/>
      <c r="K198" s="2"/>
      <c r="L198" s="2"/>
      <c r="M198" s="2"/>
      <c r="N198" s="2"/>
      <c r="O198" s="2"/>
      <c r="P198" s="2"/>
      <c r="Q198" s="2"/>
      <c r="R198" s="2"/>
      <c r="S198" s="2"/>
      <c r="T198" s="2"/>
    </row>
    <row r="199" spans="1:20">
      <c r="A199" s="9">
        <v>2</v>
      </c>
      <c r="B199" s="9" t="s">
        <v>458</v>
      </c>
      <c r="C199" s="84" t="s">
        <v>459</v>
      </c>
      <c r="D199" s="9" t="s">
        <v>460</v>
      </c>
      <c r="E199" s="9" t="s">
        <v>461</v>
      </c>
      <c r="F199" s="9" t="s">
        <v>8</v>
      </c>
    </row>
    <row r="200" spans="1:20">
      <c r="A200" s="9">
        <v>3</v>
      </c>
      <c r="B200" s="9" t="s">
        <v>462</v>
      </c>
      <c r="C200" s="84" t="s">
        <v>463</v>
      </c>
      <c r="D200" s="9" t="s">
        <v>464</v>
      </c>
      <c r="E200" s="9" t="s">
        <v>465</v>
      </c>
      <c r="F200" s="9" t="s">
        <v>251</v>
      </c>
    </row>
    <row r="201" spans="1:20">
      <c r="A201" s="2" t="s">
        <v>110</v>
      </c>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ht="15.5" spans="1:20">
      <c r="A203" s="3" t="s">
        <v>466</v>
      </c>
      <c r="B203" s="2" t="s">
        <v>110</v>
      </c>
      <c r="C203" s="2"/>
      <c r="D203" s="2"/>
      <c r="E203" s="12"/>
      <c r="F203" s="2"/>
      <c r="G203" s="12"/>
      <c r="H203" s="2"/>
      <c r="I203" s="2"/>
      <c r="J203" s="2"/>
      <c r="K203" s="2"/>
      <c r="L203" s="2"/>
      <c r="M203" s="2"/>
      <c r="N203" s="2"/>
      <c r="O203" s="2"/>
      <c r="P203" s="2"/>
      <c r="Q203" s="2"/>
      <c r="R203" s="2"/>
      <c r="S203" s="2"/>
      <c r="T203" s="2"/>
    </row>
    <row r="204" spans="1:20">
      <c r="A204" s="2" t="s">
        <v>110</v>
      </c>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ht="15.5" spans="1:20">
      <c r="A206" s="3" t="s">
        <v>467</v>
      </c>
      <c r="B206" s="12" t="s">
        <v>451</v>
      </c>
      <c r="C206" s="12"/>
      <c r="D206" s="2"/>
      <c r="E206" s="2"/>
      <c r="F206" s="2"/>
      <c r="G206" s="2"/>
      <c r="H206" s="2"/>
      <c r="I206" s="2"/>
      <c r="J206" s="2"/>
      <c r="K206" s="2"/>
      <c r="L206" s="2"/>
      <c r="M206" s="2"/>
      <c r="N206" s="2"/>
      <c r="O206" s="2"/>
      <c r="P206" s="2"/>
      <c r="Q206" s="2"/>
      <c r="R206" s="2"/>
      <c r="S206" s="2"/>
      <c r="T206" s="2"/>
    </row>
    <row r="207" ht="15.5" spans="1:20">
      <c r="A207" s="11" t="s">
        <v>46</v>
      </c>
      <c r="B207" s="6" t="s">
        <v>468</v>
      </c>
      <c r="C207" s="11" t="s">
        <v>170</v>
      </c>
      <c r="D207" s="11" t="s">
        <v>171</v>
      </c>
      <c r="E207" s="11" t="s">
        <v>172</v>
      </c>
      <c r="F207" s="11" t="s">
        <v>173</v>
      </c>
      <c r="G207" s="2"/>
      <c r="H207" s="2"/>
      <c r="I207" s="2"/>
      <c r="J207" s="2"/>
      <c r="K207" s="2"/>
      <c r="L207" s="2"/>
      <c r="M207" s="2"/>
      <c r="N207" s="2"/>
      <c r="O207" s="2"/>
      <c r="P207" s="2"/>
      <c r="Q207" s="2"/>
      <c r="R207" s="2"/>
      <c r="S207" s="2"/>
      <c r="T207" s="2"/>
    </row>
    <row r="208" spans="1:20">
      <c r="A208" s="9">
        <v>1</v>
      </c>
      <c r="B208" s="84" t="s">
        <v>174</v>
      </c>
      <c r="C208" s="9" t="s">
        <v>469</v>
      </c>
      <c r="D208" s="9" t="s">
        <v>470</v>
      </c>
      <c r="E208" s="9" t="s">
        <v>469</v>
      </c>
      <c r="F208" s="9" t="s">
        <v>470</v>
      </c>
      <c r="G208" s="2"/>
      <c r="H208" s="2"/>
      <c r="I208" s="2"/>
      <c r="J208" s="2"/>
      <c r="K208" s="2"/>
      <c r="L208" s="2"/>
      <c r="M208" s="2"/>
      <c r="N208" s="2"/>
      <c r="O208" s="2"/>
      <c r="P208" s="2"/>
      <c r="Q208" s="2"/>
      <c r="R208" s="2"/>
      <c r="S208" s="2"/>
      <c r="T208" s="2"/>
    </row>
    <row r="209" spans="1:20">
      <c r="A209" s="9">
        <v>2</v>
      </c>
      <c r="B209" s="84" t="s">
        <v>129</v>
      </c>
      <c r="C209" s="9" t="s">
        <v>471</v>
      </c>
      <c r="D209" s="9" t="s">
        <v>472</v>
      </c>
      <c r="E209" s="9" t="s">
        <v>471</v>
      </c>
      <c r="F209" s="9" t="s">
        <v>472</v>
      </c>
    </row>
    <row r="210" spans="1:20">
      <c r="A210" s="9">
        <v>3</v>
      </c>
      <c r="B210" s="84" t="s">
        <v>4</v>
      </c>
      <c r="C210" s="9" t="s">
        <v>473</v>
      </c>
      <c r="D210" s="9" t="s">
        <v>474</v>
      </c>
      <c r="E210" s="9" t="s">
        <v>473</v>
      </c>
      <c r="F210" s="9" t="s">
        <v>474</v>
      </c>
    </row>
    <row r="211" spans="1:20">
      <c r="A211" s="2" t="s">
        <v>110</v>
      </c>
      <c r="B211" s="2"/>
      <c r="C211" s="2"/>
      <c r="D211" s="2"/>
      <c r="E211" s="2"/>
      <c r="F211" s="2"/>
      <c r="G211" s="2"/>
      <c r="H211" s="2"/>
      <c r="I211" s="2"/>
      <c r="J211" s="2"/>
      <c r="K211" s="2"/>
      <c r="L211" s="2"/>
      <c r="M211" s="2"/>
      <c r="N211" s="2"/>
      <c r="O211" s="2"/>
      <c r="P211" s="2"/>
      <c r="Q211" s="2"/>
      <c r="R211" s="2"/>
      <c r="S211" s="2"/>
      <c r="T211" s="2"/>
    </row>
    <row r="212" ht="19" customHeight="1" spans="1:20">
      <c r="A212" s="2"/>
      <c r="B212" s="2"/>
      <c r="C212" s="2"/>
      <c r="D212" s="2"/>
      <c r="E212" s="2"/>
      <c r="F212" s="2"/>
      <c r="G212" s="2"/>
      <c r="H212" s="2"/>
      <c r="I212" s="2"/>
      <c r="J212" s="2"/>
      <c r="K212" s="2"/>
      <c r="L212" s="2"/>
      <c r="M212" s="2"/>
      <c r="N212" s="2"/>
      <c r="O212" s="2"/>
      <c r="P212" s="2"/>
      <c r="Q212" s="2"/>
      <c r="R212" s="2"/>
      <c r="S212" s="2"/>
      <c r="T212" s="2"/>
    </row>
    <row r="213" ht="19" customHeight="1" spans="1:20">
      <c r="A213" s="3" t="s">
        <v>475</v>
      </c>
      <c r="B213" s="2" t="s">
        <v>476</v>
      </c>
      <c r="C213" s="2"/>
      <c r="D213" s="2"/>
      <c r="E213" s="2"/>
      <c r="F213" s="2"/>
      <c r="G213" s="2"/>
      <c r="H213" s="2"/>
      <c r="I213" s="2"/>
      <c r="J213" s="2"/>
      <c r="K213" s="2"/>
      <c r="L213" s="2"/>
      <c r="M213" s="2"/>
      <c r="N213" s="2"/>
      <c r="O213" s="2"/>
      <c r="P213" s="2"/>
      <c r="Q213" s="2"/>
      <c r="R213" s="2"/>
      <c r="S213" s="2"/>
      <c r="T213" s="2"/>
    </row>
    <row r="214" ht="19" customHeight="1" spans="1:20">
      <c r="A214" s="11" t="s">
        <v>46</v>
      </c>
      <c r="B214" s="11" t="s">
        <v>468</v>
      </c>
      <c r="C214" s="11" t="s">
        <v>477</v>
      </c>
      <c r="D214" s="11" t="s">
        <v>478</v>
      </c>
      <c r="E214" s="11" t="s">
        <v>479</v>
      </c>
      <c r="F214" s="11" t="s">
        <v>480</v>
      </c>
      <c r="G214" s="2"/>
      <c r="H214" s="2"/>
      <c r="I214" s="2"/>
      <c r="J214" s="2"/>
      <c r="K214" s="2"/>
      <c r="L214" s="2"/>
      <c r="M214" s="2"/>
      <c r="N214" s="2"/>
      <c r="O214" s="2"/>
      <c r="P214" s="2"/>
      <c r="Q214" s="2"/>
      <c r="R214" s="2"/>
      <c r="S214" s="2"/>
      <c r="T214" s="2"/>
    </row>
    <row r="215" ht="19" customHeight="1" spans="1:20">
      <c r="A215" s="9">
        <v>1</v>
      </c>
      <c r="B215" s="9" t="s">
        <v>174</v>
      </c>
      <c r="C215" s="84" t="s">
        <v>481</v>
      </c>
      <c r="D215" s="84" t="s">
        <v>482</v>
      </c>
      <c r="E215" s="84" t="s">
        <v>483</v>
      </c>
      <c r="F215" s="84" t="s">
        <v>484</v>
      </c>
      <c r="G215" s="2"/>
      <c r="H215" s="2"/>
      <c r="I215" s="2"/>
      <c r="J215" s="2"/>
      <c r="K215" s="2"/>
      <c r="L215" s="2"/>
      <c r="M215" s="2"/>
      <c r="N215" s="2"/>
      <c r="O215" s="2"/>
      <c r="P215" s="2"/>
      <c r="Q215" s="2"/>
      <c r="R215" s="2"/>
      <c r="S215" s="2"/>
      <c r="T215" s="2"/>
    </row>
    <row r="216" ht="19" customHeight="1" spans="1:20">
      <c r="A216" s="9">
        <v>2</v>
      </c>
      <c r="B216" s="9" t="s">
        <v>485</v>
      </c>
      <c r="C216" s="84" t="s">
        <v>486</v>
      </c>
      <c r="D216" s="84" t="s">
        <v>487</v>
      </c>
      <c r="E216" s="84" t="s">
        <v>483</v>
      </c>
      <c r="F216" s="84" t="s">
        <v>484</v>
      </c>
    </row>
    <row r="217" ht="19" customHeight="1" spans="1:20">
      <c r="A217" s="9">
        <v>3</v>
      </c>
      <c r="B217" s="9" t="s">
        <v>488</v>
      </c>
      <c r="C217" s="84" t="s">
        <v>489</v>
      </c>
      <c r="D217" s="84" t="s">
        <v>490</v>
      </c>
      <c r="E217" s="84" t="s">
        <v>483</v>
      </c>
      <c r="F217" s="84" t="s">
        <v>484</v>
      </c>
    </row>
    <row r="218" ht="19" customHeight="1" spans="1:20">
      <c r="A218" s="9">
        <v>4</v>
      </c>
      <c r="B218" s="9" t="s">
        <v>4</v>
      </c>
      <c r="C218" s="84" t="s">
        <v>491</v>
      </c>
      <c r="D218" s="84" t="s">
        <v>492</v>
      </c>
      <c r="E218" s="84" t="s">
        <v>483</v>
      </c>
      <c r="F218" s="84" t="s">
        <v>484</v>
      </c>
    </row>
    <row r="219" ht="19" customHeight="1" spans="1:20">
      <c r="A219" s="9">
        <v>5</v>
      </c>
      <c r="B219" s="9" t="s">
        <v>493</v>
      </c>
      <c r="C219" s="84" t="s">
        <v>494</v>
      </c>
      <c r="D219" s="84" t="s">
        <v>60</v>
      </c>
      <c r="E219" s="84" t="s">
        <v>483</v>
      </c>
      <c r="F219" s="84" t="s">
        <v>484</v>
      </c>
    </row>
    <row r="220" ht="19" customHeight="1" spans="1:20">
      <c r="A220" s="9">
        <v>6</v>
      </c>
      <c r="B220" s="9" t="s">
        <v>117</v>
      </c>
      <c r="C220" s="84" t="s">
        <v>141</v>
      </c>
      <c r="D220" s="84" t="s">
        <v>495</v>
      </c>
      <c r="E220" s="84" t="s">
        <v>483</v>
      </c>
      <c r="F220" s="84" t="s">
        <v>484</v>
      </c>
    </row>
    <row r="221" ht="19" customHeight="1" spans="1:20">
      <c r="A221" s="9">
        <v>7</v>
      </c>
      <c r="B221" s="9" t="s">
        <v>496</v>
      </c>
      <c r="C221" s="84" t="s">
        <v>495</v>
      </c>
      <c r="D221" s="84" t="s">
        <v>497</v>
      </c>
      <c r="E221" s="84" t="s">
        <v>483</v>
      </c>
      <c r="F221" s="84" t="s">
        <v>484</v>
      </c>
    </row>
    <row r="222" ht="19" customHeight="1" spans="1:20">
      <c r="A222" s="9">
        <v>8</v>
      </c>
      <c r="B222" s="9" t="s">
        <v>498</v>
      </c>
      <c r="C222" s="84" t="s">
        <v>499</v>
      </c>
      <c r="D222" s="84" t="s">
        <v>500</v>
      </c>
      <c r="E222" s="84" t="s">
        <v>483</v>
      </c>
      <c r="F222" s="84" t="s">
        <v>484</v>
      </c>
    </row>
    <row r="223" ht="19" customHeight="1" spans="1:20">
      <c r="A223" s="9">
        <v>9</v>
      </c>
      <c r="B223" s="9" t="s">
        <v>501</v>
      </c>
      <c r="C223" s="84" t="s">
        <v>502</v>
      </c>
      <c r="D223" s="84" t="s">
        <v>503</v>
      </c>
      <c r="E223" s="84" t="s">
        <v>483</v>
      </c>
      <c r="F223" s="84" t="s">
        <v>484</v>
      </c>
    </row>
    <row r="224" ht="19" customHeight="1" spans="1:20">
      <c r="A224" s="9">
        <v>10</v>
      </c>
      <c r="B224" s="9" t="s">
        <v>504</v>
      </c>
      <c r="C224" s="84" t="s">
        <v>505</v>
      </c>
      <c r="D224" s="84" t="s">
        <v>506</v>
      </c>
      <c r="E224" s="84" t="s">
        <v>483</v>
      </c>
      <c r="F224" s="84" t="s">
        <v>484</v>
      </c>
    </row>
    <row r="225" ht="19" customHeight="1" spans="1:20">
      <c r="A225" s="9">
        <v>11</v>
      </c>
      <c r="B225" s="9" t="s">
        <v>86</v>
      </c>
      <c r="C225" s="84" t="s">
        <v>507</v>
      </c>
      <c r="D225" s="84" t="s">
        <v>508</v>
      </c>
      <c r="E225" s="84" t="s">
        <v>483</v>
      </c>
      <c r="F225" s="84" t="s">
        <v>484</v>
      </c>
    </row>
    <row r="226" ht="19" customHeight="1" spans="1:20">
      <c r="A226" s="9">
        <v>12</v>
      </c>
      <c r="B226" s="9" t="s">
        <v>509</v>
      </c>
      <c r="C226" s="84" t="s">
        <v>510</v>
      </c>
      <c r="D226" s="84" t="s">
        <v>508</v>
      </c>
      <c r="E226" s="84" t="s">
        <v>483</v>
      </c>
      <c r="F226" s="84" t="s">
        <v>484</v>
      </c>
    </row>
    <row r="227" ht="19" customHeight="1" spans="1:20">
      <c r="A227" s="9">
        <v>13</v>
      </c>
      <c r="B227" s="9" t="s">
        <v>511</v>
      </c>
      <c r="C227" s="84" t="s">
        <v>508</v>
      </c>
      <c r="D227" s="84" t="s">
        <v>512</v>
      </c>
      <c r="E227" s="84" t="s">
        <v>483</v>
      </c>
      <c r="F227" s="84" t="s">
        <v>484</v>
      </c>
    </row>
    <row r="228" ht="19" customHeight="1" spans="1:20">
      <c r="A228" s="9">
        <v>14</v>
      </c>
      <c r="B228" s="9" t="s">
        <v>513</v>
      </c>
      <c r="C228" s="84" t="s">
        <v>514</v>
      </c>
      <c r="D228" s="84" t="s">
        <v>515</v>
      </c>
      <c r="E228" s="84" t="s">
        <v>483</v>
      </c>
      <c r="F228" s="84" t="s">
        <v>484</v>
      </c>
    </row>
    <row r="229" ht="19" customHeight="1" spans="1:20">
      <c r="A229" s="9">
        <v>15</v>
      </c>
      <c r="B229" s="9" t="s">
        <v>199</v>
      </c>
      <c r="C229" s="84" t="s">
        <v>507</v>
      </c>
      <c r="D229" s="84" t="s">
        <v>516</v>
      </c>
      <c r="E229" s="84" t="s">
        <v>483</v>
      </c>
      <c r="F229" s="84" t="s">
        <v>484</v>
      </c>
    </row>
    <row r="230" ht="19" customHeight="1" spans="1:20">
      <c r="A230" s="9">
        <v>16</v>
      </c>
      <c r="B230" s="9" t="s">
        <v>106</v>
      </c>
      <c r="C230" s="84" t="s">
        <v>517</v>
      </c>
      <c r="D230" s="84" t="s">
        <v>516</v>
      </c>
      <c r="E230" s="84" t="s">
        <v>483</v>
      </c>
      <c r="F230" s="84" t="s">
        <v>484</v>
      </c>
    </row>
    <row r="231" ht="19" customHeight="1" spans="1:20">
      <c r="A231" s="9">
        <v>17</v>
      </c>
      <c r="B231" s="9" t="s">
        <v>518</v>
      </c>
      <c r="C231" s="84" t="s">
        <v>519</v>
      </c>
      <c r="D231" s="84" t="s">
        <v>516</v>
      </c>
      <c r="E231" s="84" t="s">
        <v>483</v>
      </c>
      <c r="F231" s="84" t="s">
        <v>484</v>
      </c>
    </row>
    <row r="232" ht="19" customHeight="1" spans="1:20">
      <c r="A232" s="9">
        <v>18</v>
      </c>
      <c r="B232" s="9" t="s">
        <v>520</v>
      </c>
      <c r="C232" s="84" t="s">
        <v>516</v>
      </c>
      <c r="D232" s="84" t="s">
        <v>516</v>
      </c>
      <c r="E232" s="84" t="s">
        <v>483</v>
      </c>
      <c r="F232" s="84" t="s">
        <v>484</v>
      </c>
    </row>
    <row r="233" ht="19" customHeight="1" spans="1:20">
      <c r="A233" s="9">
        <v>19</v>
      </c>
      <c r="B233" s="9" t="s">
        <v>521</v>
      </c>
      <c r="C233" s="84" t="s">
        <v>522</v>
      </c>
      <c r="D233" s="84" t="s">
        <v>516</v>
      </c>
      <c r="E233" s="84" t="s">
        <v>483</v>
      </c>
      <c r="F233" s="84" t="s">
        <v>484</v>
      </c>
    </row>
    <row r="234" ht="19" customHeight="1" spans="1:20">
      <c r="A234" s="9">
        <v>20</v>
      </c>
      <c r="B234" s="9" t="s">
        <v>523</v>
      </c>
      <c r="C234" s="84" t="s">
        <v>524</v>
      </c>
      <c r="D234" s="84" t="s">
        <v>516</v>
      </c>
      <c r="E234" s="84" t="s">
        <v>483</v>
      </c>
      <c r="F234" s="84" t="s">
        <v>525</v>
      </c>
    </row>
    <row r="235" ht="19" customHeight="1" spans="1:20">
      <c r="A235" s="9">
        <v>21</v>
      </c>
      <c r="B235" s="9" t="s">
        <v>526</v>
      </c>
      <c r="C235" s="84" t="s">
        <v>527</v>
      </c>
      <c r="D235" s="84" t="s">
        <v>516</v>
      </c>
      <c r="E235" s="84" t="s">
        <v>483</v>
      </c>
      <c r="F235" s="84" t="s">
        <v>525</v>
      </c>
    </row>
    <row r="236" ht="19" customHeight="1" spans="1:20">
      <c r="A236" s="9">
        <v>22</v>
      </c>
      <c r="B236" s="9" t="s">
        <v>528</v>
      </c>
      <c r="C236" s="84" t="s">
        <v>529</v>
      </c>
      <c r="D236" s="84" t="s">
        <v>516</v>
      </c>
      <c r="E236" s="84" t="s">
        <v>483</v>
      </c>
      <c r="F236" s="84" t="s">
        <v>525</v>
      </c>
    </row>
    <row r="237" ht="19" customHeight="1" spans="1:20">
      <c r="A237" s="2" t="s">
        <v>110</v>
      </c>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ht="15.5" spans="1:20">
      <c r="A239" s="3" t="s">
        <v>530</v>
      </c>
      <c r="B239" s="2" t="s">
        <v>451</v>
      </c>
      <c r="C239" s="2"/>
      <c r="D239" s="2"/>
      <c r="E239" s="2"/>
      <c r="F239" s="2"/>
      <c r="G239" s="2"/>
      <c r="H239" s="2"/>
      <c r="I239" s="2"/>
      <c r="J239" s="2"/>
      <c r="K239" s="2"/>
      <c r="L239" s="2"/>
      <c r="M239" s="2"/>
      <c r="N239" s="2"/>
      <c r="O239" s="2"/>
      <c r="P239" s="2"/>
      <c r="Q239" s="2"/>
      <c r="R239" s="2"/>
      <c r="S239" s="2"/>
      <c r="T239" s="2"/>
    </row>
    <row r="240" ht="15.5" spans="1:20">
      <c r="A240" s="11" t="s">
        <v>46</v>
      </c>
      <c r="B240" s="11" t="s">
        <v>531</v>
      </c>
      <c r="C240" s="11" t="s">
        <v>532</v>
      </c>
      <c r="D240" s="11" t="s">
        <v>533</v>
      </c>
      <c r="E240" s="11" t="s">
        <v>534</v>
      </c>
      <c r="F240" s="11" t="s">
        <v>535</v>
      </c>
      <c r="G240" s="11" t="s">
        <v>536</v>
      </c>
      <c r="H240" s="2"/>
      <c r="I240" s="2"/>
      <c r="J240" s="2"/>
      <c r="K240" s="2"/>
      <c r="L240" s="2"/>
      <c r="M240" s="2"/>
      <c r="N240" s="2"/>
      <c r="O240" s="2"/>
      <c r="P240" s="2"/>
      <c r="Q240" s="2"/>
      <c r="R240" s="2"/>
      <c r="S240" s="2"/>
      <c r="T240" s="2"/>
    </row>
    <row r="241" spans="1:20">
      <c r="A241" s="9">
        <v>1</v>
      </c>
      <c r="B241" s="9" t="s">
        <v>537</v>
      </c>
      <c r="C241" s="9" t="s">
        <v>538</v>
      </c>
      <c r="D241" s="9" t="s">
        <v>539</v>
      </c>
      <c r="E241" s="9" t="s">
        <v>540</v>
      </c>
      <c r="F241" s="9" t="s">
        <v>541</v>
      </c>
      <c r="G241" s="9" t="s">
        <v>542</v>
      </c>
      <c r="H241" s="2"/>
      <c r="I241" s="2"/>
      <c r="J241" s="2"/>
      <c r="K241" s="2"/>
      <c r="L241" s="2"/>
      <c r="M241" s="2"/>
      <c r="N241" s="2"/>
      <c r="O241" s="2"/>
      <c r="P241" s="2"/>
      <c r="Q241" s="2"/>
      <c r="R241" s="2"/>
      <c r="S241" s="2"/>
      <c r="T241" s="2"/>
    </row>
    <row r="242" spans="1:20">
      <c r="A242" s="9">
        <v>2</v>
      </c>
      <c r="B242" s="9" t="s">
        <v>543</v>
      </c>
      <c r="C242" s="9" t="s">
        <v>544</v>
      </c>
      <c r="D242" s="9" t="s">
        <v>539</v>
      </c>
      <c r="E242" s="9" t="s">
        <v>545</v>
      </c>
      <c r="F242" s="9" t="s">
        <v>546</v>
      </c>
      <c r="G242" s="9" t="s">
        <v>547</v>
      </c>
    </row>
    <row r="243" spans="1:20">
      <c r="A243" s="9">
        <v>3</v>
      </c>
      <c r="B243" s="9" t="s">
        <v>548</v>
      </c>
      <c r="C243" s="9" t="s">
        <v>549</v>
      </c>
      <c r="D243" s="9" t="s">
        <v>550</v>
      </c>
      <c r="E243" s="9" t="s">
        <v>551</v>
      </c>
      <c r="F243" s="9" t="s">
        <v>552</v>
      </c>
      <c r="G243" s="9" t="s">
        <v>542</v>
      </c>
    </row>
    <row r="244" ht="13.5" spans="1:20">
      <c r="A244" s="2" t="s">
        <v>110</v>
      </c>
      <c r="B244" s="95"/>
      <c r="C244" s="95"/>
      <c r="D244" s="96"/>
      <c r="E244" s="96"/>
      <c r="F244" s="96"/>
      <c r="G244" s="96"/>
      <c r="H244" s="2"/>
      <c r="I244" s="2"/>
      <c r="J244" s="2"/>
      <c r="K244" s="2"/>
      <c r="L244" s="2"/>
      <c r="M244" s="2"/>
      <c r="N244" s="2"/>
      <c r="O244" s="2"/>
      <c r="P244" s="2"/>
      <c r="Q244" s="2"/>
      <c r="R244" s="2"/>
      <c r="S244" s="2"/>
      <c r="T244" s="2"/>
    </row>
  </sheetData>
  <sheetProtection formatCells="0" insertHyperlinks="0" autoFilter="0"/>
  <mergeCells count="3">
    <mergeCell ref="A180:A183"/>
    <mergeCell ref="A184:A188"/>
    <mergeCell ref="A189:A19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74"/>
  <sheetViews>
    <sheetView workbookViewId="0">
      <selection activeCell="C20" sqref="C20"/>
    </sheetView>
  </sheetViews>
  <sheetFormatPr defaultColWidth="14" defaultRowHeight="13"/>
  <cols>
    <col min="1" max="21" width="27" customWidth="1"/>
  </cols>
  <sheetData>
    <row r="1" ht="46" customHeight="1" spans="1:20">
      <c r="A1" s="64" t="str">
        <f>_xlfn.DISPIMG("ID_3AEB9A330C524FB5BD9B8DAFFD1158FB",1)</f>
        <v>=DISPIMG("ID_3AEB9A330C524FB5BD9B8DAFFD1158FB",1)</v>
      </c>
      <c r="B1" s="1" t="s">
        <v>553</v>
      </c>
      <c r="C1" s="1"/>
      <c r="D1" s="1"/>
      <c r="E1" s="1"/>
      <c r="F1" s="1"/>
      <c r="G1" s="1"/>
      <c r="H1" s="1"/>
      <c r="I1" s="2"/>
      <c r="J1" s="2"/>
      <c r="K1" s="2"/>
      <c r="L1" s="2"/>
      <c r="M1" s="2"/>
      <c r="N1" s="2"/>
      <c r="O1" s="2"/>
      <c r="P1" s="2"/>
      <c r="Q1" s="2"/>
      <c r="R1" s="2"/>
      <c r="S1" s="2"/>
      <c r="T1" s="2"/>
    </row>
    <row r="2" ht="16.25" spans="1:20">
      <c r="A2" s="65" t="s">
        <v>554</v>
      </c>
      <c r="B2" s="66"/>
      <c r="C2" s="67"/>
      <c r="D2" s="67"/>
      <c r="E2" s="67"/>
      <c r="F2" s="67"/>
      <c r="G2" s="2"/>
      <c r="H2" s="2"/>
      <c r="I2" s="2"/>
      <c r="J2" s="2"/>
      <c r="K2" s="2"/>
      <c r="L2" s="2"/>
      <c r="M2" s="2"/>
      <c r="N2" s="2"/>
      <c r="O2" s="2"/>
      <c r="P2" s="2"/>
      <c r="Q2" s="2"/>
      <c r="R2" s="2"/>
      <c r="S2" s="2"/>
      <c r="T2" s="2"/>
    </row>
    <row r="3" ht="16.25" spans="1:20">
      <c r="A3" s="68" t="s">
        <v>555</v>
      </c>
      <c r="B3" s="69" t="s">
        <v>556</v>
      </c>
      <c r="C3" s="68" t="s">
        <v>557</v>
      </c>
      <c r="D3" s="69" t="s">
        <v>209</v>
      </c>
      <c r="E3" s="68" t="s">
        <v>558</v>
      </c>
      <c r="F3" s="69" t="s">
        <v>559</v>
      </c>
      <c r="G3" s="2"/>
      <c r="H3" s="2"/>
      <c r="I3" s="2"/>
      <c r="J3" s="2"/>
      <c r="K3" s="2"/>
      <c r="L3" s="2"/>
      <c r="M3" s="2"/>
      <c r="N3" s="2"/>
      <c r="O3" s="2"/>
      <c r="P3" s="2"/>
      <c r="Q3" s="2"/>
      <c r="R3" s="2"/>
      <c r="S3" s="2"/>
      <c r="T3" s="2"/>
    </row>
    <row r="4" ht="16.25" spans="1:20">
      <c r="A4" s="68" t="s">
        <v>560</v>
      </c>
      <c r="B4" s="69" t="s">
        <v>561</v>
      </c>
      <c r="C4" s="68" t="s">
        <v>562</v>
      </c>
      <c r="D4" s="69" t="s">
        <v>563</v>
      </c>
      <c r="E4" s="68" t="s">
        <v>564</v>
      </c>
      <c r="F4" s="69" t="s">
        <v>565</v>
      </c>
      <c r="G4" s="2"/>
      <c r="H4" s="2"/>
      <c r="I4" s="2"/>
      <c r="J4" s="2"/>
      <c r="K4" s="2"/>
      <c r="L4" s="2"/>
      <c r="M4" s="2"/>
      <c r="N4" s="2"/>
      <c r="O4" s="2"/>
      <c r="P4" s="2"/>
      <c r="Q4" s="2"/>
      <c r="R4" s="2"/>
      <c r="S4" s="2"/>
      <c r="T4" s="2"/>
    </row>
    <row r="5" ht="16.25" spans="1:20">
      <c r="A5" s="68" t="s">
        <v>566</v>
      </c>
      <c r="B5" s="69" t="s">
        <v>567</v>
      </c>
      <c r="C5" s="68" t="s">
        <v>568</v>
      </c>
      <c r="D5" s="69" t="s">
        <v>569</v>
      </c>
      <c r="E5" s="68" t="s">
        <v>570</v>
      </c>
      <c r="F5" s="69" t="s">
        <v>571</v>
      </c>
      <c r="G5" s="2"/>
      <c r="H5" s="2"/>
      <c r="I5" s="2"/>
      <c r="J5" s="2"/>
      <c r="K5" s="2"/>
      <c r="L5" s="2"/>
      <c r="M5" s="2"/>
      <c r="N5" s="2"/>
      <c r="O5" s="2"/>
      <c r="P5" s="2"/>
      <c r="Q5" s="2"/>
      <c r="R5" s="2"/>
      <c r="S5" s="2"/>
      <c r="T5" s="2"/>
    </row>
    <row r="6" ht="16.25" spans="1:20">
      <c r="A6" s="68" t="s">
        <v>572</v>
      </c>
      <c r="B6" s="69" t="s">
        <v>573</v>
      </c>
      <c r="C6" s="68" t="s">
        <v>574</v>
      </c>
      <c r="D6" s="69" t="s">
        <v>575</v>
      </c>
      <c r="E6" s="68" t="s">
        <v>576</v>
      </c>
      <c r="F6" s="69" t="s">
        <v>577</v>
      </c>
      <c r="G6" s="2"/>
      <c r="H6" s="2"/>
      <c r="I6" s="2"/>
      <c r="J6" s="2"/>
      <c r="K6" s="2"/>
      <c r="L6" s="2"/>
      <c r="M6" s="2"/>
      <c r="N6" s="2"/>
      <c r="O6" s="2"/>
      <c r="P6" s="2"/>
      <c r="Q6" s="2"/>
      <c r="R6" s="2"/>
      <c r="S6" s="2"/>
      <c r="T6" s="2"/>
    </row>
    <row r="7" spans="1:20">
      <c r="A7" s="2"/>
      <c r="B7" s="2"/>
      <c r="C7" s="2"/>
      <c r="D7" s="2"/>
      <c r="E7" s="2"/>
      <c r="F7" s="2"/>
      <c r="G7" s="2"/>
      <c r="H7" s="2"/>
      <c r="I7" s="2"/>
      <c r="J7" s="2"/>
      <c r="K7" s="2"/>
      <c r="L7" s="2"/>
      <c r="M7" s="2"/>
      <c r="N7" s="2"/>
      <c r="O7" s="2"/>
      <c r="P7" s="2"/>
      <c r="Q7" s="2"/>
      <c r="R7" s="2"/>
      <c r="S7" s="2"/>
      <c r="T7" s="2"/>
    </row>
    <row r="8" spans="1:20">
      <c r="A8" s="2"/>
      <c r="B8" s="2"/>
      <c r="C8" s="2"/>
      <c r="D8" s="2"/>
      <c r="E8" s="2"/>
      <c r="F8" s="2"/>
      <c r="G8" s="2"/>
      <c r="H8" s="2"/>
      <c r="I8" s="2"/>
      <c r="J8" s="2"/>
      <c r="K8" s="2"/>
      <c r="L8" s="2"/>
      <c r="M8" s="2"/>
      <c r="N8" s="2"/>
      <c r="O8" s="2"/>
      <c r="P8" s="2"/>
      <c r="Q8" s="2"/>
      <c r="R8" s="2"/>
      <c r="S8" s="2"/>
      <c r="T8" s="2"/>
    </row>
    <row r="9" ht="15.5" spans="1:20">
      <c r="A9" s="70" t="s">
        <v>578</v>
      </c>
      <c r="B9" s="2"/>
      <c r="C9" s="2"/>
      <c r="D9" s="2"/>
      <c r="E9" s="2"/>
      <c r="F9" s="2"/>
      <c r="G9" s="2"/>
      <c r="H9" s="2"/>
      <c r="I9" s="2"/>
      <c r="J9" s="2"/>
      <c r="K9" s="2"/>
      <c r="L9" s="2"/>
      <c r="M9" s="2"/>
      <c r="N9" s="2"/>
      <c r="O9" s="2"/>
      <c r="P9" s="2"/>
      <c r="Q9" s="2"/>
      <c r="R9" s="2"/>
      <c r="S9" s="2"/>
      <c r="T9" s="2"/>
    </row>
    <row r="10" ht="15.5" spans="1:20">
      <c r="A10" s="11" t="s">
        <v>579</v>
      </c>
      <c r="B10" s="71" t="s">
        <v>2</v>
      </c>
      <c r="C10" s="71"/>
      <c r="D10" s="71"/>
      <c r="E10" s="71"/>
      <c r="F10" s="71"/>
      <c r="G10" s="2"/>
      <c r="H10" s="2"/>
      <c r="I10" s="2"/>
      <c r="J10" s="2"/>
      <c r="K10" s="2"/>
      <c r="L10" s="2"/>
      <c r="M10" s="2"/>
      <c r="N10" s="2"/>
      <c r="O10" s="2"/>
      <c r="P10" s="2"/>
      <c r="Q10" s="2"/>
      <c r="R10" s="2"/>
      <c r="S10" s="2"/>
      <c r="T10" s="2"/>
    </row>
    <row r="11" ht="15.5" spans="1:20">
      <c r="A11" s="11" t="s">
        <v>580</v>
      </c>
      <c r="B11" s="71" t="s">
        <v>581</v>
      </c>
      <c r="C11" s="71"/>
      <c r="D11" s="71"/>
      <c r="E11" s="71"/>
      <c r="F11" s="71"/>
      <c r="G11" s="2"/>
      <c r="H11" s="2"/>
      <c r="I11" s="2"/>
      <c r="J11" s="2"/>
      <c r="K11" s="2"/>
      <c r="L11" s="2"/>
      <c r="M11" s="2"/>
      <c r="N11" s="2"/>
      <c r="O11" s="2"/>
      <c r="P11" s="2"/>
      <c r="Q11" s="2"/>
      <c r="R11" s="2"/>
      <c r="S11" s="2"/>
      <c r="T11" s="2"/>
    </row>
    <row r="12" ht="15.5" spans="1:20">
      <c r="A12" s="11" t="s">
        <v>582</v>
      </c>
      <c r="B12" s="71" t="s">
        <v>27</v>
      </c>
      <c r="C12" s="11" t="s">
        <v>583</v>
      </c>
      <c r="D12" s="71" t="s">
        <v>12</v>
      </c>
      <c r="E12" s="11" t="s">
        <v>5</v>
      </c>
      <c r="F12" s="71" t="s">
        <v>584</v>
      </c>
      <c r="G12" s="2"/>
      <c r="H12" s="2"/>
      <c r="I12" s="2"/>
      <c r="J12" s="2"/>
      <c r="K12" s="2"/>
      <c r="L12" s="2"/>
      <c r="M12" s="2"/>
      <c r="N12" s="2"/>
      <c r="O12" s="2"/>
      <c r="P12" s="2"/>
      <c r="Q12" s="2"/>
      <c r="R12" s="2"/>
      <c r="S12" s="2"/>
      <c r="T12" s="2"/>
    </row>
    <row r="13" ht="15.5" spans="1:20">
      <c r="A13" s="11" t="s">
        <v>195</v>
      </c>
      <c r="B13" s="71" t="s">
        <v>585</v>
      </c>
      <c r="C13" s="11" t="s">
        <v>114</v>
      </c>
      <c r="D13" s="71" t="s">
        <v>586</v>
      </c>
      <c r="E13" s="11" t="s">
        <v>587</v>
      </c>
      <c r="F13" s="71" t="s">
        <v>588</v>
      </c>
      <c r="G13" s="2"/>
      <c r="H13" s="2"/>
      <c r="I13" s="2"/>
      <c r="J13" s="2"/>
      <c r="K13" s="2"/>
      <c r="L13" s="2"/>
      <c r="M13" s="2"/>
      <c r="N13" s="2"/>
      <c r="O13" s="2"/>
      <c r="P13" s="2"/>
      <c r="Q13" s="2"/>
      <c r="R13" s="2"/>
      <c r="S13" s="2"/>
      <c r="T13" s="2"/>
    </row>
    <row r="14" ht="15.5" spans="1:20">
      <c r="A14" s="11" t="s">
        <v>3</v>
      </c>
      <c r="B14" s="71" t="s">
        <v>586</v>
      </c>
      <c r="C14" s="11" t="s">
        <v>589</v>
      </c>
      <c r="D14" s="71" t="s">
        <v>590</v>
      </c>
      <c r="E14" s="11" t="s">
        <v>591</v>
      </c>
      <c r="F14" s="71" t="s">
        <v>592</v>
      </c>
      <c r="G14" s="2"/>
      <c r="H14" s="2"/>
      <c r="I14" s="2"/>
      <c r="J14" s="2"/>
      <c r="K14" s="2"/>
      <c r="L14" s="2"/>
      <c r="M14" s="2"/>
      <c r="N14" s="2"/>
      <c r="O14" s="2"/>
      <c r="P14" s="2"/>
      <c r="Q14" s="2"/>
      <c r="R14" s="2"/>
      <c r="S14" s="2"/>
      <c r="T14" s="2"/>
    </row>
    <row r="15" ht="15.5" spans="1:20">
      <c r="A15" s="11" t="s">
        <v>593</v>
      </c>
      <c r="B15" s="71" t="s">
        <v>594</v>
      </c>
      <c r="C15" s="11" t="s">
        <v>595</v>
      </c>
      <c r="D15" s="71" t="s">
        <v>596</v>
      </c>
      <c r="E15" s="71"/>
      <c r="F15" s="71"/>
      <c r="G15" s="2"/>
      <c r="H15" s="2"/>
      <c r="I15" s="2"/>
      <c r="J15" s="2"/>
      <c r="K15" s="2"/>
      <c r="L15" s="2"/>
      <c r="M15" s="2"/>
      <c r="N15" s="2"/>
      <c r="O15" s="2"/>
      <c r="P15" s="2"/>
      <c r="Q15" s="2"/>
      <c r="R15" s="2"/>
      <c r="S15" s="2"/>
      <c r="T15" s="2"/>
    </row>
    <row r="16" ht="15.5" spans="1:20">
      <c r="A16" s="11" t="s">
        <v>597</v>
      </c>
      <c r="B16" s="71" t="s">
        <v>598</v>
      </c>
      <c r="C16" s="71"/>
      <c r="D16" s="71"/>
      <c r="E16" s="71"/>
      <c r="F16" s="71"/>
      <c r="G16" s="2"/>
      <c r="H16" s="2"/>
      <c r="I16" s="2"/>
      <c r="J16" s="2"/>
      <c r="K16" s="2"/>
      <c r="L16" s="2"/>
      <c r="M16" s="2"/>
      <c r="N16" s="2"/>
      <c r="O16" s="2"/>
      <c r="P16" s="2"/>
      <c r="Q16" s="2"/>
      <c r="R16" s="2"/>
      <c r="S16" s="2"/>
      <c r="T16" s="2"/>
    </row>
    <row r="17" ht="15.5" spans="1:20">
      <c r="A17" s="11" t="s">
        <v>599</v>
      </c>
      <c r="B17" s="71" t="s">
        <v>598</v>
      </c>
      <c r="C17" s="71"/>
      <c r="D17" s="71"/>
      <c r="E17" s="71"/>
      <c r="F17" s="71"/>
      <c r="G17" s="2"/>
      <c r="H17" s="2"/>
      <c r="I17" s="2"/>
      <c r="J17" s="2"/>
      <c r="K17" s="2"/>
      <c r="L17" s="2"/>
      <c r="M17" s="2"/>
      <c r="N17" s="2"/>
      <c r="O17" s="2"/>
      <c r="P17" s="2"/>
      <c r="Q17" s="2"/>
      <c r="R17" s="2"/>
      <c r="S17" s="2"/>
      <c r="T17" s="2"/>
    </row>
    <row r="18" ht="15.5" spans="1:20">
      <c r="A18" s="11" t="s">
        <v>600</v>
      </c>
      <c r="B18" s="71" t="s">
        <v>601</v>
      </c>
      <c r="C18" s="71"/>
      <c r="D18" s="71"/>
      <c r="E18" s="71"/>
      <c r="F18" s="71"/>
      <c r="G18" s="2"/>
      <c r="H18" s="2"/>
      <c r="I18" s="2"/>
      <c r="J18" s="2"/>
      <c r="K18" s="2"/>
      <c r="L18" s="2"/>
      <c r="M18" s="2"/>
      <c r="N18" s="2"/>
      <c r="O18" s="2"/>
      <c r="P18" s="2"/>
      <c r="Q18" s="2"/>
      <c r="R18" s="2"/>
      <c r="S18" s="2"/>
      <c r="T18" s="2"/>
    </row>
    <row r="19" spans="1:20">
      <c r="A19" s="2"/>
      <c r="B19" s="2"/>
      <c r="C19" s="2"/>
      <c r="D19" s="2"/>
      <c r="E19" s="2"/>
      <c r="F19" s="2"/>
      <c r="G19" s="2"/>
      <c r="H19" s="2"/>
      <c r="I19" s="2"/>
      <c r="J19" s="2"/>
      <c r="K19" s="2"/>
      <c r="L19" s="2"/>
      <c r="M19" s="2"/>
      <c r="N19" s="2"/>
      <c r="O19" s="2"/>
      <c r="P19" s="2"/>
      <c r="Q19" s="2"/>
      <c r="R19" s="2"/>
      <c r="S19" s="2"/>
      <c r="T19" s="2"/>
    </row>
    <row r="20" spans="1:20">
      <c r="A20" s="2"/>
      <c r="B20" s="2"/>
      <c r="C20" s="2"/>
      <c r="D20" s="2"/>
      <c r="E20" s="2"/>
      <c r="F20" s="2"/>
      <c r="G20" s="2"/>
      <c r="H20" s="2"/>
      <c r="I20" s="2"/>
      <c r="J20" s="2"/>
      <c r="K20" s="2"/>
      <c r="L20" s="2"/>
      <c r="M20" s="2"/>
      <c r="N20" s="2"/>
      <c r="O20" s="2"/>
      <c r="P20" s="2"/>
      <c r="Q20" s="2"/>
      <c r="R20" s="2"/>
      <c r="S20" s="2"/>
      <c r="T20" s="2"/>
    </row>
    <row r="21" ht="15.5" spans="1:20">
      <c r="A21" s="70" t="s">
        <v>602</v>
      </c>
      <c r="B21" s="2"/>
      <c r="C21" s="2"/>
      <c r="D21" s="2"/>
      <c r="E21" s="2"/>
      <c r="F21" s="2"/>
      <c r="G21" s="2"/>
      <c r="H21" s="2"/>
      <c r="I21" s="2"/>
      <c r="J21" s="2"/>
      <c r="K21" s="2"/>
      <c r="L21" s="2"/>
      <c r="M21" s="2"/>
      <c r="N21" s="2"/>
      <c r="O21" s="2"/>
      <c r="P21" s="2"/>
      <c r="Q21" s="2"/>
      <c r="R21" s="2"/>
      <c r="S21" s="2"/>
      <c r="T21" s="2"/>
    </row>
    <row r="22" ht="15.5" spans="1:20">
      <c r="A22" s="11" t="s">
        <v>603</v>
      </c>
      <c r="B22" s="71" t="s">
        <v>559</v>
      </c>
      <c r="C22" s="11" t="s">
        <v>604</v>
      </c>
      <c r="D22" s="71" t="s">
        <v>67</v>
      </c>
      <c r="E22" s="11" t="s">
        <v>605</v>
      </c>
      <c r="F22" s="71" t="s">
        <v>67</v>
      </c>
      <c r="G22" s="2"/>
      <c r="H22" s="2"/>
      <c r="I22" s="2"/>
      <c r="J22" s="2"/>
      <c r="K22" s="2"/>
      <c r="L22" s="2"/>
      <c r="M22" s="2"/>
      <c r="N22" s="2"/>
      <c r="O22" s="2"/>
      <c r="P22" s="2"/>
      <c r="Q22" s="2"/>
      <c r="R22" s="2"/>
      <c r="S22" s="2"/>
      <c r="T22" s="2"/>
    </row>
    <row r="23" ht="15.5" spans="1:20">
      <c r="A23" s="11" t="s">
        <v>606</v>
      </c>
      <c r="B23" s="71" t="s">
        <v>209</v>
      </c>
      <c r="C23" s="11" t="s">
        <v>607</v>
      </c>
      <c r="D23" s="71" t="s">
        <v>67</v>
      </c>
      <c r="E23" s="11" t="s">
        <v>608</v>
      </c>
      <c r="F23" s="71" t="s">
        <v>67</v>
      </c>
      <c r="G23" s="2"/>
      <c r="H23" s="2"/>
      <c r="I23" s="2"/>
      <c r="J23" s="2"/>
      <c r="K23" s="2"/>
      <c r="L23" s="2"/>
      <c r="M23" s="2"/>
      <c r="N23" s="2"/>
      <c r="O23" s="2"/>
      <c r="P23" s="2"/>
      <c r="Q23" s="2"/>
      <c r="R23" s="2"/>
      <c r="S23" s="2"/>
      <c r="T23" s="2"/>
    </row>
    <row r="24" ht="15.5" spans="1:20">
      <c r="A24" s="11" t="s">
        <v>609</v>
      </c>
      <c r="B24" s="71" t="s">
        <v>610</v>
      </c>
      <c r="C24" s="11" t="s">
        <v>611</v>
      </c>
      <c r="D24" s="71" t="s">
        <v>612</v>
      </c>
      <c r="E24" s="11" t="s">
        <v>613</v>
      </c>
      <c r="F24" s="71" t="s">
        <v>614</v>
      </c>
      <c r="G24" s="2"/>
      <c r="H24" s="2"/>
      <c r="I24" s="2"/>
      <c r="J24" s="2"/>
      <c r="K24" s="2"/>
      <c r="L24" s="2"/>
      <c r="M24" s="2"/>
      <c r="N24" s="2"/>
      <c r="O24" s="2"/>
      <c r="P24" s="2"/>
      <c r="Q24" s="2"/>
      <c r="R24" s="2"/>
      <c r="S24" s="2"/>
      <c r="T24" s="2"/>
    </row>
    <row r="25" spans="1:20">
      <c r="A25" s="2"/>
      <c r="B25" s="2"/>
      <c r="C25" s="2"/>
      <c r="D25" s="2"/>
      <c r="E25" s="2"/>
      <c r="F25" s="2"/>
      <c r="G25" s="2"/>
      <c r="H25" s="2"/>
      <c r="I25" s="2"/>
      <c r="J25" s="2"/>
      <c r="K25" s="2"/>
      <c r="L25" s="2"/>
      <c r="M25" s="2"/>
      <c r="N25" s="2"/>
      <c r="O25" s="2"/>
      <c r="P25" s="2"/>
      <c r="Q25" s="2"/>
      <c r="R25" s="2"/>
      <c r="S25" s="2"/>
      <c r="T25" s="2"/>
    </row>
    <row r="26" spans="1:20">
      <c r="A26" s="2"/>
      <c r="B26" s="2"/>
      <c r="C26" s="2"/>
      <c r="D26" s="2"/>
      <c r="E26" s="2"/>
      <c r="F26" s="2"/>
      <c r="G26" s="2"/>
      <c r="H26" s="2"/>
      <c r="I26" s="2"/>
      <c r="J26" s="2"/>
      <c r="K26" s="2"/>
      <c r="L26" s="2"/>
      <c r="M26" s="2"/>
      <c r="N26" s="2"/>
      <c r="O26" s="2"/>
      <c r="P26" s="2"/>
      <c r="Q26" s="2"/>
      <c r="R26" s="2"/>
      <c r="S26" s="2"/>
      <c r="T26" s="2"/>
    </row>
    <row r="27" ht="15.5" spans="1:20">
      <c r="A27" s="70" t="s">
        <v>615</v>
      </c>
      <c r="B27" s="2"/>
      <c r="C27" s="2"/>
      <c r="D27" s="2"/>
      <c r="E27" s="2"/>
      <c r="F27" s="2"/>
      <c r="G27" s="2"/>
      <c r="H27" s="2"/>
      <c r="I27" s="2"/>
      <c r="J27" s="2"/>
      <c r="K27" s="2"/>
      <c r="L27" s="2"/>
      <c r="M27" s="2"/>
      <c r="N27" s="2"/>
      <c r="O27" s="2"/>
      <c r="P27" s="2"/>
      <c r="Q27" s="2"/>
      <c r="R27" s="2"/>
      <c r="S27" s="2"/>
      <c r="T27" s="2"/>
    </row>
    <row r="28" ht="15.5" spans="1:20">
      <c r="A28" s="11" t="s">
        <v>3</v>
      </c>
      <c r="B28" s="71" t="s">
        <v>4</v>
      </c>
      <c r="C28" s="11" t="s">
        <v>114</v>
      </c>
      <c r="D28" s="71" t="s">
        <v>4</v>
      </c>
      <c r="E28" s="11" t="s">
        <v>589</v>
      </c>
      <c r="F28" s="71" t="s">
        <v>74</v>
      </c>
      <c r="G28" s="2"/>
      <c r="H28" s="2"/>
      <c r="I28" s="2"/>
      <c r="J28" s="2"/>
      <c r="K28" s="2"/>
      <c r="L28" s="2"/>
      <c r="M28" s="2"/>
      <c r="N28" s="2"/>
      <c r="O28" s="2"/>
      <c r="P28" s="2"/>
      <c r="Q28" s="2"/>
      <c r="R28" s="2"/>
      <c r="S28" s="2"/>
      <c r="T28" s="2"/>
    </row>
    <row r="29" ht="15.5" spans="1:20">
      <c r="A29" s="11" t="s">
        <v>587</v>
      </c>
      <c r="B29" s="71" t="s">
        <v>106</v>
      </c>
      <c r="C29" s="11" t="s">
        <v>71</v>
      </c>
      <c r="D29" s="71" t="s">
        <v>616</v>
      </c>
      <c r="E29" s="11" t="s">
        <v>617</v>
      </c>
      <c r="F29" s="71" t="s">
        <v>618</v>
      </c>
      <c r="G29" s="2"/>
      <c r="H29" s="2"/>
      <c r="I29" s="2"/>
      <c r="J29" s="2"/>
      <c r="K29" s="2"/>
      <c r="L29" s="2"/>
      <c r="M29" s="2"/>
      <c r="N29" s="2"/>
      <c r="O29" s="2"/>
      <c r="P29" s="2"/>
      <c r="Q29" s="2"/>
      <c r="R29" s="2"/>
      <c r="S29" s="2"/>
      <c r="T29" s="2"/>
    </row>
    <row r="30" spans="1:20">
      <c r="A30" s="2"/>
      <c r="B30" s="2"/>
      <c r="C30" s="2"/>
      <c r="D30" s="2"/>
      <c r="E30" s="2"/>
      <c r="F30" s="2"/>
      <c r="G30" s="2"/>
      <c r="H30" s="2"/>
      <c r="I30" s="2"/>
      <c r="J30" s="2"/>
      <c r="K30" s="2"/>
      <c r="L30" s="2"/>
      <c r="M30" s="2"/>
      <c r="N30" s="2"/>
      <c r="O30" s="2"/>
      <c r="P30" s="2"/>
      <c r="Q30" s="2"/>
      <c r="R30" s="2"/>
      <c r="S30" s="2"/>
      <c r="T30" s="2"/>
    </row>
    <row r="31" spans="1:20">
      <c r="A31" s="2"/>
      <c r="B31" s="2"/>
      <c r="C31" s="2"/>
      <c r="D31" s="2"/>
      <c r="E31" s="2"/>
      <c r="F31" s="2"/>
      <c r="G31" s="2"/>
      <c r="H31" s="2"/>
      <c r="I31" s="2"/>
      <c r="J31" s="2"/>
      <c r="K31" s="2"/>
      <c r="L31" s="2"/>
      <c r="M31" s="2"/>
      <c r="N31" s="2"/>
      <c r="O31" s="2"/>
      <c r="P31" s="2"/>
      <c r="Q31" s="2"/>
      <c r="R31" s="2"/>
      <c r="S31" s="2"/>
      <c r="T31" s="2"/>
    </row>
    <row r="32" ht="15.5" spans="1:20">
      <c r="A32" s="70" t="s">
        <v>619</v>
      </c>
      <c r="B32" s="2"/>
      <c r="C32" s="2"/>
      <c r="D32" s="2"/>
      <c r="E32" s="2"/>
      <c r="F32" s="2"/>
      <c r="G32" s="2"/>
      <c r="H32" s="2"/>
      <c r="I32" s="2"/>
      <c r="J32" s="2"/>
      <c r="K32" s="2"/>
      <c r="L32" s="2"/>
      <c r="M32" s="2"/>
      <c r="N32" s="2"/>
      <c r="O32" s="2"/>
      <c r="P32" s="2"/>
      <c r="Q32" s="2"/>
      <c r="R32" s="2"/>
      <c r="S32" s="2"/>
      <c r="T32" s="2"/>
    </row>
    <row r="33" ht="15.5" spans="1:20">
      <c r="A33" s="11" t="s">
        <v>620</v>
      </c>
      <c r="B33" s="71" t="s">
        <v>381</v>
      </c>
      <c r="C33" s="11" t="s">
        <v>388</v>
      </c>
      <c r="D33" s="71" t="s">
        <v>621</v>
      </c>
      <c r="E33" s="11" t="s">
        <v>622</v>
      </c>
      <c r="F33" s="71" t="s">
        <v>623</v>
      </c>
      <c r="G33" s="2"/>
      <c r="H33" s="2"/>
      <c r="I33" s="2"/>
      <c r="J33" s="2"/>
      <c r="K33" s="2"/>
      <c r="L33" s="2"/>
      <c r="M33" s="2"/>
      <c r="N33" s="2"/>
      <c r="O33" s="2"/>
      <c r="P33" s="2"/>
      <c r="Q33" s="2"/>
      <c r="R33" s="2"/>
      <c r="S33" s="2"/>
      <c r="T33" s="2"/>
    </row>
    <row r="34" ht="15.5" spans="1:20">
      <c r="A34" s="11" t="s">
        <v>624</v>
      </c>
      <c r="B34" s="71" t="s">
        <v>625</v>
      </c>
      <c r="C34" s="11" t="s">
        <v>626</v>
      </c>
      <c r="D34" s="71" t="s">
        <v>627</v>
      </c>
      <c r="E34" s="11" t="s">
        <v>382</v>
      </c>
      <c r="F34" s="71" t="s">
        <v>383</v>
      </c>
      <c r="G34" s="2"/>
      <c r="H34" s="2"/>
      <c r="I34" s="2"/>
      <c r="J34" s="2"/>
      <c r="K34" s="2"/>
      <c r="L34" s="2"/>
      <c r="M34" s="2"/>
      <c r="N34" s="2"/>
      <c r="O34" s="2"/>
      <c r="P34" s="2"/>
      <c r="Q34" s="2"/>
      <c r="R34" s="2"/>
      <c r="S34" s="2"/>
      <c r="T34" s="2"/>
    </row>
    <row r="35" ht="15.5" spans="1:20">
      <c r="A35" s="11" t="s">
        <v>628</v>
      </c>
      <c r="B35" s="71" t="s">
        <v>629</v>
      </c>
      <c r="C35" s="71"/>
      <c r="D35" s="71"/>
      <c r="E35" s="71"/>
      <c r="F35" s="71"/>
      <c r="G35" s="2"/>
      <c r="H35" s="2"/>
      <c r="I35" s="2"/>
      <c r="J35" s="2"/>
      <c r="K35" s="2"/>
      <c r="L35" s="2"/>
      <c r="M35" s="2"/>
      <c r="N35" s="2"/>
      <c r="O35" s="2"/>
      <c r="P35" s="2"/>
      <c r="Q35" s="2"/>
      <c r="R35" s="2"/>
      <c r="S35" s="2"/>
      <c r="T35" s="2"/>
    </row>
    <row r="36" ht="15.5" spans="1:20">
      <c r="A36" s="11" t="s">
        <v>38</v>
      </c>
      <c r="B36" s="71" t="s">
        <v>39</v>
      </c>
      <c r="C36" s="71"/>
      <c r="D36" s="71"/>
      <c r="E36" s="71"/>
      <c r="F36" s="71"/>
      <c r="G36" s="2"/>
      <c r="H36" s="2"/>
      <c r="I36" s="2"/>
      <c r="J36" s="2"/>
      <c r="K36" s="2"/>
      <c r="L36" s="2"/>
      <c r="M36" s="2"/>
      <c r="N36" s="2"/>
      <c r="O36" s="2"/>
      <c r="P36" s="2"/>
      <c r="Q36" s="2"/>
      <c r="R36" s="2"/>
      <c r="S36" s="2"/>
      <c r="T36" s="2"/>
    </row>
    <row r="37" spans="1:20">
      <c r="A37" s="2"/>
      <c r="B37" s="2"/>
      <c r="C37" s="2"/>
      <c r="D37" s="2"/>
      <c r="E37" s="2"/>
      <c r="F37" s="2"/>
      <c r="G37" s="2"/>
      <c r="H37" s="2"/>
      <c r="I37" s="2"/>
      <c r="J37" s="2"/>
      <c r="K37" s="2"/>
      <c r="L37" s="2"/>
      <c r="M37" s="2"/>
      <c r="N37" s="2"/>
      <c r="O37" s="2"/>
      <c r="P37" s="2"/>
      <c r="Q37" s="2"/>
      <c r="R37" s="2"/>
      <c r="S37" s="2"/>
      <c r="T37" s="2"/>
    </row>
    <row r="38" spans="1:20">
      <c r="A38" s="2"/>
      <c r="B38" s="2"/>
      <c r="C38" s="2"/>
      <c r="D38" s="2"/>
      <c r="E38" s="2"/>
      <c r="F38" s="2"/>
      <c r="G38" s="2"/>
      <c r="H38" s="2"/>
      <c r="I38" s="2"/>
      <c r="J38" s="2"/>
      <c r="K38" s="2"/>
      <c r="L38" s="2"/>
      <c r="M38" s="2"/>
      <c r="N38" s="2"/>
      <c r="O38" s="2"/>
      <c r="P38" s="2"/>
      <c r="Q38" s="2"/>
      <c r="R38" s="2"/>
      <c r="S38" s="2"/>
      <c r="T38" s="2"/>
    </row>
    <row r="39" ht="15.5" spans="1:20">
      <c r="A39" s="70" t="s">
        <v>630</v>
      </c>
      <c r="B39" s="2"/>
      <c r="C39" s="2"/>
      <c r="D39" s="2"/>
      <c r="E39" s="2"/>
      <c r="F39" s="2"/>
      <c r="G39" s="2"/>
      <c r="H39" s="2"/>
      <c r="I39" s="2"/>
      <c r="J39" s="2"/>
      <c r="K39" s="2"/>
      <c r="L39" s="2"/>
      <c r="M39" s="2"/>
      <c r="N39" s="2"/>
      <c r="O39" s="2"/>
      <c r="P39" s="2"/>
      <c r="Q39" s="2"/>
      <c r="R39" s="2"/>
      <c r="S39" s="2"/>
      <c r="T39" s="2"/>
    </row>
    <row r="40" ht="13.5" spans="1:20">
      <c r="A40" s="72" t="s">
        <v>631</v>
      </c>
      <c r="B40" s="2"/>
      <c r="C40" s="2"/>
      <c r="D40" s="2"/>
      <c r="E40" s="2"/>
      <c r="F40" s="2"/>
      <c r="G40" s="2"/>
      <c r="H40" s="2"/>
      <c r="I40" s="2"/>
      <c r="J40" s="2"/>
      <c r="K40" s="2"/>
      <c r="L40" s="2"/>
      <c r="M40" s="2"/>
      <c r="N40" s="2"/>
      <c r="O40" s="2"/>
      <c r="P40" s="2"/>
      <c r="Q40" s="2"/>
      <c r="R40" s="2"/>
      <c r="S40" s="2"/>
      <c r="T40" s="2"/>
    </row>
    <row r="41" ht="15.5" spans="1:20">
      <c r="A41" s="11" t="s">
        <v>46</v>
      </c>
      <c r="B41" s="11" t="s">
        <v>47</v>
      </c>
      <c r="C41" s="11" t="s">
        <v>48</v>
      </c>
      <c r="D41" s="11" t="s">
        <v>632</v>
      </c>
      <c r="E41" s="11" t="s">
        <v>49</v>
      </c>
      <c r="F41" s="11" t="s">
        <v>50</v>
      </c>
      <c r="G41" s="11" t="s">
        <v>51</v>
      </c>
      <c r="H41" s="11" t="s">
        <v>53</v>
      </c>
      <c r="I41" s="11" t="s">
        <v>54</v>
      </c>
      <c r="J41" s="11" t="s">
        <v>55</v>
      </c>
      <c r="K41" s="73"/>
      <c r="L41" s="2"/>
      <c r="M41" s="2"/>
      <c r="N41" s="2"/>
      <c r="O41" s="2"/>
      <c r="P41" s="2"/>
      <c r="Q41" s="2"/>
      <c r="R41" s="2"/>
      <c r="S41" s="2"/>
      <c r="T41" s="2"/>
    </row>
    <row r="42" ht="13.5" spans="1:20">
      <c r="A42" s="71" t="s">
        <v>633</v>
      </c>
      <c r="B42" s="71" t="s">
        <v>4</v>
      </c>
      <c r="C42" s="71" t="s">
        <v>56</v>
      </c>
      <c r="D42" s="71" t="s">
        <v>634</v>
      </c>
      <c r="E42" s="71" t="s">
        <v>57</v>
      </c>
      <c r="F42" s="71" t="s">
        <v>58</v>
      </c>
      <c r="G42" s="71" t="s">
        <v>59</v>
      </c>
      <c r="H42" s="71" t="s">
        <v>61</v>
      </c>
      <c r="I42" s="71" t="s">
        <v>62</v>
      </c>
      <c r="J42" s="71" t="s">
        <v>63</v>
      </c>
      <c r="K42" s="74"/>
      <c r="L42" s="2"/>
      <c r="M42" s="2"/>
      <c r="N42" s="2"/>
      <c r="O42" s="2"/>
      <c r="P42" s="2"/>
      <c r="Q42" s="2"/>
      <c r="R42" s="2"/>
      <c r="S42" s="2"/>
      <c r="T42" s="2"/>
    </row>
    <row r="43" spans="1:20">
      <c r="A43" s="71" t="s">
        <v>233</v>
      </c>
      <c r="B43" s="71" t="s">
        <v>64</v>
      </c>
      <c r="C43" s="71" t="s">
        <v>56</v>
      </c>
      <c r="D43" s="71" t="s">
        <v>635</v>
      </c>
      <c r="E43" s="71" t="s">
        <v>65</v>
      </c>
      <c r="F43" s="71" t="s">
        <v>66</v>
      </c>
      <c r="G43" s="71" t="s">
        <v>67</v>
      </c>
      <c r="H43" s="71" t="s">
        <v>67</v>
      </c>
      <c r="I43" s="71" t="s">
        <v>68</v>
      </c>
      <c r="J43" s="71" t="s">
        <v>69</v>
      </c>
    </row>
    <row r="44" spans="1:20">
      <c r="A44" s="71" t="s">
        <v>636</v>
      </c>
      <c r="B44" s="71" t="s">
        <v>70</v>
      </c>
      <c r="C44" s="71" t="s">
        <v>56</v>
      </c>
      <c r="D44" s="71" t="s">
        <v>637</v>
      </c>
      <c r="E44" s="71" t="s">
        <v>65</v>
      </c>
      <c r="F44" s="71" t="s">
        <v>71</v>
      </c>
      <c r="G44" s="71" t="s">
        <v>72</v>
      </c>
      <c r="H44" s="71" t="s">
        <v>67</v>
      </c>
      <c r="I44" s="71" t="s">
        <v>73</v>
      </c>
      <c r="J44" s="71" t="s">
        <v>63</v>
      </c>
    </row>
    <row r="45" spans="1:20">
      <c r="A45" s="71" t="s">
        <v>638</v>
      </c>
      <c r="B45" s="71" t="s">
        <v>74</v>
      </c>
      <c r="C45" s="71" t="s">
        <v>56</v>
      </c>
      <c r="D45" s="71" t="s">
        <v>639</v>
      </c>
      <c r="E45" s="71" t="s">
        <v>57</v>
      </c>
      <c r="F45" s="71" t="s">
        <v>75</v>
      </c>
      <c r="G45" s="71" t="s">
        <v>76</v>
      </c>
      <c r="H45" s="71" t="s">
        <v>77</v>
      </c>
      <c r="I45" s="71" t="s">
        <v>78</v>
      </c>
      <c r="J45" s="71" t="s">
        <v>63</v>
      </c>
    </row>
    <row r="46" spans="1:20">
      <c r="A46" s="71" t="s">
        <v>640</v>
      </c>
      <c r="B46" s="71" t="s">
        <v>79</v>
      </c>
      <c r="C46" s="71" t="s">
        <v>56</v>
      </c>
      <c r="D46" s="71" t="s">
        <v>641</v>
      </c>
      <c r="E46" s="71" t="s">
        <v>80</v>
      </c>
      <c r="F46" s="71" t="s">
        <v>81</v>
      </c>
      <c r="G46" s="71" t="s">
        <v>82</v>
      </c>
      <c r="H46" s="71" t="s">
        <v>83</v>
      </c>
      <c r="I46" s="71" t="s">
        <v>78</v>
      </c>
      <c r="J46" s="71" t="s">
        <v>63</v>
      </c>
    </row>
    <row r="47" spans="1:20">
      <c r="A47" s="71" t="s">
        <v>642</v>
      </c>
      <c r="B47" s="71" t="s">
        <v>84</v>
      </c>
      <c r="C47" s="71" t="s">
        <v>56</v>
      </c>
      <c r="D47" s="71" t="s">
        <v>637</v>
      </c>
      <c r="E47" s="71" t="s">
        <v>80</v>
      </c>
      <c r="F47" s="71" t="s">
        <v>71</v>
      </c>
      <c r="G47" s="71" t="s">
        <v>72</v>
      </c>
      <c r="H47" s="71" t="s">
        <v>67</v>
      </c>
      <c r="I47" s="71" t="s">
        <v>85</v>
      </c>
      <c r="J47" s="71" t="s">
        <v>63</v>
      </c>
    </row>
    <row r="48" spans="1:20">
      <c r="A48" s="71" t="s">
        <v>643</v>
      </c>
      <c r="B48" s="71" t="s">
        <v>86</v>
      </c>
      <c r="C48" s="71" t="s">
        <v>56</v>
      </c>
      <c r="D48" s="71" t="s">
        <v>644</v>
      </c>
      <c r="E48" s="71" t="s">
        <v>57</v>
      </c>
      <c r="F48" s="71" t="s">
        <v>81</v>
      </c>
      <c r="G48" s="71" t="s">
        <v>87</v>
      </c>
      <c r="H48" s="71" t="s">
        <v>88</v>
      </c>
      <c r="I48" s="71" t="s">
        <v>89</v>
      </c>
      <c r="J48" s="71" t="s">
        <v>63</v>
      </c>
    </row>
    <row r="49" spans="1:20">
      <c r="A49" s="71" t="s">
        <v>645</v>
      </c>
      <c r="B49" s="71" t="s">
        <v>90</v>
      </c>
      <c r="C49" s="71" t="s">
        <v>56</v>
      </c>
      <c r="D49" s="71" t="s">
        <v>646</v>
      </c>
      <c r="E49" s="71" t="s">
        <v>57</v>
      </c>
      <c r="F49" s="71" t="s">
        <v>91</v>
      </c>
      <c r="G49" s="71" t="s">
        <v>92</v>
      </c>
      <c r="H49" s="71" t="s">
        <v>93</v>
      </c>
      <c r="I49" s="71" t="s">
        <v>94</v>
      </c>
      <c r="J49" s="71" t="s">
        <v>63</v>
      </c>
    </row>
    <row r="50" spans="1:20">
      <c r="A50" s="71" t="s">
        <v>208</v>
      </c>
      <c r="B50" s="71" t="s">
        <v>95</v>
      </c>
      <c r="C50" s="71" t="s">
        <v>56</v>
      </c>
      <c r="D50" s="71" t="s">
        <v>647</v>
      </c>
      <c r="E50" s="71" t="s">
        <v>65</v>
      </c>
      <c r="F50" s="71" t="s">
        <v>71</v>
      </c>
      <c r="G50" s="71" t="s">
        <v>72</v>
      </c>
      <c r="H50" s="71" t="s">
        <v>67</v>
      </c>
      <c r="I50" s="71" t="s">
        <v>89</v>
      </c>
      <c r="J50" s="71" t="s">
        <v>63</v>
      </c>
    </row>
    <row r="51" ht="13.5" spans="1:20">
      <c r="A51" s="72" t="s">
        <v>648</v>
      </c>
      <c r="B51" s="75"/>
      <c r="C51" s="75"/>
      <c r="D51" s="75"/>
      <c r="E51" s="75"/>
      <c r="F51" s="75"/>
      <c r="G51" s="75"/>
      <c r="H51" s="75"/>
      <c r="I51" s="75"/>
      <c r="J51" s="76"/>
      <c r="K51" s="77"/>
      <c r="L51" s="2"/>
      <c r="M51" s="2"/>
      <c r="N51" s="2"/>
      <c r="O51" s="2"/>
      <c r="P51" s="2"/>
      <c r="Q51" s="2"/>
      <c r="R51" s="2"/>
      <c r="S51" s="2"/>
      <c r="T51" s="2"/>
    </row>
    <row r="52" ht="13.5" spans="1:20">
      <c r="A52" s="72" t="s">
        <v>649</v>
      </c>
      <c r="B52" s="75"/>
      <c r="C52" s="75"/>
      <c r="D52" s="75"/>
      <c r="E52" s="75"/>
      <c r="F52" s="75"/>
      <c r="G52" s="75"/>
      <c r="H52" s="75"/>
      <c r="I52" s="75"/>
      <c r="J52" s="76"/>
      <c r="K52" s="2"/>
      <c r="L52" s="2"/>
      <c r="M52" s="2"/>
      <c r="N52" s="2"/>
      <c r="O52" s="2"/>
      <c r="P52" s="2"/>
      <c r="Q52" s="2"/>
      <c r="R52" s="2"/>
      <c r="S52" s="2"/>
      <c r="T52" s="2"/>
    </row>
    <row r="53" ht="15.5" spans="1:20">
      <c r="A53" s="11" t="s">
        <v>46</v>
      </c>
      <c r="B53" s="11" t="s">
        <v>47</v>
      </c>
      <c r="C53" s="11" t="s">
        <v>48</v>
      </c>
      <c r="D53" s="11" t="s">
        <v>632</v>
      </c>
      <c r="E53" s="11" t="s">
        <v>49</v>
      </c>
      <c r="F53" s="11" t="s">
        <v>50</v>
      </c>
      <c r="G53" s="11" t="s">
        <v>51</v>
      </c>
      <c r="H53" s="11" t="s">
        <v>53</v>
      </c>
      <c r="I53" s="11" t="s">
        <v>54</v>
      </c>
      <c r="J53" s="11" t="s">
        <v>55</v>
      </c>
      <c r="K53" s="73"/>
      <c r="L53" s="2"/>
      <c r="M53" s="2"/>
      <c r="N53" s="2"/>
      <c r="O53" s="2"/>
      <c r="P53" s="2"/>
      <c r="Q53" s="2"/>
      <c r="R53" s="2"/>
      <c r="S53" s="2"/>
      <c r="T53" s="2"/>
    </row>
    <row r="54" spans="1:20">
      <c r="A54" s="71" t="s">
        <v>633</v>
      </c>
      <c r="B54" s="71" t="s">
        <v>74</v>
      </c>
      <c r="C54" s="71" t="s">
        <v>56</v>
      </c>
      <c r="D54" s="71" t="s">
        <v>639</v>
      </c>
      <c r="E54" s="71" t="s">
        <v>57</v>
      </c>
      <c r="F54" s="71" t="s">
        <v>75</v>
      </c>
      <c r="G54" s="71" t="s">
        <v>76</v>
      </c>
      <c r="H54" s="71" t="s">
        <v>77</v>
      </c>
      <c r="I54" s="71" t="s">
        <v>78</v>
      </c>
      <c r="J54" s="71" t="s">
        <v>63</v>
      </c>
      <c r="K54" s="2"/>
      <c r="L54" s="2"/>
      <c r="M54" s="2"/>
      <c r="N54" s="2"/>
      <c r="O54" s="2"/>
      <c r="P54" s="2"/>
      <c r="Q54" s="2"/>
      <c r="R54" s="2"/>
      <c r="S54" s="2"/>
      <c r="T54" s="2"/>
    </row>
    <row r="55" spans="1:20">
      <c r="A55" s="71" t="s">
        <v>233</v>
      </c>
      <c r="B55" s="71" t="s">
        <v>79</v>
      </c>
      <c r="C55" s="71" t="s">
        <v>56</v>
      </c>
      <c r="D55" s="71" t="s">
        <v>641</v>
      </c>
      <c r="E55" s="71" t="s">
        <v>80</v>
      </c>
      <c r="F55" s="71" t="s">
        <v>81</v>
      </c>
      <c r="G55" s="71" t="s">
        <v>82</v>
      </c>
      <c r="H55" s="71" t="s">
        <v>83</v>
      </c>
      <c r="I55" s="71" t="s">
        <v>78</v>
      </c>
      <c r="J55" s="71" t="s">
        <v>63</v>
      </c>
    </row>
    <row r="56" spans="1:20">
      <c r="A56" s="71" t="s">
        <v>636</v>
      </c>
      <c r="B56" s="71" t="s">
        <v>86</v>
      </c>
      <c r="C56" s="71" t="s">
        <v>56</v>
      </c>
      <c r="D56" s="71" t="s">
        <v>644</v>
      </c>
      <c r="E56" s="71" t="s">
        <v>57</v>
      </c>
      <c r="F56" s="71" t="s">
        <v>81</v>
      </c>
      <c r="G56" s="71" t="s">
        <v>87</v>
      </c>
      <c r="H56" s="71" t="s">
        <v>88</v>
      </c>
      <c r="I56" s="71" t="s">
        <v>89</v>
      </c>
      <c r="J56" s="71" t="s">
        <v>63</v>
      </c>
    </row>
    <row r="57" spans="1:20">
      <c r="A57" s="71" t="s">
        <v>638</v>
      </c>
      <c r="B57" s="71" t="s">
        <v>96</v>
      </c>
      <c r="C57" s="71" t="s">
        <v>56</v>
      </c>
      <c r="D57" s="71" t="s">
        <v>650</v>
      </c>
      <c r="E57" s="71" t="s">
        <v>57</v>
      </c>
      <c r="F57" s="71" t="s">
        <v>97</v>
      </c>
      <c r="G57" s="71" t="s">
        <v>98</v>
      </c>
      <c r="H57" s="71" t="s">
        <v>83</v>
      </c>
      <c r="I57" s="71" t="s">
        <v>62</v>
      </c>
      <c r="J57" s="71" t="s">
        <v>63</v>
      </c>
    </row>
    <row r="58" spans="1:20">
      <c r="A58" s="71" t="s">
        <v>640</v>
      </c>
      <c r="B58" s="71" t="s">
        <v>99</v>
      </c>
      <c r="C58" s="71" t="s">
        <v>100</v>
      </c>
      <c r="D58" s="71" t="s">
        <v>651</v>
      </c>
      <c r="E58" s="71" t="s">
        <v>57</v>
      </c>
      <c r="F58" s="71" t="s">
        <v>101</v>
      </c>
      <c r="G58" s="71" t="s">
        <v>102</v>
      </c>
      <c r="H58" s="71" t="s">
        <v>67</v>
      </c>
      <c r="I58" s="71" t="s">
        <v>85</v>
      </c>
      <c r="J58" s="71" t="s">
        <v>63</v>
      </c>
    </row>
    <row r="59" spans="1:20">
      <c r="A59" s="71" t="s">
        <v>642</v>
      </c>
      <c r="B59" s="71" t="s">
        <v>103</v>
      </c>
      <c r="C59" s="71" t="s">
        <v>56</v>
      </c>
      <c r="D59" s="71" t="s">
        <v>650</v>
      </c>
      <c r="E59" s="71" t="s">
        <v>57</v>
      </c>
      <c r="F59" s="71" t="s">
        <v>101</v>
      </c>
      <c r="G59" s="71" t="s">
        <v>104</v>
      </c>
      <c r="H59" s="71" t="s">
        <v>105</v>
      </c>
      <c r="I59" s="71" t="s">
        <v>85</v>
      </c>
      <c r="J59" s="71" t="s">
        <v>63</v>
      </c>
    </row>
    <row r="60" spans="1:20">
      <c r="A60" s="71" t="s">
        <v>643</v>
      </c>
      <c r="B60" s="71" t="s">
        <v>106</v>
      </c>
      <c r="C60" s="71" t="s">
        <v>56</v>
      </c>
      <c r="D60" s="71" t="s">
        <v>652</v>
      </c>
      <c r="E60" s="71" t="s">
        <v>57</v>
      </c>
      <c r="F60" s="71" t="s">
        <v>107</v>
      </c>
      <c r="G60" s="71" t="s">
        <v>108</v>
      </c>
      <c r="H60" s="71" t="s">
        <v>109</v>
      </c>
      <c r="I60" s="71" t="s">
        <v>62</v>
      </c>
      <c r="J60" s="71" t="s">
        <v>63</v>
      </c>
    </row>
    <row r="61" spans="1:20">
      <c r="A61" s="2"/>
      <c r="B61" s="2"/>
      <c r="C61" s="2"/>
      <c r="D61" s="2"/>
      <c r="E61" s="2"/>
      <c r="F61" s="2"/>
      <c r="G61" s="2"/>
      <c r="H61" s="2"/>
      <c r="I61" s="2"/>
      <c r="J61" s="2"/>
      <c r="K61" s="2"/>
      <c r="L61" s="2"/>
      <c r="M61" s="2"/>
      <c r="N61" s="2"/>
      <c r="O61" s="2"/>
      <c r="P61" s="2"/>
      <c r="Q61" s="2"/>
      <c r="R61" s="2"/>
      <c r="S61" s="2"/>
      <c r="T61" s="2"/>
    </row>
    <row r="62" spans="1:20">
      <c r="A62" s="2"/>
      <c r="B62" s="2"/>
      <c r="C62" s="2"/>
      <c r="D62" s="2"/>
      <c r="E62" s="2"/>
      <c r="F62" s="2"/>
      <c r="G62" s="2"/>
      <c r="H62" s="2"/>
      <c r="I62" s="2"/>
      <c r="J62" s="2"/>
      <c r="K62" s="2"/>
      <c r="L62" s="2"/>
      <c r="M62" s="2"/>
      <c r="N62" s="2"/>
      <c r="O62" s="2"/>
      <c r="P62" s="2"/>
      <c r="Q62" s="2"/>
      <c r="R62" s="2"/>
      <c r="S62" s="2"/>
      <c r="T62" s="2"/>
    </row>
    <row r="63" ht="15.5" spans="1:20">
      <c r="A63" s="78" t="s">
        <v>653</v>
      </c>
      <c r="B63" s="71" t="s">
        <v>654</v>
      </c>
      <c r="C63" s="2"/>
      <c r="D63" s="2"/>
      <c r="E63" s="2"/>
      <c r="F63" s="2"/>
      <c r="G63" s="2"/>
      <c r="H63" s="2"/>
      <c r="I63" s="2"/>
      <c r="J63" s="2"/>
      <c r="K63" s="2"/>
      <c r="L63" s="2"/>
      <c r="M63" s="2"/>
      <c r="N63" s="2"/>
      <c r="O63" s="2"/>
      <c r="P63" s="2"/>
      <c r="Q63" s="2"/>
      <c r="R63" s="2"/>
      <c r="S63" s="2"/>
      <c r="T63" s="2"/>
    </row>
    <row r="64" ht="15.5" spans="1:20">
      <c r="A64" s="11" t="s">
        <v>46</v>
      </c>
      <c r="B64" s="11" t="s">
        <v>655</v>
      </c>
      <c r="C64" s="11" t="s">
        <v>656</v>
      </c>
      <c r="D64" s="11" t="s">
        <v>657</v>
      </c>
      <c r="E64" s="11" t="s">
        <v>658</v>
      </c>
      <c r="F64" s="11" t="s">
        <v>659</v>
      </c>
      <c r="G64" s="11" t="s">
        <v>660</v>
      </c>
      <c r="H64" s="11" t="s">
        <v>661</v>
      </c>
      <c r="I64" s="2"/>
      <c r="J64" s="2"/>
      <c r="K64" s="2"/>
      <c r="L64" s="2"/>
      <c r="M64" s="2"/>
      <c r="N64" s="2"/>
      <c r="O64" s="2"/>
      <c r="P64" s="2"/>
      <c r="Q64" s="2"/>
      <c r="R64" s="2"/>
      <c r="S64" s="2"/>
      <c r="T64" s="2"/>
    </row>
    <row r="65" spans="1:20">
      <c r="A65" s="71" t="s">
        <v>633</v>
      </c>
      <c r="B65" s="71" t="s">
        <v>662</v>
      </c>
      <c r="C65" s="71" t="s">
        <v>663</v>
      </c>
      <c r="D65" s="71" t="s">
        <v>664</v>
      </c>
      <c r="E65" s="71" t="s">
        <v>665</v>
      </c>
      <c r="F65" s="71" t="s">
        <v>666</v>
      </c>
      <c r="G65" s="71" t="s">
        <v>391</v>
      </c>
      <c r="H65" s="71" t="s">
        <v>667</v>
      </c>
      <c r="I65" s="2"/>
      <c r="J65" s="2"/>
      <c r="K65" s="2"/>
      <c r="L65" s="2"/>
      <c r="M65" s="2"/>
      <c r="N65" s="2"/>
      <c r="O65" s="2"/>
      <c r="P65" s="2"/>
      <c r="Q65" s="2"/>
      <c r="R65" s="2"/>
      <c r="S65" s="2"/>
      <c r="T65" s="2"/>
    </row>
    <row r="66" spans="1:20">
      <c r="A66" s="71" t="s">
        <v>233</v>
      </c>
      <c r="B66" s="71" t="s">
        <v>668</v>
      </c>
      <c r="C66" s="71" t="s">
        <v>663</v>
      </c>
      <c r="D66" s="71" t="s">
        <v>664</v>
      </c>
      <c r="E66" s="71" t="s">
        <v>666</v>
      </c>
      <c r="F66" s="71" t="s">
        <v>666</v>
      </c>
      <c r="G66" s="71" t="s">
        <v>391</v>
      </c>
      <c r="H66" s="71" t="s">
        <v>669</v>
      </c>
    </row>
    <row r="67" spans="1:20">
      <c r="A67" s="71" t="s">
        <v>636</v>
      </c>
      <c r="B67" s="71" t="s">
        <v>218</v>
      </c>
      <c r="C67" s="71" t="s">
        <v>670</v>
      </c>
      <c r="D67" s="71" t="s">
        <v>664</v>
      </c>
      <c r="E67" s="71" t="s">
        <v>671</v>
      </c>
      <c r="F67" s="71" t="s">
        <v>666</v>
      </c>
      <c r="G67" s="71" t="s">
        <v>391</v>
      </c>
      <c r="H67" s="71" t="s">
        <v>672</v>
      </c>
    </row>
    <row r="68" spans="1:20">
      <c r="A68" s="71" t="s">
        <v>638</v>
      </c>
      <c r="B68" s="71" t="s">
        <v>673</v>
      </c>
      <c r="C68" s="71" t="s">
        <v>663</v>
      </c>
      <c r="D68" s="71" t="s">
        <v>664</v>
      </c>
      <c r="E68" s="71" t="s">
        <v>666</v>
      </c>
      <c r="F68" s="71" t="s">
        <v>666</v>
      </c>
      <c r="G68" s="71" t="s">
        <v>391</v>
      </c>
      <c r="H68" s="71" t="s">
        <v>674</v>
      </c>
    </row>
    <row r="69" spans="1:20">
      <c r="A69" s="71" t="s">
        <v>640</v>
      </c>
      <c r="B69" s="71" t="s">
        <v>675</v>
      </c>
      <c r="C69" s="71" t="s">
        <v>663</v>
      </c>
      <c r="D69" s="71" t="s">
        <v>664</v>
      </c>
      <c r="E69" s="71" t="s">
        <v>666</v>
      </c>
      <c r="F69" s="71" t="s">
        <v>666</v>
      </c>
      <c r="G69" s="71" t="s">
        <v>391</v>
      </c>
      <c r="H69" s="71" t="s">
        <v>676</v>
      </c>
    </row>
    <row r="70" spans="1:20">
      <c r="A70" s="71" t="s">
        <v>642</v>
      </c>
      <c r="B70" s="71" t="s">
        <v>677</v>
      </c>
      <c r="C70" s="71" t="s">
        <v>663</v>
      </c>
      <c r="D70" s="71" t="s">
        <v>664</v>
      </c>
      <c r="E70" s="71" t="s">
        <v>666</v>
      </c>
      <c r="F70" s="71" t="s">
        <v>666</v>
      </c>
      <c r="G70" s="71" t="s">
        <v>391</v>
      </c>
      <c r="H70" s="71" t="s">
        <v>678</v>
      </c>
    </row>
    <row r="71" spans="1:20">
      <c r="A71" s="71" t="s">
        <v>643</v>
      </c>
      <c r="B71" s="71" t="s">
        <v>679</v>
      </c>
      <c r="C71" s="71" t="s">
        <v>663</v>
      </c>
      <c r="D71" s="71" t="s">
        <v>664</v>
      </c>
      <c r="E71" s="71" t="s">
        <v>666</v>
      </c>
      <c r="F71" s="71" t="s">
        <v>666</v>
      </c>
      <c r="G71" s="71" t="s">
        <v>391</v>
      </c>
      <c r="H71" s="71" t="s">
        <v>680</v>
      </c>
    </row>
    <row r="72" spans="1:20">
      <c r="A72" s="71" t="s">
        <v>645</v>
      </c>
      <c r="B72" s="71" t="s">
        <v>681</v>
      </c>
      <c r="C72" s="71" t="s">
        <v>663</v>
      </c>
      <c r="D72" s="71" t="s">
        <v>664</v>
      </c>
      <c r="E72" s="71" t="s">
        <v>666</v>
      </c>
      <c r="F72" s="71" t="s">
        <v>666</v>
      </c>
      <c r="G72" s="71" t="s">
        <v>391</v>
      </c>
      <c r="H72" s="71" t="s">
        <v>682</v>
      </c>
    </row>
    <row r="73" spans="1:20">
      <c r="A73" s="71" t="s">
        <v>208</v>
      </c>
      <c r="B73" s="71" t="s">
        <v>683</v>
      </c>
      <c r="C73" s="71" t="s">
        <v>663</v>
      </c>
      <c r="D73" s="71" t="s">
        <v>664</v>
      </c>
      <c r="E73" s="71" t="s">
        <v>666</v>
      </c>
      <c r="F73" s="71" t="s">
        <v>666</v>
      </c>
      <c r="G73" s="71" t="s">
        <v>391</v>
      </c>
      <c r="H73" s="71" t="s">
        <v>684</v>
      </c>
    </row>
    <row r="74" spans="1:20">
      <c r="A74" s="71" t="s">
        <v>685</v>
      </c>
      <c r="B74" s="71" t="s">
        <v>686</v>
      </c>
      <c r="C74" s="71" t="s">
        <v>670</v>
      </c>
      <c r="D74" s="71" t="s">
        <v>664</v>
      </c>
      <c r="E74" s="71" t="s">
        <v>687</v>
      </c>
      <c r="F74" s="71" t="s">
        <v>688</v>
      </c>
      <c r="G74" s="71" t="s">
        <v>391</v>
      </c>
      <c r="H74" s="71" t="s">
        <v>689</v>
      </c>
    </row>
    <row r="75" spans="1:20">
      <c r="A75" s="71" t="s">
        <v>690</v>
      </c>
      <c r="B75" s="71" t="s">
        <v>691</v>
      </c>
      <c r="C75" s="71" t="s">
        <v>663</v>
      </c>
      <c r="D75" s="71" t="s">
        <v>664</v>
      </c>
      <c r="E75" s="71" t="s">
        <v>666</v>
      </c>
      <c r="F75" s="71" t="s">
        <v>666</v>
      </c>
      <c r="G75" s="71" t="s">
        <v>391</v>
      </c>
      <c r="H75" s="71" t="s">
        <v>680</v>
      </c>
    </row>
    <row r="76" spans="1:20">
      <c r="A76" s="71" t="s">
        <v>692</v>
      </c>
      <c r="B76" s="71" t="s">
        <v>693</v>
      </c>
      <c r="C76" s="71" t="s">
        <v>663</v>
      </c>
      <c r="D76" s="71" t="s">
        <v>664</v>
      </c>
      <c r="E76" s="71" t="s">
        <v>666</v>
      </c>
      <c r="F76" s="71" t="s">
        <v>666</v>
      </c>
      <c r="G76" s="71" t="s">
        <v>391</v>
      </c>
      <c r="H76" s="71" t="s">
        <v>694</v>
      </c>
    </row>
    <row r="77" spans="1:20">
      <c r="A77" s="71" t="s">
        <v>594</v>
      </c>
      <c r="B77" s="71" t="s">
        <v>695</v>
      </c>
      <c r="C77" s="71" t="s">
        <v>663</v>
      </c>
      <c r="D77" s="71" t="s">
        <v>664</v>
      </c>
      <c r="E77" s="71" t="s">
        <v>696</v>
      </c>
      <c r="F77" s="71" t="s">
        <v>666</v>
      </c>
      <c r="G77" s="71" t="s">
        <v>391</v>
      </c>
      <c r="H77" s="71" t="s">
        <v>697</v>
      </c>
    </row>
    <row r="78" spans="1:20">
      <c r="A78" s="71" t="s">
        <v>698</v>
      </c>
      <c r="B78" s="71" t="s">
        <v>699</v>
      </c>
      <c r="C78" s="71" t="s">
        <v>663</v>
      </c>
      <c r="D78" s="71" t="s">
        <v>664</v>
      </c>
      <c r="E78" s="71" t="s">
        <v>666</v>
      </c>
      <c r="F78" s="71" t="s">
        <v>666</v>
      </c>
      <c r="G78" s="71" t="s">
        <v>391</v>
      </c>
      <c r="H78" s="71" t="s">
        <v>680</v>
      </c>
    </row>
    <row r="79" spans="1:20">
      <c r="A79" s="71" t="s">
        <v>700</v>
      </c>
      <c r="B79" s="71" t="s">
        <v>701</v>
      </c>
      <c r="C79" s="71" t="s">
        <v>663</v>
      </c>
      <c r="D79" s="71" t="s">
        <v>664</v>
      </c>
      <c r="E79" s="71" t="s">
        <v>666</v>
      </c>
      <c r="F79" s="71" t="s">
        <v>666</v>
      </c>
      <c r="G79" s="71" t="s">
        <v>391</v>
      </c>
      <c r="H79" s="71" t="s">
        <v>702</v>
      </c>
    </row>
    <row r="80" spans="1:20">
      <c r="A80" s="71" t="s">
        <v>703</v>
      </c>
      <c r="B80" s="71" t="s">
        <v>704</v>
      </c>
      <c r="C80" s="71" t="s">
        <v>663</v>
      </c>
      <c r="D80" s="71" t="s">
        <v>664</v>
      </c>
      <c r="E80" s="71" t="s">
        <v>666</v>
      </c>
      <c r="F80" s="71" t="s">
        <v>666</v>
      </c>
      <c r="G80" s="71" t="s">
        <v>391</v>
      </c>
      <c r="H80" s="71" t="s">
        <v>702</v>
      </c>
    </row>
    <row r="81" spans="1:8">
      <c r="A81" s="71" t="s">
        <v>249</v>
      </c>
      <c r="B81" s="71" t="s">
        <v>705</v>
      </c>
      <c r="C81" s="71" t="s">
        <v>663</v>
      </c>
      <c r="D81" s="71" t="s">
        <v>664</v>
      </c>
      <c r="E81" s="71" t="s">
        <v>666</v>
      </c>
      <c r="F81" s="71" t="s">
        <v>666</v>
      </c>
      <c r="G81" s="71" t="s">
        <v>391</v>
      </c>
      <c r="H81" s="71" t="s">
        <v>706</v>
      </c>
    </row>
    <row r="82" spans="1:8">
      <c r="A82" s="71" t="s">
        <v>707</v>
      </c>
      <c r="B82" s="71" t="s">
        <v>708</v>
      </c>
      <c r="C82" s="71" t="s">
        <v>670</v>
      </c>
      <c r="D82" s="71" t="s">
        <v>664</v>
      </c>
      <c r="E82" s="71" t="s">
        <v>709</v>
      </c>
      <c r="F82" s="71" t="s">
        <v>710</v>
      </c>
      <c r="G82" s="71" t="s">
        <v>391</v>
      </c>
      <c r="H82" s="71" t="s">
        <v>711</v>
      </c>
    </row>
    <row r="83" spans="1:8">
      <c r="A83" s="71" t="s">
        <v>712</v>
      </c>
      <c r="B83" s="71" t="s">
        <v>713</v>
      </c>
      <c r="C83" s="71" t="s">
        <v>670</v>
      </c>
      <c r="D83" s="71" t="s">
        <v>664</v>
      </c>
      <c r="E83" s="71" t="s">
        <v>714</v>
      </c>
      <c r="F83" s="71" t="s">
        <v>666</v>
      </c>
      <c r="G83" s="71" t="s">
        <v>391</v>
      </c>
      <c r="H83" s="71" t="s">
        <v>715</v>
      </c>
    </row>
    <row r="84" spans="1:8">
      <c r="A84" s="71" t="s">
        <v>716</v>
      </c>
      <c r="B84" s="71" t="s">
        <v>717</v>
      </c>
      <c r="C84" s="71" t="s">
        <v>663</v>
      </c>
      <c r="D84" s="71" t="s">
        <v>664</v>
      </c>
      <c r="E84" s="71" t="s">
        <v>718</v>
      </c>
      <c r="F84" s="71" t="s">
        <v>666</v>
      </c>
      <c r="G84" s="71" t="s">
        <v>391</v>
      </c>
      <c r="H84" s="71" t="s">
        <v>719</v>
      </c>
    </row>
    <row r="85" spans="1:8">
      <c r="A85" s="71" t="s">
        <v>720</v>
      </c>
      <c r="B85" s="71" t="s">
        <v>721</v>
      </c>
      <c r="C85" s="71" t="s">
        <v>663</v>
      </c>
      <c r="D85" s="71" t="s">
        <v>664</v>
      </c>
      <c r="E85" s="71" t="s">
        <v>666</v>
      </c>
      <c r="F85" s="71" t="s">
        <v>666</v>
      </c>
      <c r="G85" s="71" t="s">
        <v>391</v>
      </c>
      <c r="H85" s="71" t="s">
        <v>676</v>
      </c>
    </row>
    <row r="86" spans="1:8">
      <c r="A86" s="71" t="s">
        <v>722</v>
      </c>
      <c r="B86" s="71" t="s">
        <v>723</v>
      </c>
      <c r="C86" s="71" t="s">
        <v>663</v>
      </c>
      <c r="D86" s="71" t="s">
        <v>664</v>
      </c>
      <c r="E86" s="71" t="s">
        <v>666</v>
      </c>
      <c r="F86" s="71" t="s">
        <v>666</v>
      </c>
      <c r="G86" s="71" t="s">
        <v>391</v>
      </c>
      <c r="H86" s="71" t="s">
        <v>724</v>
      </c>
    </row>
    <row r="87" spans="1:8">
      <c r="A87" s="71" t="s">
        <v>725</v>
      </c>
      <c r="B87" s="71" t="s">
        <v>198</v>
      </c>
      <c r="C87" s="71" t="s">
        <v>670</v>
      </c>
      <c r="D87" s="71" t="s">
        <v>664</v>
      </c>
      <c r="E87" s="71" t="s">
        <v>726</v>
      </c>
      <c r="F87" s="71" t="s">
        <v>727</v>
      </c>
      <c r="G87" s="71" t="s">
        <v>391</v>
      </c>
      <c r="H87" s="71" t="s">
        <v>728</v>
      </c>
    </row>
    <row r="88" spans="1:8">
      <c r="A88" s="71" t="s">
        <v>729</v>
      </c>
      <c r="B88" s="71" t="s">
        <v>730</v>
      </c>
      <c r="C88" s="71" t="s">
        <v>663</v>
      </c>
      <c r="D88" s="71" t="s">
        <v>664</v>
      </c>
      <c r="E88" s="71" t="s">
        <v>666</v>
      </c>
      <c r="F88" s="71" t="s">
        <v>666</v>
      </c>
      <c r="G88" s="71" t="s">
        <v>391</v>
      </c>
      <c r="H88" s="71" t="s">
        <v>67</v>
      </c>
    </row>
    <row r="89" spans="1:8">
      <c r="A89" s="71" t="s">
        <v>731</v>
      </c>
      <c r="B89" s="71" t="s">
        <v>732</v>
      </c>
      <c r="C89" s="71" t="s">
        <v>663</v>
      </c>
      <c r="D89" s="71" t="s">
        <v>733</v>
      </c>
      <c r="E89" s="71" t="s">
        <v>666</v>
      </c>
      <c r="F89" s="71" t="s">
        <v>666</v>
      </c>
      <c r="G89" s="71" t="s">
        <v>391</v>
      </c>
      <c r="H89" s="71" t="s">
        <v>682</v>
      </c>
    </row>
    <row r="90" spans="1:8">
      <c r="A90" s="71" t="s">
        <v>734</v>
      </c>
      <c r="B90" s="71" t="s">
        <v>735</v>
      </c>
      <c r="C90" s="71" t="s">
        <v>663</v>
      </c>
      <c r="D90" s="71" t="s">
        <v>733</v>
      </c>
      <c r="E90" s="71" t="s">
        <v>666</v>
      </c>
      <c r="F90" s="71" t="s">
        <v>666</v>
      </c>
      <c r="G90" s="71" t="s">
        <v>391</v>
      </c>
      <c r="H90" s="71" t="s">
        <v>682</v>
      </c>
    </row>
    <row r="91" spans="1:8">
      <c r="A91" s="71" t="s">
        <v>736</v>
      </c>
      <c r="B91" s="71" t="s">
        <v>737</v>
      </c>
      <c r="C91" s="71" t="s">
        <v>663</v>
      </c>
      <c r="D91" s="71" t="s">
        <v>733</v>
      </c>
      <c r="E91" s="71" t="s">
        <v>666</v>
      </c>
      <c r="F91" s="71" t="s">
        <v>666</v>
      </c>
      <c r="G91" s="71" t="s">
        <v>391</v>
      </c>
      <c r="H91" s="71" t="s">
        <v>682</v>
      </c>
    </row>
    <row r="92" spans="1:8">
      <c r="A92" s="71" t="s">
        <v>738</v>
      </c>
      <c r="B92" s="71" t="s">
        <v>739</v>
      </c>
      <c r="C92" s="71" t="s">
        <v>663</v>
      </c>
      <c r="D92" s="71" t="s">
        <v>740</v>
      </c>
      <c r="E92" s="71" t="s">
        <v>666</v>
      </c>
      <c r="F92" s="71" t="s">
        <v>741</v>
      </c>
      <c r="G92" s="71" t="s">
        <v>391</v>
      </c>
      <c r="H92" s="71" t="s">
        <v>680</v>
      </c>
    </row>
    <row r="93" spans="1:8">
      <c r="A93" s="71" t="s">
        <v>742</v>
      </c>
      <c r="B93" s="71" t="s">
        <v>743</v>
      </c>
      <c r="C93" s="71" t="s">
        <v>663</v>
      </c>
      <c r="D93" s="71" t="s">
        <v>744</v>
      </c>
      <c r="E93" s="71" t="s">
        <v>666</v>
      </c>
      <c r="F93" s="71" t="s">
        <v>666</v>
      </c>
      <c r="G93" s="71" t="s">
        <v>391</v>
      </c>
      <c r="H93" s="71" t="s">
        <v>682</v>
      </c>
    </row>
    <row r="94" spans="1:8">
      <c r="A94" s="71" t="s">
        <v>745</v>
      </c>
      <c r="B94" s="71" t="s">
        <v>746</v>
      </c>
      <c r="C94" s="71" t="s">
        <v>663</v>
      </c>
      <c r="D94" s="71" t="s">
        <v>747</v>
      </c>
      <c r="E94" s="71" t="s">
        <v>666</v>
      </c>
      <c r="F94" s="71" t="s">
        <v>666</v>
      </c>
      <c r="G94" s="71" t="s">
        <v>391</v>
      </c>
      <c r="H94" s="71" t="s">
        <v>682</v>
      </c>
    </row>
    <row r="95" spans="1:8">
      <c r="A95" s="71" t="s">
        <v>748</v>
      </c>
      <c r="B95" s="71" t="s">
        <v>749</v>
      </c>
      <c r="C95" s="71" t="s">
        <v>663</v>
      </c>
      <c r="D95" s="71" t="s">
        <v>747</v>
      </c>
      <c r="E95" s="71" t="s">
        <v>666</v>
      </c>
      <c r="F95" s="71" t="s">
        <v>666</v>
      </c>
      <c r="G95" s="71" t="s">
        <v>391</v>
      </c>
      <c r="H95" s="71" t="s">
        <v>682</v>
      </c>
    </row>
    <row r="96" spans="1:8">
      <c r="A96" s="71" t="s">
        <v>750</v>
      </c>
      <c r="B96" s="71" t="s">
        <v>751</v>
      </c>
      <c r="C96" s="71" t="s">
        <v>663</v>
      </c>
      <c r="D96" s="71" t="s">
        <v>752</v>
      </c>
      <c r="E96" s="71" t="s">
        <v>753</v>
      </c>
      <c r="F96" s="71" t="s">
        <v>666</v>
      </c>
      <c r="G96" s="71" t="s">
        <v>391</v>
      </c>
      <c r="H96" s="71" t="s">
        <v>754</v>
      </c>
    </row>
    <row r="97" spans="1:8">
      <c r="A97" s="71" t="s">
        <v>755</v>
      </c>
      <c r="B97" s="71" t="s">
        <v>756</v>
      </c>
      <c r="C97" s="71" t="s">
        <v>663</v>
      </c>
      <c r="D97" s="71" t="s">
        <v>752</v>
      </c>
      <c r="E97" s="71" t="s">
        <v>757</v>
      </c>
      <c r="F97" s="71" t="s">
        <v>758</v>
      </c>
      <c r="G97" s="71" t="s">
        <v>391</v>
      </c>
      <c r="H97" s="71" t="s">
        <v>759</v>
      </c>
    </row>
    <row r="98" spans="1:8">
      <c r="A98" s="71" t="s">
        <v>646</v>
      </c>
      <c r="B98" s="71" t="s">
        <v>760</v>
      </c>
      <c r="C98" s="71" t="s">
        <v>663</v>
      </c>
      <c r="D98" s="71" t="s">
        <v>752</v>
      </c>
      <c r="E98" s="71" t="s">
        <v>761</v>
      </c>
      <c r="F98" s="71" t="s">
        <v>666</v>
      </c>
      <c r="G98" s="71" t="s">
        <v>391</v>
      </c>
      <c r="H98" s="71" t="s">
        <v>754</v>
      </c>
    </row>
    <row r="99" spans="1:8">
      <c r="A99" s="71" t="s">
        <v>762</v>
      </c>
      <c r="B99" s="71" t="s">
        <v>763</v>
      </c>
      <c r="C99" s="71" t="s">
        <v>663</v>
      </c>
      <c r="D99" s="71" t="s">
        <v>764</v>
      </c>
      <c r="E99" s="71" t="s">
        <v>765</v>
      </c>
      <c r="F99" s="71" t="s">
        <v>766</v>
      </c>
      <c r="G99" s="71" t="s">
        <v>391</v>
      </c>
      <c r="H99" s="71" t="s">
        <v>767</v>
      </c>
    </row>
    <row r="100" spans="1:8">
      <c r="A100" s="71" t="s">
        <v>768</v>
      </c>
      <c r="B100" s="71" t="s">
        <v>769</v>
      </c>
      <c r="C100" s="71" t="s">
        <v>663</v>
      </c>
      <c r="D100" s="71" t="s">
        <v>764</v>
      </c>
      <c r="E100" s="71" t="s">
        <v>666</v>
      </c>
      <c r="F100" s="71" t="s">
        <v>666</v>
      </c>
      <c r="G100" s="71" t="s">
        <v>391</v>
      </c>
      <c r="H100" s="71" t="s">
        <v>770</v>
      </c>
    </row>
    <row r="101" spans="1:8">
      <c r="A101" s="71" t="s">
        <v>771</v>
      </c>
      <c r="B101" s="71" t="s">
        <v>772</v>
      </c>
      <c r="C101" s="71" t="s">
        <v>663</v>
      </c>
      <c r="D101" s="71" t="s">
        <v>773</v>
      </c>
      <c r="E101" s="71" t="s">
        <v>666</v>
      </c>
      <c r="F101" s="71" t="s">
        <v>666</v>
      </c>
      <c r="G101" s="71" t="s">
        <v>391</v>
      </c>
      <c r="H101" s="71" t="s">
        <v>774</v>
      </c>
    </row>
    <row r="102" spans="1:8">
      <c r="A102" s="71" t="s">
        <v>775</v>
      </c>
      <c r="B102" s="71" t="s">
        <v>776</v>
      </c>
      <c r="C102" s="71" t="s">
        <v>663</v>
      </c>
      <c r="D102" s="71" t="s">
        <v>777</v>
      </c>
      <c r="E102" s="71" t="s">
        <v>778</v>
      </c>
      <c r="F102" s="71" t="s">
        <v>666</v>
      </c>
      <c r="G102" s="71" t="s">
        <v>391</v>
      </c>
      <c r="H102" s="71" t="s">
        <v>779</v>
      </c>
    </row>
    <row r="103" spans="1:8">
      <c r="A103" s="71" t="s">
        <v>780</v>
      </c>
      <c r="B103" s="71" t="s">
        <v>210</v>
      </c>
      <c r="C103" s="71" t="s">
        <v>670</v>
      </c>
      <c r="D103" s="71" t="s">
        <v>781</v>
      </c>
      <c r="E103" s="71" t="s">
        <v>782</v>
      </c>
      <c r="F103" s="71" t="s">
        <v>783</v>
      </c>
      <c r="G103" s="71" t="s">
        <v>391</v>
      </c>
      <c r="H103" s="71" t="s">
        <v>784</v>
      </c>
    </row>
    <row r="104" spans="1:8">
      <c r="A104" s="71" t="s">
        <v>785</v>
      </c>
      <c r="B104" s="71" t="s">
        <v>786</v>
      </c>
      <c r="C104" s="71" t="s">
        <v>663</v>
      </c>
      <c r="D104" s="71" t="s">
        <v>787</v>
      </c>
      <c r="E104" s="71" t="s">
        <v>666</v>
      </c>
      <c r="F104" s="71" t="s">
        <v>666</v>
      </c>
      <c r="G104" s="71" t="s">
        <v>391</v>
      </c>
      <c r="H104" s="71" t="s">
        <v>788</v>
      </c>
    </row>
    <row r="105" spans="1:8">
      <c r="A105" s="71" t="s">
        <v>789</v>
      </c>
      <c r="B105" s="71" t="s">
        <v>790</v>
      </c>
      <c r="C105" s="71" t="s">
        <v>663</v>
      </c>
      <c r="D105" s="71" t="s">
        <v>791</v>
      </c>
      <c r="E105" s="71" t="s">
        <v>666</v>
      </c>
      <c r="F105" s="71" t="s">
        <v>666</v>
      </c>
      <c r="G105" s="71" t="s">
        <v>391</v>
      </c>
      <c r="H105" s="71" t="s">
        <v>792</v>
      </c>
    </row>
    <row r="106" spans="1:8">
      <c r="A106" s="71" t="s">
        <v>793</v>
      </c>
      <c r="B106" s="71" t="s">
        <v>794</v>
      </c>
      <c r="C106" s="71" t="s">
        <v>663</v>
      </c>
      <c r="D106" s="71" t="s">
        <v>795</v>
      </c>
      <c r="E106" s="71" t="s">
        <v>666</v>
      </c>
      <c r="F106" s="71" t="s">
        <v>666</v>
      </c>
      <c r="G106" s="71" t="s">
        <v>391</v>
      </c>
      <c r="H106" s="71" t="s">
        <v>682</v>
      </c>
    </row>
    <row r="107" spans="1:8">
      <c r="A107" s="71" t="s">
        <v>796</v>
      </c>
      <c r="B107" s="71" t="s">
        <v>797</v>
      </c>
      <c r="C107" s="71" t="s">
        <v>663</v>
      </c>
      <c r="D107" s="71" t="s">
        <v>795</v>
      </c>
      <c r="E107" s="71" t="s">
        <v>666</v>
      </c>
      <c r="F107" s="71" t="s">
        <v>666</v>
      </c>
      <c r="G107" s="71" t="s">
        <v>391</v>
      </c>
      <c r="H107" s="71" t="s">
        <v>682</v>
      </c>
    </row>
    <row r="108" spans="1:8">
      <c r="A108" s="71" t="s">
        <v>651</v>
      </c>
      <c r="B108" s="71" t="s">
        <v>798</v>
      </c>
      <c r="C108" s="71" t="s">
        <v>663</v>
      </c>
      <c r="D108" s="71" t="s">
        <v>799</v>
      </c>
      <c r="E108" s="71" t="s">
        <v>666</v>
      </c>
      <c r="F108" s="71" t="s">
        <v>666</v>
      </c>
      <c r="G108" s="71" t="s">
        <v>391</v>
      </c>
      <c r="H108" s="71" t="s">
        <v>682</v>
      </c>
    </row>
    <row r="109" spans="1:8">
      <c r="A109" s="71" t="s">
        <v>800</v>
      </c>
      <c r="B109" s="71" t="s">
        <v>801</v>
      </c>
      <c r="C109" s="71" t="s">
        <v>663</v>
      </c>
      <c r="D109" s="71" t="s">
        <v>799</v>
      </c>
      <c r="E109" s="71" t="s">
        <v>666</v>
      </c>
      <c r="F109" s="71" t="s">
        <v>666</v>
      </c>
      <c r="G109" s="71" t="s">
        <v>391</v>
      </c>
      <c r="H109" s="71" t="s">
        <v>802</v>
      </c>
    </row>
    <row r="110" spans="1:8">
      <c r="A110" s="71" t="s">
        <v>803</v>
      </c>
      <c r="B110" s="71" t="s">
        <v>804</v>
      </c>
      <c r="C110" s="71" t="s">
        <v>663</v>
      </c>
      <c r="D110" s="71" t="s">
        <v>805</v>
      </c>
      <c r="E110" s="71" t="s">
        <v>666</v>
      </c>
      <c r="F110" s="71" t="s">
        <v>666</v>
      </c>
      <c r="G110" s="71" t="s">
        <v>391</v>
      </c>
      <c r="H110" s="71" t="s">
        <v>682</v>
      </c>
    </row>
    <row r="111" spans="1:8">
      <c r="A111" s="71" t="s">
        <v>641</v>
      </c>
      <c r="B111" s="71" t="s">
        <v>806</v>
      </c>
      <c r="C111" s="71" t="s">
        <v>663</v>
      </c>
      <c r="D111" s="71" t="s">
        <v>807</v>
      </c>
      <c r="E111" s="71" t="s">
        <v>666</v>
      </c>
      <c r="F111" s="71" t="s">
        <v>666</v>
      </c>
      <c r="G111" s="71" t="s">
        <v>391</v>
      </c>
      <c r="H111" s="71" t="s">
        <v>808</v>
      </c>
    </row>
    <row r="112" spans="1:8">
      <c r="A112" s="71" t="s">
        <v>809</v>
      </c>
      <c r="B112" s="71" t="s">
        <v>810</v>
      </c>
      <c r="C112" s="71" t="s">
        <v>663</v>
      </c>
      <c r="D112" s="71" t="s">
        <v>811</v>
      </c>
      <c r="E112" s="71" t="s">
        <v>666</v>
      </c>
      <c r="F112" s="71" t="s">
        <v>666</v>
      </c>
      <c r="G112" s="71" t="s">
        <v>391</v>
      </c>
      <c r="H112" s="71" t="s">
        <v>812</v>
      </c>
    </row>
    <row r="113" spans="1:21">
      <c r="A113" s="71" t="s">
        <v>652</v>
      </c>
      <c r="B113" s="71" t="s">
        <v>813</v>
      </c>
      <c r="C113" s="71" t="s">
        <v>663</v>
      </c>
      <c r="D113" s="71" t="s">
        <v>814</v>
      </c>
      <c r="E113" s="71" t="s">
        <v>666</v>
      </c>
      <c r="F113" s="71" t="s">
        <v>666</v>
      </c>
      <c r="G113" s="71" t="s">
        <v>391</v>
      </c>
      <c r="H113" s="71" t="s">
        <v>702</v>
      </c>
    </row>
    <row r="114" spans="1:21">
      <c r="A114" s="71" t="s">
        <v>644</v>
      </c>
      <c r="B114" s="71" t="s">
        <v>815</v>
      </c>
      <c r="C114" s="71" t="s">
        <v>663</v>
      </c>
      <c r="D114" s="71" t="s">
        <v>816</v>
      </c>
      <c r="E114" s="71" t="s">
        <v>666</v>
      </c>
      <c r="F114" s="71" t="s">
        <v>666</v>
      </c>
      <c r="G114" s="71" t="s">
        <v>391</v>
      </c>
      <c r="H114" s="71" t="s">
        <v>817</v>
      </c>
    </row>
    <row r="115" ht="14.5" spans="1:21">
      <c r="A115" s="24" t="str">
        <f>HYPERLINK("https://www.tianyancha.com/company/441970624","打开天眼查，查看更多[参股控股]")</f>
        <v>打开天眼查，查看更多[参股控股]</v>
      </c>
      <c r="B115" s="2"/>
      <c r="C115" s="2"/>
      <c r="D115" s="2"/>
      <c r="E115" s="2"/>
      <c r="F115" s="2"/>
      <c r="G115" s="2"/>
      <c r="H115" s="2"/>
      <c r="I115" s="2"/>
      <c r="J115" s="2"/>
      <c r="K115" s="2"/>
      <c r="L115" s="2"/>
      <c r="M115" s="2"/>
      <c r="N115" s="2"/>
      <c r="O115" s="2"/>
      <c r="P115" s="2"/>
      <c r="Q115" s="2"/>
      <c r="R115" s="2"/>
      <c r="S115" s="2"/>
      <c r="T115" s="2"/>
    </row>
    <row r="116" spans="1:21">
      <c r="A116" s="71"/>
      <c r="B116" s="2"/>
      <c r="C116" s="2"/>
      <c r="D116" s="2"/>
      <c r="E116" s="2"/>
      <c r="F116" s="2"/>
      <c r="G116" s="2"/>
      <c r="H116" s="2"/>
      <c r="I116" s="2"/>
      <c r="J116" s="2"/>
      <c r="K116" s="2"/>
      <c r="L116" s="2"/>
      <c r="M116" s="2"/>
      <c r="N116" s="2"/>
      <c r="O116" s="2"/>
      <c r="P116" s="2"/>
      <c r="Q116" s="2"/>
      <c r="R116" s="2"/>
      <c r="S116" s="2"/>
      <c r="T116" s="2"/>
    </row>
    <row r="117" ht="15.5" spans="1:21">
      <c r="A117" s="70" t="s">
        <v>818</v>
      </c>
      <c r="B117" s="2"/>
      <c r="C117" s="2"/>
      <c r="D117" s="2"/>
      <c r="E117" s="2"/>
      <c r="F117" s="2"/>
      <c r="G117" s="2"/>
      <c r="H117" s="2"/>
      <c r="I117" s="2"/>
      <c r="J117" s="2"/>
      <c r="K117" s="2"/>
      <c r="L117" s="2"/>
      <c r="M117" s="2"/>
      <c r="N117" s="2"/>
      <c r="O117" s="2"/>
      <c r="P117" s="2"/>
      <c r="Q117" s="2"/>
      <c r="R117" s="2"/>
      <c r="S117" s="2"/>
      <c r="T117" s="2"/>
    </row>
    <row r="118" ht="15.5" spans="1:21">
      <c r="A118" s="11" t="s">
        <v>46</v>
      </c>
      <c r="B118" s="11" t="s">
        <v>121</v>
      </c>
      <c r="C118" s="11" t="s">
        <v>819</v>
      </c>
      <c r="D118" s="11" t="s">
        <v>122</v>
      </c>
      <c r="E118" s="11" t="s">
        <v>53</v>
      </c>
      <c r="F118" s="11" t="s">
        <v>126</v>
      </c>
      <c r="G118" s="11" t="s">
        <v>124</v>
      </c>
      <c r="H118" s="11" t="s">
        <v>125</v>
      </c>
      <c r="I118" s="2"/>
      <c r="J118" s="2"/>
      <c r="K118" s="2"/>
      <c r="L118" s="2"/>
      <c r="M118" s="2"/>
      <c r="N118" s="2"/>
      <c r="O118" s="2"/>
      <c r="P118" s="2"/>
      <c r="Q118" s="2"/>
      <c r="R118" s="2"/>
      <c r="S118" s="2"/>
      <c r="T118" s="2"/>
      <c r="U118" s="2"/>
    </row>
    <row r="119" spans="1:21">
      <c r="A119" s="71" t="s">
        <v>633</v>
      </c>
      <c r="B119" s="71" t="s">
        <v>129</v>
      </c>
      <c r="C119" s="71" t="s">
        <v>820</v>
      </c>
      <c r="D119" s="71" t="s">
        <v>130</v>
      </c>
      <c r="E119" s="71" t="s">
        <v>131</v>
      </c>
      <c r="F119" s="71" t="s">
        <v>133</v>
      </c>
      <c r="G119" s="71" t="s">
        <v>132</v>
      </c>
      <c r="H119" s="71" t="s">
        <v>133</v>
      </c>
      <c r="I119" s="2"/>
      <c r="J119" s="2"/>
      <c r="K119" s="2"/>
      <c r="L119" s="2"/>
      <c r="M119" s="2"/>
      <c r="N119" s="2"/>
      <c r="O119" s="2"/>
      <c r="P119" s="2"/>
      <c r="Q119" s="2"/>
      <c r="R119" s="2"/>
      <c r="S119" s="2"/>
      <c r="T119" s="2"/>
      <c r="U119" s="2"/>
    </row>
    <row r="120" spans="1:21">
      <c r="A120" s="71" t="s">
        <v>233</v>
      </c>
      <c r="B120" s="71" t="s">
        <v>135</v>
      </c>
      <c r="C120" s="71" t="s">
        <v>67</v>
      </c>
      <c r="D120" s="71" t="s">
        <v>130</v>
      </c>
      <c r="E120" s="71" t="s">
        <v>136</v>
      </c>
      <c r="F120" s="71" t="s">
        <v>138</v>
      </c>
      <c r="G120" s="71" t="s">
        <v>137</v>
      </c>
      <c r="H120" s="71" t="s">
        <v>138</v>
      </c>
    </row>
    <row r="121" spans="1:21">
      <c r="A121" s="71" t="s">
        <v>636</v>
      </c>
      <c r="B121" s="71" t="s">
        <v>139</v>
      </c>
      <c r="C121" s="71" t="s">
        <v>67</v>
      </c>
      <c r="D121" s="71" t="s">
        <v>130</v>
      </c>
      <c r="E121" s="71" t="s">
        <v>140</v>
      </c>
      <c r="F121" s="71" t="s">
        <v>143</v>
      </c>
      <c r="G121" s="71" t="s">
        <v>141</v>
      </c>
      <c r="H121" s="71" t="s">
        <v>142</v>
      </c>
    </row>
    <row r="122" spans="1:21">
      <c r="A122" s="71" t="s">
        <v>638</v>
      </c>
      <c r="B122" s="71" t="s">
        <v>4</v>
      </c>
      <c r="C122" s="71" t="s">
        <v>821</v>
      </c>
      <c r="D122" s="71" t="s">
        <v>144</v>
      </c>
      <c r="E122" s="71" t="s">
        <v>145</v>
      </c>
      <c r="F122" s="71" t="s">
        <v>133</v>
      </c>
      <c r="G122" s="71" t="s">
        <v>60</v>
      </c>
      <c r="H122" s="71" t="s">
        <v>133</v>
      </c>
    </row>
    <row r="123" spans="1:21">
      <c r="A123" s="71" t="s">
        <v>640</v>
      </c>
      <c r="B123" s="71" t="s">
        <v>146</v>
      </c>
      <c r="C123" s="71" t="s">
        <v>67</v>
      </c>
      <c r="D123" s="71" t="s">
        <v>130</v>
      </c>
      <c r="E123" s="71" t="s">
        <v>147</v>
      </c>
      <c r="F123" s="71" t="s">
        <v>138</v>
      </c>
      <c r="G123" s="71" t="s">
        <v>148</v>
      </c>
      <c r="H123" s="71" t="s">
        <v>138</v>
      </c>
    </row>
    <row r="124" spans="1:21">
      <c r="A124" s="71" t="s">
        <v>642</v>
      </c>
      <c r="B124" s="71" t="s">
        <v>149</v>
      </c>
      <c r="C124" s="71" t="s">
        <v>67</v>
      </c>
      <c r="D124" s="71" t="s">
        <v>130</v>
      </c>
      <c r="E124" s="71" t="s">
        <v>150</v>
      </c>
      <c r="F124" s="71" t="s">
        <v>138</v>
      </c>
      <c r="G124" s="71" t="s">
        <v>148</v>
      </c>
      <c r="H124" s="71" t="s">
        <v>138</v>
      </c>
    </row>
    <row r="125" spans="1:21">
      <c r="A125" s="71" t="s">
        <v>643</v>
      </c>
      <c r="B125" s="71" t="s">
        <v>151</v>
      </c>
      <c r="C125" s="71" t="s">
        <v>67</v>
      </c>
      <c r="D125" s="71" t="s">
        <v>130</v>
      </c>
      <c r="E125" s="71" t="s">
        <v>152</v>
      </c>
      <c r="F125" s="71" t="s">
        <v>155</v>
      </c>
      <c r="G125" s="71" t="s">
        <v>153</v>
      </c>
      <c r="H125" s="71" t="s">
        <v>154</v>
      </c>
    </row>
    <row r="126" spans="1:21">
      <c r="A126" s="71" t="s">
        <v>645</v>
      </c>
      <c r="B126" s="71" t="s">
        <v>156</v>
      </c>
      <c r="C126" s="71" t="s">
        <v>67</v>
      </c>
      <c r="D126" s="71" t="s">
        <v>130</v>
      </c>
      <c r="E126" s="71" t="s">
        <v>157</v>
      </c>
      <c r="F126" s="71" t="s">
        <v>133</v>
      </c>
      <c r="G126" s="71" t="s">
        <v>158</v>
      </c>
      <c r="H126" s="71" t="s">
        <v>133</v>
      </c>
    </row>
    <row r="127" spans="1:21">
      <c r="A127" s="71" t="s">
        <v>208</v>
      </c>
      <c r="B127" s="71" t="s">
        <v>159</v>
      </c>
      <c r="C127" s="71" t="s">
        <v>67</v>
      </c>
      <c r="D127" s="71" t="s">
        <v>130</v>
      </c>
      <c r="E127" s="71" t="s">
        <v>160</v>
      </c>
      <c r="F127" s="71" t="s">
        <v>133</v>
      </c>
      <c r="G127" s="71" t="s">
        <v>161</v>
      </c>
      <c r="H127" s="71" t="s">
        <v>133</v>
      </c>
    </row>
    <row r="128" spans="1:21">
      <c r="A128" s="71" t="s">
        <v>685</v>
      </c>
      <c r="B128" s="71" t="s">
        <v>162</v>
      </c>
      <c r="C128" s="71" t="s">
        <v>67</v>
      </c>
      <c r="D128" s="71" t="s">
        <v>130</v>
      </c>
      <c r="E128" s="71" t="s">
        <v>163</v>
      </c>
      <c r="F128" s="71" t="s">
        <v>166</v>
      </c>
      <c r="G128" s="71" t="s">
        <v>164</v>
      </c>
      <c r="H128" s="71" t="s">
        <v>165</v>
      </c>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ht="15.5" spans="1:20">
      <c r="A131" s="70" t="s">
        <v>822</v>
      </c>
      <c r="B131" s="2"/>
      <c r="C131" s="2"/>
      <c r="D131" s="2"/>
      <c r="E131" s="2"/>
      <c r="F131" s="2"/>
      <c r="G131" s="2"/>
      <c r="H131" s="2"/>
      <c r="I131" s="2"/>
      <c r="J131" s="2"/>
      <c r="K131" s="2"/>
      <c r="L131" s="2"/>
      <c r="M131" s="2"/>
      <c r="N131" s="2"/>
      <c r="O131" s="2"/>
      <c r="P131" s="2"/>
      <c r="Q131" s="2"/>
      <c r="R131" s="2"/>
      <c r="S131" s="2"/>
      <c r="T131" s="2"/>
    </row>
    <row r="132" ht="15.5" spans="1:20">
      <c r="A132" s="11" t="s">
        <v>46</v>
      </c>
      <c r="B132" s="11" t="s">
        <v>121</v>
      </c>
      <c r="C132" s="18" t="s">
        <v>823</v>
      </c>
      <c r="D132" s="11" t="s">
        <v>122</v>
      </c>
      <c r="E132" s="11" t="s">
        <v>53</v>
      </c>
      <c r="F132" s="11" t="s">
        <v>126</v>
      </c>
      <c r="G132" s="11" t="s">
        <v>824</v>
      </c>
      <c r="H132" s="11" t="s">
        <v>125</v>
      </c>
      <c r="I132" s="2"/>
      <c r="J132" s="2"/>
      <c r="K132" s="2"/>
      <c r="L132" s="2"/>
      <c r="M132" s="2"/>
      <c r="N132" s="2"/>
      <c r="O132" s="2"/>
      <c r="P132" s="2"/>
      <c r="Q132" s="2"/>
      <c r="R132" s="2"/>
      <c r="S132" s="2"/>
      <c r="T132" s="2"/>
    </row>
    <row r="133" spans="1:20">
      <c r="A133" s="71" t="s">
        <v>633</v>
      </c>
      <c r="B133" s="71" t="s">
        <v>129</v>
      </c>
      <c r="C133" s="71" t="s">
        <v>820</v>
      </c>
      <c r="D133" s="71" t="s">
        <v>825</v>
      </c>
      <c r="E133" s="71" t="s">
        <v>131</v>
      </c>
      <c r="F133" s="71" t="s">
        <v>133</v>
      </c>
      <c r="G133" s="71" t="s">
        <v>826</v>
      </c>
      <c r="H133" s="71" t="s">
        <v>133</v>
      </c>
      <c r="I133" s="2"/>
      <c r="J133" s="2"/>
      <c r="K133" s="2"/>
      <c r="L133" s="2"/>
      <c r="M133" s="2"/>
      <c r="N133" s="2"/>
      <c r="O133" s="2"/>
      <c r="P133" s="2"/>
      <c r="Q133" s="2"/>
      <c r="R133" s="2"/>
      <c r="S133" s="2"/>
      <c r="T133" s="2"/>
    </row>
    <row r="134" spans="1:20">
      <c r="A134" s="71" t="s">
        <v>233</v>
      </c>
      <c r="B134" s="71" t="s">
        <v>135</v>
      </c>
      <c r="C134" s="71" t="s">
        <v>67</v>
      </c>
      <c r="D134" s="71" t="s">
        <v>825</v>
      </c>
      <c r="E134" s="71" t="s">
        <v>136</v>
      </c>
      <c r="F134" s="71" t="s">
        <v>138</v>
      </c>
      <c r="G134" s="71" t="s">
        <v>827</v>
      </c>
      <c r="H134" s="71" t="s">
        <v>138</v>
      </c>
    </row>
    <row r="135" spans="1:20">
      <c r="A135" s="71" t="s">
        <v>636</v>
      </c>
      <c r="B135" s="71" t="s">
        <v>139</v>
      </c>
      <c r="C135" s="71" t="s">
        <v>67</v>
      </c>
      <c r="D135" s="71" t="s">
        <v>825</v>
      </c>
      <c r="E135" s="71" t="s">
        <v>140</v>
      </c>
      <c r="F135" s="71" t="s">
        <v>143</v>
      </c>
      <c r="G135" s="71" t="s">
        <v>828</v>
      </c>
      <c r="H135" s="71" t="s">
        <v>142</v>
      </c>
    </row>
    <row r="136" spans="1:20">
      <c r="A136" s="71" t="s">
        <v>638</v>
      </c>
      <c r="B136" s="71" t="s">
        <v>149</v>
      </c>
      <c r="C136" s="71" t="s">
        <v>67</v>
      </c>
      <c r="D136" s="71" t="s">
        <v>825</v>
      </c>
      <c r="E136" s="71" t="s">
        <v>150</v>
      </c>
      <c r="F136" s="71" t="s">
        <v>829</v>
      </c>
      <c r="G136" s="71" t="s">
        <v>830</v>
      </c>
      <c r="H136" s="71" t="s">
        <v>831</v>
      </c>
    </row>
    <row r="137" spans="1:20">
      <c r="A137" s="71" t="s">
        <v>640</v>
      </c>
      <c r="B137" s="71" t="s">
        <v>146</v>
      </c>
      <c r="C137" s="71" t="s">
        <v>67</v>
      </c>
      <c r="D137" s="71" t="s">
        <v>825</v>
      </c>
      <c r="E137" s="71" t="s">
        <v>147</v>
      </c>
      <c r="F137" s="71" t="s">
        <v>138</v>
      </c>
      <c r="G137" s="71" t="s">
        <v>148</v>
      </c>
      <c r="H137" s="71" t="s">
        <v>138</v>
      </c>
    </row>
    <row r="138" spans="1:20">
      <c r="A138" s="71" t="s">
        <v>642</v>
      </c>
      <c r="B138" s="71" t="s">
        <v>151</v>
      </c>
      <c r="C138" s="71" t="s">
        <v>67</v>
      </c>
      <c r="D138" s="71" t="s">
        <v>825</v>
      </c>
      <c r="E138" s="71" t="s">
        <v>152</v>
      </c>
      <c r="F138" s="71" t="s">
        <v>155</v>
      </c>
      <c r="G138" s="71" t="s">
        <v>832</v>
      </c>
      <c r="H138" s="71" t="s">
        <v>154</v>
      </c>
    </row>
    <row r="139" spans="1:20">
      <c r="A139" s="71" t="s">
        <v>643</v>
      </c>
      <c r="B139" s="71" t="s">
        <v>156</v>
      </c>
      <c r="C139" s="71" t="s">
        <v>67</v>
      </c>
      <c r="D139" s="71" t="s">
        <v>825</v>
      </c>
      <c r="E139" s="71" t="s">
        <v>157</v>
      </c>
      <c r="F139" s="71" t="s">
        <v>133</v>
      </c>
      <c r="G139" s="71" t="s">
        <v>153</v>
      </c>
      <c r="H139" s="71" t="s">
        <v>133</v>
      </c>
    </row>
    <row r="140" spans="1:20">
      <c r="A140" s="71" t="s">
        <v>645</v>
      </c>
      <c r="B140" s="71" t="s">
        <v>159</v>
      </c>
      <c r="C140" s="71" t="s">
        <v>67</v>
      </c>
      <c r="D140" s="71" t="s">
        <v>825</v>
      </c>
      <c r="E140" s="71" t="s">
        <v>160</v>
      </c>
      <c r="F140" s="71" t="s">
        <v>133</v>
      </c>
      <c r="G140" s="71" t="s">
        <v>833</v>
      </c>
      <c r="H140" s="71" t="s">
        <v>133</v>
      </c>
    </row>
    <row r="141" spans="1:20">
      <c r="A141" s="71" t="s">
        <v>208</v>
      </c>
      <c r="B141" s="71" t="s">
        <v>162</v>
      </c>
      <c r="C141" s="71" t="s">
        <v>67</v>
      </c>
      <c r="D141" s="71" t="s">
        <v>825</v>
      </c>
      <c r="E141" s="71" t="s">
        <v>163</v>
      </c>
      <c r="F141" s="71" t="s">
        <v>166</v>
      </c>
      <c r="G141" s="71" t="s">
        <v>164</v>
      </c>
      <c r="H141" s="71" t="s">
        <v>165</v>
      </c>
    </row>
    <row r="142" spans="1:20">
      <c r="A142" s="71" t="s">
        <v>685</v>
      </c>
      <c r="B142" s="71" t="s">
        <v>834</v>
      </c>
      <c r="C142" s="71" t="s">
        <v>67</v>
      </c>
      <c r="D142" s="71" t="s">
        <v>825</v>
      </c>
      <c r="E142" s="71" t="s">
        <v>835</v>
      </c>
      <c r="F142" s="71" t="s">
        <v>138</v>
      </c>
      <c r="G142" s="71" t="s">
        <v>836</v>
      </c>
      <c r="H142" s="71" t="s">
        <v>138</v>
      </c>
    </row>
    <row r="143" spans="1:20">
      <c r="A143" s="2"/>
      <c r="B143" s="2"/>
      <c r="C143" s="2"/>
      <c r="D143" s="2"/>
      <c r="E143" s="2"/>
      <c r="F143" s="2"/>
      <c r="G143" s="2"/>
      <c r="H143" s="2"/>
      <c r="I143" s="2"/>
      <c r="J143" s="2"/>
      <c r="K143" s="2"/>
      <c r="L143" s="2"/>
      <c r="M143" s="2"/>
      <c r="N143" s="2"/>
      <c r="O143" s="2"/>
      <c r="P143" s="2"/>
      <c r="Q143" s="2"/>
      <c r="R143" s="2"/>
      <c r="S143" s="2"/>
      <c r="T143" s="2"/>
    </row>
    <row r="144" ht="19" customHeight="1" spans="1:20">
      <c r="A144" s="2"/>
      <c r="B144" s="2"/>
      <c r="C144" s="2"/>
      <c r="D144" s="2"/>
      <c r="E144" s="2"/>
      <c r="F144" s="2"/>
      <c r="G144" s="2"/>
      <c r="H144" s="2"/>
      <c r="I144" s="2"/>
      <c r="J144" s="2"/>
      <c r="K144" s="2"/>
      <c r="L144" s="2"/>
      <c r="M144" s="2"/>
      <c r="N144" s="2"/>
      <c r="O144" s="2"/>
      <c r="P144" s="2"/>
      <c r="Q144" s="2"/>
      <c r="R144" s="2"/>
      <c r="S144" s="2"/>
      <c r="T144" s="2"/>
    </row>
    <row r="145" ht="19" customHeight="1" spans="1:21">
      <c r="A145" s="70" t="s">
        <v>837</v>
      </c>
      <c r="B145" s="79"/>
      <c r="C145" s="79"/>
      <c r="D145" s="79"/>
      <c r="E145" s="79"/>
      <c r="F145" s="79"/>
      <c r="G145" s="80"/>
      <c r="H145" s="80"/>
      <c r="I145" s="80"/>
      <c r="J145" s="80"/>
      <c r="K145" s="80"/>
      <c r="L145" s="80"/>
      <c r="M145" s="80"/>
      <c r="N145" s="80"/>
      <c r="O145" s="80"/>
      <c r="P145" s="80"/>
      <c r="Q145" s="80"/>
      <c r="R145" s="80"/>
      <c r="S145" s="80"/>
      <c r="T145" s="80"/>
      <c r="U145" s="81"/>
    </row>
    <row r="146" ht="19" customHeight="1" spans="1:21">
      <c r="A146" s="11" t="s">
        <v>13</v>
      </c>
      <c r="B146" s="71" t="s">
        <v>14</v>
      </c>
      <c r="C146" s="11" t="s">
        <v>555</v>
      </c>
      <c r="D146" s="71" t="s">
        <v>556</v>
      </c>
      <c r="E146" s="11" t="s">
        <v>838</v>
      </c>
      <c r="F146" s="71" t="s">
        <v>67</v>
      </c>
      <c r="G146" s="80"/>
      <c r="H146" s="80"/>
      <c r="I146" s="80"/>
      <c r="J146" s="80"/>
      <c r="K146" s="80"/>
      <c r="L146" s="80"/>
      <c r="M146" s="80"/>
      <c r="N146" s="80"/>
      <c r="O146" s="80"/>
      <c r="P146" s="80"/>
      <c r="Q146" s="80"/>
      <c r="R146" s="80"/>
      <c r="S146" s="80"/>
      <c r="T146" s="80"/>
      <c r="U146" s="81"/>
    </row>
    <row r="147" ht="19" customHeight="1" spans="1:21">
      <c r="A147" s="11" t="s">
        <v>839</v>
      </c>
      <c r="B147" s="71" t="s">
        <v>840</v>
      </c>
      <c r="C147" s="11" t="s">
        <v>841</v>
      </c>
      <c r="D147" s="71" t="s">
        <v>67</v>
      </c>
      <c r="E147" s="11" t="s">
        <v>842</v>
      </c>
      <c r="F147" s="71" t="s">
        <v>67</v>
      </c>
      <c r="G147" s="80"/>
      <c r="H147" s="80"/>
      <c r="I147" s="80"/>
      <c r="J147" s="80"/>
      <c r="K147" s="80"/>
      <c r="L147" s="80"/>
      <c r="M147" s="80"/>
      <c r="N147" s="80"/>
      <c r="O147" s="80"/>
      <c r="P147" s="80"/>
      <c r="Q147" s="80"/>
      <c r="R147" s="80"/>
      <c r="S147" s="80"/>
      <c r="T147" s="80"/>
      <c r="U147" s="81"/>
    </row>
    <row r="148" ht="19" customHeight="1" spans="1:21">
      <c r="A148" s="11" t="s">
        <v>843</v>
      </c>
      <c r="B148" s="71" t="s">
        <v>844</v>
      </c>
      <c r="C148" s="11" t="s">
        <v>845</v>
      </c>
      <c r="D148" s="71" t="s">
        <v>67</v>
      </c>
      <c r="E148" s="11" t="s">
        <v>846</v>
      </c>
      <c r="F148" s="71" t="s">
        <v>67</v>
      </c>
      <c r="G148" s="80"/>
      <c r="H148" s="80"/>
      <c r="I148" s="80"/>
      <c r="J148" s="80"/>
      <c r="K148" s="80"/>
      <c r="L148" s="80"/>
      <c r="M148" s="80"/>
      <c r="N148" s="80"/>
      <c r="O148" s="80"/>
      <c r="P148" s="80"/>
      <c r="Q148" s="80"/>
      <c r="R148" s="80"/>
      <c r="S148" s="80"/>
      <c r="T148" s="80"/>
      <c r="U148" s="81"/>
    </row>
    <row r="149" ht="19" customHeight="1" spans="1:21">
      <c r="A149" s="11" t="s">
        <v>847</v>
      </c>
      <c r="B149" s="71" t="s">
        <v>67</v>
      </c>
      <c r="C149" s="11" t="s">
        <v>848</v>
      </c>
      <c r="D149" s="71" t="s">
        <v>849</v>
      </c>
      <c r="E149" s="11" t="s">
        <v>850</v>
      </c>
      <c r="F149" s="71" t="s">
        <v>851</v>
      </c>
      <c r="G149" s="80"/>
      <c r="H149" s="80"/>
      <c r="I149" s="80"/>
      <c r="J149" s="80"/>
      <c r="K149" s="80"/>
      <c r="L149" s="80"/>
      <c r="M149" s="80"/>
      <c r="N149" s="80"/>
      <c r="O149" s="80"/>
      <c r="P149" s="80"/>
      <c r="Q149" s="80"/>
      <c r="R149" s="80"/>
      <c r="S149" s="80"/>
      <c r="T149" s="80"/>
      <c r="U149" s="81"/>
    </row>
    <row r="150" ht="19" customHeight="1" spans="1:21">
      <c r="A150" s="11" t="s">
        <v>852</v>
      </c>
      <c r="B150" s="71" t="s">
        <v>67</v>
      </c>
      <c r="C150" s="11" t="s">
        <v>853</v>
      </c>
      <c r="D150" s="71" t="s">
        <v>67</v>
      </c>
      <c r="E150" s="11" t="s">
        <v>854</v>
      </c>
      <c r="F150" s="71" t="s">
        <v>67</v>
      </c>
      <c r="G150" s="80"/>
      <c r="H150" s="80"/>
      <c r="I150" s="80"/>
      <c r="J150" s="80"/>
      <c r="K150" s="80"/>
      <c r="L150" s="80"/>
      <c r="M150" s="80"/>
      <c r="N150" s="80"/>
      <c r="O150" s="80"/>
      <c r="P150" s="80"/>
      <c r="Q150" s="80"/>
      <c r="R150" s="80"/>
      <c r="S150" s="80"/>
      <c r="T150" s="80"/>
      <c r="U150" s="81"/>
    </row>
    <row r="151" ht="19" customHeight="1" spans="1:21">
      <c r="A151" s="11" t="s">
        <v>855</v>
      </c>
      <c r="B151" s="71" t="s">
        <v>67</v>
      </c>
      <c r="C151" s="11" t="s">
        <v>856</v>
      </c>
      <c r="D151" s="71" t="s">
        <v>857</v>
      </c>
      <c r="E151" s="11" t="s">
        <v>858</v>
      </c>
      <c r="F151" s="71" t="s">
        <v>67</v>
      </c>
      <c r="G151" s="80"/>
      <c r="H151" s="80"/>
      <c r="I151" s="80"/>
      <c r="J151" s="80"/>
      <c r="K151" s="80"/>
      <c r="L151" s="80"/>
      <c r="M151" s="80"/>
      <c r="N151" s="80"/>
      <c r="O151" s="80"/>
      <c r="P151" s="80"/>
      <c r="Q151" s="80"/>
      <c r="R151" s="80"/>
      <c r="S151" s="80"/>
      <c r="T151" s="80"/>
      <c r="U151" s="81"/>
    </row>
    <row r="152" ht="19" customHeight="1" spans="1:21">
      <c r="A152" s="11" t="s">
        <v>859</v>
      </c>
      <c r="B152" s="71" t="s">
        <v>67</v>
      </c>
      <c r="C152" s="11" t="s">
        <v>860</v>
      </c>
      <c r="D152" s="71" t="s">
        <v>857</v>
      </c>
      <c r="E152" s="11" t="s">
        <v>861</v>
      </c>
      <c r="F152" s="71" t="s">
        <v>862</v>
      </c>
      <c r="G152" s="80"/>
      <c r="H152" s="80"/>
      <c r="I152" s="80"/>
      <c r="J152" s="80"/>
      <c r="K152" s="80"/>
      <c r="L152" s="80"/>
      <c r="M152" s="80"/>
      <c r="N152" s="80"/>
      <c r="O152" s="80"/>
      <c r="P152" s="80"/>
      <c r="Q152" s="80"/>
      <c r="R152" s="80"/>
      <c r="S152" s="80"/>
      <c r="T152" s="80"/>
      <c r="U152" s="81"/>
    </row>
    <row r="153" ht="19" customHeight="1" spans="1:21">
      <c r="A153" s="11" t="s">
        <v>863</v>
      </c>
      <c r="B153" s="71" t="s">
        <v>864</v>
      </c>
      <c r="C153" s="71"/>
      <c r="D153" s="71"/>
      <c r="E153" s="71"/>
      <c r="F153" s="71"/>
      <c r="G153" s="80"/>
      <c r="H153" s="80"/>
      <c r="I153" s="80"/>
      <c r="J153" s="80"/>
      <c r="K153" s="80"/>
      <c r="L153" s="80"/>
      <c r="M153" s="80"/>
      <c r="N153" s="80"/>
      <c r="O153" s="80"/>
      <c r="P153" s="80"/>
      <c r="Q153" s="80"/>
      <c r="R153" s="80"/>
      <c r="S153" s="80"/>
      <c r="T153" s="80"/>
      <c r="U153" s="81"/>
    </row>
    <row r="154" ht="19" customHeight="1" spans="1:21">
      <c r="A154" s="2"/>
      <c r="B154" s="2"/>
      <c r="C154" s="2"/>
      <c r="D154" s="2"/>
      <c r="E154" s="2"/>
      <c r="F154" s="2"/>
      <c r="G154" s="2"/>
      <c r="H154" s="2"/>
      <c r="I154" s="2"/>
      <c r="J154" s="2"/>
      <c r="K154" s="2"/>
      <c r="L154" s="2"/>
      <c r="M154" s="2"/>
      <c r="N154" s="2"/>
      <c r="O154" s="2"/>
      <c r="P154" s="2"/>
      <c r="Q154" s="2"/>
      <c r="R154" s="2"/>
      <c r="S154" s="2"/>
      <c r="T154" s="2"/>
    </row>
    <row r="155" ht="19" customHeight="1" spans="1:21">
      <c r="A155" s="2"/>
      <c r="B155" s="2"/>
      <c r="C155" s="2"/>
      <c r="D155" s="2"/>
      <c r="E155" s="2"/>
      <c r="F155" s="2"/>
      <c r="G155" s="2"/>
      <c r="H155" s="2"/>
      <c r="I155" s="2"/>
      <c r="J155" s="2"/>
      <c r="K155" s="2"/>
      <c r="L155" s="2"/>
      <c r="M155" s="2"/>
      <c r="N155" s="2"/>
      <c r="O155" s="2"/>
      <c r="P155" s="2"/>
      <c r="Q155" s="2"/>
      <c r="R155" s="2"/>
      <c r="S155" s="2"/>
      <c r="T155" s="2"/>
    </row>
    <row r="156" ht="15.5" spans="1:21">
      <c r="A156" s="70" t="s">
        <v>865</v>
      </c>
      <c r="B156" s="2"/>
      <c r="C156" s="2"/>
      <c r="D156" s="2"/>
      <c r="E156" s="2"/>
      <c r="F156" s="2"/>
      <c r="G156" s="2"/>
      <c r="H156" s="2"/>
      <c r="I156" s="2"/>
      <c r="J156" s="2"/>
      <c r="K156" s="2"/>
      <c r="L156" s="2"/>
      <c r="M156" s="2"/>
      <c r="N156" s="2"/>
      <c r="O156" s="2"/>
      <c r="P156" s="2"/>
      <c r="Q156" s="2"/>
      <c r="R156" s="2"/>
      <c r="S156" s="2"/>
      <c r="T156" s="2"/>
    </row>
    <row r="157" ht="15.5" spans="1:21">
      <c r="A157" s="11" t="s">
        <v>46</v>
      </c>
      <c r="B157" s="11" t="s">
        <v>866</v>
      </c>
      <c r="C157" s="11" t="s">
        <v>566</v>
      </c>
      <c r="D157" s="11" t="s">
        <v>867</v>
      </c>
      <c r="E157" s="11" t="s">
        <v>130</v>
      </c>
      <c r="F157" s="11" t="s">
        <v>868</v>
      </c>
      <c r="G157" s="11" t="s">
        <v>869</v>
      </c>
      <c r="H157" s="11" t="s">
        <v>870</v>
      </c>
      <c r="I157" s="11" t="s">
        <v>871</v>
      </c>
      <c r="J157" s="11" t="s">
        <v>872</v>
      </c>
      <c r="K157" s="2"/>
      <c r="L157" s="2"/>
      <c r="M157" s="2"/>
      <c r="N157" s="2"/>
      <c r="O157" s="2"/>
      <c r="P157" s="2"/>
      <c r="Q157" s="2"/>
      <c r="R157" s="2"/>
      <c r="S157" s="2"/>
      <c r="T157" s="2"/>
    </row>
    <row r="158" spans="1:21">
      <c r="A158" s="71" t="s">
        <v>633</v>
      </c>
      <c r="B158" s="71" t="s">
        <v>873</v>
      </c>
      <c r="C158" s="71" t="s">
        <v>874</v>
      </c>
      <c r="D158" s="71" t="s">
        <v>874</v>
      </c>
      <c r="E158" s="71" t="s">
        <v>875</v>
      </c>
      <c r="F158" s="71" t="s">
        <v>876</v>
      </c>
      <c r="G158" s="71" t="s">
        <v>67</v>
      </c>
      <c r="H158" s="71" t="s">
        <v>67</v>
      </c>
      <c r="I158" s="71" t="s">
        <v>67</v>
      </c>
      <c r="J158" s="71" t="s">
        <v>877</v>
      </c>
      <c r="K158" s="2"/>
      <c r="L158" s="2"/>
      <c r="M158" s="2"/>
      <c r="N158" s="2"/>
      <c r="O158" s="2"/>
      <c r="P158" s="2"/>
      <c r="Q158" s="2"/>
      <c r="R158" s="2"/>
      <c r="S158" s="2"/>
      <c r="T158" s="2"/>
    </row>
    <row r="159" spans="1:21">
      <c r="A159" s="71"/>
      <c r="B159" s="71"/>
      <c r="C159" s="71"/>
      <c r="D159" s="71"/>
      <c r="E159" s="71"/>
      <c r="F159" s="71"/>
      <c r="G159" s="71"/>
      <c r="H159" s="71"/>
      <c r="I159" s="71"/>
      <c r="J159" s="71"/>
      <c r="K159" s="2"/>
      <c r="L159" s="2"/>
      <c r="M159" s="2"/>
      <c r="N159" s="2"/>
      <c r="O159" s="2"/>
      <c r="P159" s="2"/>
      <c r="Q159" s="2"/>
      <c r="R159" s="2"/>
      <c r="S159" s="2"/>
      <c r="T159" s="2"/>
    </row>
    <row r="160" spans="1:21">
      <c r="A160" s="2"/>
      <c r="B160" s="2"/>
      <c r="C160" s="2"/>
      <c r="D160" s="2"/>
      <c r="E160" s="2"/>
      <c r="F160" s="2"/>
      <c r="G160" s="2"/>
      <c r="H160" s="2"/>
      <c r="I160" s="2"/>
      <c r="J160" s="2"/>
      <c r="K160" s="2"/>
      <c r="L160" s="2"/>
      <c r="M160" s="2"/>
      <c r="N160" s="2"/>
      <c r="O160" s="2"/>
      <c r="P160" s="2"/>
      <c r="Q160" s="2"/>
      <c r="R160" s="2"/>
      <c r="S160" s="2"/>
      <c r="T160" s="2"/>
    </row>
    <row r="161" ht="15.5" spans="1:20">
      <c r="A161" s="70" t="s">
        <v>878</v>
      </c>
      <c r="B161" s="71" t="s">
        <v>879</v>
      </c>
      <c r="C161" s="2"/>
      <c r="D161" s="2"/>
      <c r="E161" s="2"/>
      <c r="F161" s="2"/>
      <c r="G161" s="2"/>
      <c r="H161" s="2"/>
      <c r="I161" s="2"/>
      <c r="J161" s="2"/>
      <c r="K161" s="2"/>
      <c r="L161" s="2"/>
      <c r="M161" s="2"/>
      <c r="N161" s="2"/>
      <c r="O161" s="2"/>
      <c r="P161" s="2"/>
      <c r="Q161" s="2"/>
      <c r="R161" s="2"/>
      <c r="S161" s="2"/>
      <c r="T161" s="2"/>
    </row>
    <row r="162" ht="15.5" spans="1:20">
      <c r="A162" s="11" t="s">
        <v>46</v>
      </c>
      <c r="B162" s="11" t="s">
        <v>880</v>
      </c>
      <c r="C162" s="11" t="s">
        <v>872</v>
      </c>
      <c r="D162" s="11" t="s">
        <v>881</v>
      </c>
      <c r="E162" s="11" t="s">
        <v>882</v>
      </c>
      <c r="F162" s="11" t="s">
        <v>883</v>
      </c>
      <c r="G162" s="2"/>
      <c r="H162" s="2"/>
      <c r="I162" s="2"/>
      <c r="J162" s="2"/>
      <c r="K162" s="2"/>
      <c r="L162" s="2"/>
      <c r="M162" s="2"/>
      <c r="N162" s="2"/>
      <c r="O162" s="2"/>
      <c r="P162" s="2"/>
      <c r="Q162" s="2"/>
      <c r="R162" s="2"/>
      <c r="S162" s="2"/>
      <c r="T162" s="2"/>
    </row>
    <row r="163" spans="1:20">
      <c r="A163" s="71" t="s">
        <v>633</v>
      </c>
      <c r="B163" s="71" t="s">
        <v>884</v>
      </c>
      <c r="C163" s="71" t="s">
        <v>885</v>
      </c>
      <c r="D163" s="71" t="s">
        <v>874</v>
      </c>
      <c r="E163" s="71" t="s">
        <v>875</v>
      </c>
      <c r="F163" s="71" t="s">
        <v>876</v>
      </c>
      <c r="G163" s="2"/>
      <c r="H163" s="2"/>
      <c r="I163" s="2"/>
      <c r="J163" s="2"/>
      <c r="K163" s="2"/>
      <c r="L163" s="2"/>
      <c r="M163" s="2"/>
      <c r="N163" s="2"/>
      <c r="O163" s="2"/>
      <c r="P163" s="2"/>
      <c r="Q163" s="2"/>
      <c r="R163" s="2"/>
      <c r="S163" s="2"/>
      <c r="T163" s="2"/>
    </row>
    <row r="164" spans="1:20">
      <c r="A164" s="71" t="s">
        <v>233</v>
      </c>
      <c r="B164" s="71" t="s">
        <v>886</v>
      </c>
      <c r="C164" s="71" t="s">
        <v>885</v>
      </c>
      <c r="D164" s="71" t="s">
        <v>874</v>
      </c>
      <c r="E164" s="71" t="s">
        <v>875</v>
      </c>
      <c r="F164" s="71" t="s">
        <v>887</v>
      </c>
    </row>
    <row r="165" spans="1:20">
      <c r="A165" s="71" t="s">
        <v>636</v>
      </c>
      <c r="B165" s="71" t="s">
        <v>888</v>
      </c>
      <c r="C165" s="71" t="s">
        <v>889</v>
      </c>
      <c r="D165" s="71" t="s">
        <v>874</v>
      </c>
      <c r="E165" s="71" t="s">
        <v>875</v>
      </c>
      <c r="F165" s="71" t="s">
        <v>887</v>
      </c>
    </row>
    <row r="166" spans="1:20">
      <c r="A166" s="71" t="s">
        <v>638</v>
      </c>
      <c r="B166" s="71" t="s">
        <v>890</v>
      </c>
      <c r="C166" s="71" t="s">
        <v>891</v>
      </c>
      <c r="D166" s="71" t="s">
        <v>874</v>
      </c>
      <c r="E166" s="71" t="s">
        <v>875</v>
      </c>
      <c r="F166" s="71" t="s">
        <v>887</v>
      </c>
    </row>
    <row r="167" spans="1:20">
      <c r="A167" s="71" t="s">
        <v>640</v>
      </c>
      <c r="B167" s="71" t="s">
        <v>892</v>
      </c>
      <c r="C167" s="71" t="s">
        <v>893</v>
      </c>
      <c r="D167" s="71" t="s">
        <v>874</v>
      </c>
      <c r="E167" s="71" t="s">
        <v>875</v>
      </c>
      <c r="F167" s="71" t="s">
        <v>894</v>
      </c>
    </row>
    <row r="168" spans="1:20">
      <c r="A168" s="71" t="s">
        <v>642</v>
      </c>
      <c r="B168" s="71" t="s">
        <v>178</v>
      </c>
      <c r="C168" s="71" t="s">
        <v>889</v>
      </c>
      <c r="D168" s="71" t="s">
        <v>874</v>
      </c>
      <c r="E168" s="71" t="s">
        <v>875</v>
      </c>
      <c r="F168" s="71" t="s">
        <v>894</v>
      </c>
    </row>
    <row r="169" spans="1:20">
      <c r="A169" s="71" t="s">
        <v>643</v>
      </c>
      <c r="B169" s="71" t="s">
        <v>895</v>
      </c>
      <c r="C169" s="71" t="s">
        <v>896</v>
      </c>
      <c r="D169" s="71" t="s">
        <v>874</v>
      </c>
      <c r="E169" s="71" t="s">
        <v>897</v>
      </c>
      <c r="F169" s="71" t="s">
        <v>898</v>
      </c>
    </row>
    <row r="170" spans="1:20">
      <c r="A170" s="71" t="s">
        <v>645</v>
      </c>
      <c r="B170" s="71" t="s">
        <v>899</v>
      </c>
      <c r="C170" s="71" t="s">
        <v>893</v>
      </c>
      <c r="D170" s="71" t="s">
        <v>567</v>
      </c>
      <c r="E170" s="71" t="s">
        <v>897</v>
      </c>
      <c r="F170" s="71" t="s">
        <v>900</v>
      </c>
    </row>
    <row r="171" spans="1:20">
      <c r="A171" s="71" t="s">
        <v>208</v>
      </c>
      <c r="B171" s="71" t="s">
        <v>901</v>
      </c>
      <c r="C171" s="71" t="s">
        <v>885</v>
      </c>
      <c r="D171" s="71" t="s">
        <v>567</v>
      </c>
      <c r="E171" s="71" t="s">
        <v>897</v>
      </c>
      <c r="F171" s="71" t="s">
        <v>900</v>
      </c>
    </row>
    <row r="172" spans="1:20">
      <c r="A172" s="71" t="s">
        <v>685</v>
      </c>
      <c r="B172" s="71" t="s">
        <v>902</v>
      </c>
      <c r="C172" s="71" t="s">
        <v>885</v>
      </c>
      <c r="D172" s="71" t="s">
        <v>567</v>
      </c>
      <c r="E172" s="71" t="s">
        <v>573</v>
      </c>
      <c r="F172" s="71" t="s">
        <v>903</v>
      </c>
    </row>
    <row r="173" spans="1:20">
      <c r="A173" s="71" t="s">
        <v>690</v>
      </c>
      <c r="B173" s="71" t="s">
        <v>904</v>
      </c>
      <c r="C173" s="71" t="s">
        <v>889</v>
      </c>
      <c r="D173" s="71" t="s">
        <v>567</v>
      </c>
      <c r="E173" s="71" t="s">
        <v>573</v>
      </c>
      <c r="F173" s="71" t="s">
        <v>903</v>
      </c>
    </row>
    <row r="174" spans="1:20">
      <c r="A174" s="71" t="s">
        <v>692</v>
      </c>
      <c r="B174" s="71" t="s">
        <v>905</v>
      </c>
      <c r="C174" s="71" t="s">
        <v>175</v>
      </c>
      <c r="D174" s="71" t="s">
        <v>567</v>
      </c>
      <c r="E174" s="71" t="s">
        <v>573</v>
      </c>
      <c r="F174" s="71" t="s">
        <v>903</v>
      </c>
    </row>
    <row r="175" spans="1:20">
      <c r="A175" s="71" t="s">
        <v>594</v>
      </c>
      <c r="B175" s="71" t="s">
        <v>906</v>
      </c>
      <c r="C175" s="71" t="s">
        <v>907</v>
      </c>
      <c r="D175" s="71" t="s">
        <v>567</v>
      </c>
      <c r="E175" s="71" t="s">
        <v>573</v>
      </c>
      <c r="F175" s="71" t="s">
        <v>908</v>
      </c>
    </row>
    <row r="176" spans="1:20">
      <c r="A176" s="71" t="s">
        <v>698</v>
      </c>
      <c r="B176" s="71" t="s">
        <v>909</v>
      </c>
      <c r="C176" s="71" t="s">
        <v>893</v>
      </c>
      <c r="D176" s="71" t="s">
        <v>567</v>
      </c>
      <c r="E176" s="71" t="s">
        <v>910</v>
      </c>
      <c r="F176" s="71" t="s">
        <v>911</v>
      </c>
    </row>
    <row r="177" spans="1:6">
      <c r="A177" s="71" t="s">
        <v>700</v>
      </c>
      <c r="B177" s="71" t="s">
        <v>912</v>
      </c>
      <c r="C177" s="71" t="s">
        <v>889</v>
      </c>
      <c r="D177" s="71" t="s">
        <v>567</v>
      </c>
      <c r="E177" s="71" t="s">
        <v>910</v>
      </c>
      <c r="F177" s="71" t="s">
        <v>911</v>
      </c>
    </row>
    <row r="178" spans="1:6">
      <c r="A178" s="71" t="s">
        <v>703</v>
      </c>
      <c r="B178" s="71" t="s">
        <v>913</v>
      </c>
      <c r="C178" s="71" t="s">
        <v>896</v>
      </c>
      <c r="D178" s="71" t="s">
        <v>567</v>
      </c>
      <c r="E178" s="71" t="s">
        <v>914</v>
      </c>
      <c r="F178" s="71" t="s">
        <v>915</v>
      </c>
    </row>
    <row r="179" spans="1:6">
      <c r="A179" s="71" t="s">
        <v>249</v>
      </c>
      <c r="B179" s="71" t="s">
        <v>916</v>
      </c>
      <c r="C179" s="71" t="s">
        <v>917</v>
      </c>
      <c r="D179" s="71" t="s">
        <v>918</v>
      </c>
      <c r="E179" s="71" t="s">
        <v>914</v>
      </c>
      <c r="F179" s="71" t="s">
        <v>919</v>
      </c>
    </row>
    <row r="180" spans="1:6">
      <c r="A180" s="71" t="s">
        <v>707</v>
      </c>
      <c r="B180" s="71" t="s">
        <v>920</v>
      </c>
      <c r="C180" s="71" t="s">
        <v>917</v>
      </c>
      <c r="D180" s="71" t="s">
        <v>918</v>
      </c>
      <c r="E180" s="71" t="s">
        <v>914</v>
      </c>
      <c r="F180" s="71" t="s">
        <v>919</v>
      </c>
    </row>
    <row r="181" spans="1:6">
      <c r="A181" s="71" t="s">
        <v>712</v>
      </c>
      <c r="B181" s="71" t="s">
        <v>921</v>
      </c>
      <c r="C181" s="71" t="s">
        <v>893</v>
      </c>
      <c r="D181" s="71" t="s">
        <v>922</v>
      </c>
      <c r="E181" s="71" t="s">
        <v>914</v>
      </c>
      <c r="F181" s="71" t="s">
        <v>923</v>
      </c>
    </row>
    <row r="182" spans="1:6">
      <c r="A182" s="71" t="s">
        <v>716</v>
      </c>
      <c r="B182" s="71" t="s">
        <v>924</v>
      </c>
      <c r="C182" s="71" t="s">
        <v>889</v>
      </c>
      <c r="D182" s="71" t="s">
        <v>922</v>
      </c>
      <c r="E182" s="71" t="s">
        <v>914</v>
      </c>
      <c r="F182" s="71" t="s">
        <v>923</v>
      </c>
    </row>
    <row r="183" spans="1:6">
      <c r="A183" s="71" t="s">
        <v>720</v>
      </c>
      <c r="B183" s="71" t="s">
        <v>925</v>
      </c>
      <c r="C183" s="71" t="s">
        <v>175</v>
      </c>
      <c r="D183" s="71" t="s">
        <v>922</v>
      </c>
      <c r="E183" s="71" t="s">
        <v>914</v>
      </c>
      <c r="F183" s="71" t="s">
        <v>923</v>
      </c>
    </row>
    <row r="184" spans="1:6">
      <c r="A184" s="71" t="s">
        <v>722</v>
      </c>
      <c r="B184" s="71" t="s">
        <v>926</v>
      </c>
      <c r="C184" s="71" t="s">
        <v>889</v>
      </c>
      <c r="D184" s="71" t="s">
        <v>922</v>
      </c>
      <c r="E184" s="71" t="s">
        <v>914</v>
      </c>
      <c r="F184" s="71" t="s">
        <v>927</v>
      </c>
    </row>
    <row r="185" spans="1:6">
      <c r="A185" s="71" t="s">
        <v>725</v>
      </c>
      <c r="B185" s="71" t="s">
        <v>928</v>
      </c>
      <c r="C185" s="71" t="s">
        <v>896</v>
      </c>
      <c r="D185" s="71" t="s">
        <v>922</v>
      </c>
      <c r="E185" s="71" t="s">
        <v>929</v>
      </c>
      <c r="F185" s="71" t="s">
        <v>930</v>
      </c>
    </row>
    <row r="186" spans="1:6">
      <c r="A186" s="71" t="s">
        <v>729</v>
      </c>
      <c r="B186" s="71" t="s">
        <v>931</v>
      </c>
      <c r="C186" s="71" t="s">
        <v>175</v>
      </c>
      <c r="D186" s="71" t="s">
        <v>932</v>
      </c>
      <c r="E186" s="71" t="s">
        <v>929</v>
      </c>
      <c r="F186" s="71" t="s">
        <v>933</v>
      </c>
    </row>
    <row r="187" spans="1:6">
      <c r="A187" s="71" t="s">
        <v>731</v>
      </c>
      <c r="B187" s="71" t="s">
        <v>483</v>
      </c>
      <c r="C187" s="71" t="s">
        <v>934</v>
      </c>
      <c r="D187" s="71" t="s">
        <v>932</v>
      </c>
      <c r="E187" s="71" t="s">
        <v>935</v>
      </c>
      <c r="F187" s="71" t="s">
        <v>936</v>
      </c>
    </row>
    <row r="188" spans="1:6">
      <c r="A188" s="71" t="s">
        <v>734</v>
      </c>
      <c r="B188" s="71" t="s">
        <v>937</v>
      </c>
      <c r="C188" s="71" t="s">
        <v>934</v>
      </c>
      <c r="D188" s="71" t="s">
        <v>929</v>
      </c>
      <c r="E188" s="71" t="s">
        <v>938</v>
      </c>
      <c r="F188" s="71" t="s">
        <v>936</v>
      </c>
    </row>
    <row r="189" spans="1:6">
      <c r="A189" s="71" t="s">
        <v>736</v>
      </c>
      <c r="B189" s="71" t="s">
        <v>939</v>
      </c>
      <c r="C189" s="71" t="s">
        <v>934</v>
      </c>
      <c r="D189" s="71" t="s">
        <v>940</v>
      </c>
      <c r="E189" s="71" t="s">
        <v>941</v>
      </c>
      <c r="F189" s="71" t="s">
        <v>936</v>
      </c>
    </row>
    <row r="190" spans="1:6">
      <c r="A190" s="71" t="s">
        <v>738</v>
      </c>
      <c r="B190" s="71" t="s">
        <v>942</v>
      </c>
      <c r="C190" s="71" t="s">
        <v>934</v>
      </c>
      <c r="D190" s="71" t="s">
        <v>943</v>
      </c>
      <c r="E190" s="71" t="s">
        <v>944</v>
      </c>
      <c r="F190" s="71" t="s">
        <v>936</v>
      </c>
    </row>
    <row r="191" spans="1:6">
      <c r="A191" s="71" t="s">
        <v>742</v>
      </c>
      <c r="B191" s="71" t="s">
        <v>945</v>
      </c>
      <c r="C191" s="71" t="s">
        <v>934</v>
      </c>
      <c r="D191" s="71" t="s">
        <v>946</v>
      </c>
      <c r="E191" s="71" t="s">
        <v>947</v>
      </c>
      <c r="F191" s="71" t="s">
        <v>936</v>
      </c>
    </row>
    <row r="192" spans="1:6">
      <c r="A192" s="71" t="s">
        <v>745</v>
      </c>
      <c r="B192" s="71" t="s">
        <v>948</v>
      </c>
      <c r="C192" s="71" t="s">
        <v>934</v>
      </c>
      <c r="D192" s="71" t="s">
        <v>949</v>
      </c>
      <c r="E192" s="71" t="s">
        <v>950</v>
      </c>
      <c r="F192" s="71" t="s">
        <v>936</v>
      </c>
    </row>
    <row r="193" spans="1:6">
      <c r="A193" s="71" t="s">
        <v>748</v>
      </c>
      <c r="B193" s="71" t="s">
        <v>951</v>
      </c>
      <c r="C193" s="71" t="s">
        <v>934</v>
      </c>
      <c r="D193" s="71" t="s">
        <v>952</v>
      </c>
      <c r="E193" s="71" t="s">
        <v>953</v>
      </c>
      <c r="F193" s="71" t="s">
        <v>936</v>
      </c>
    </row>
    <row r="194" spans="1:6">
      <c r="A194" s="71" t="s">
        <v>750</v>
      </c>
      <c r="B194" s="71" t="s">
        <v>954</v>
      </c>
      <c r="C194" s="71" t="s">
        <v>934</v>
      </c>
      <c r="D194" s="71" t="s">
        <v>955</v>
      </c>
      <c r="E194" s="71" t="s">
        <v>956</v>
      </c>
      <c r="F194" s="71" t="s">
        <v>936</v>
      </c>
    </row>
    <row r="195" spans="1:6">
      <c r="A195" s="71" t="s">
        <v>755</v>
      </c>
      <c r="B195" s="71" t="s">
        <v>957</v>
      </c>
      <c r="C195" s="71" t="s">
        <v>934</v>
      </c>
      <c r="D195" s="71" t="s">
        <v>958</v>
      </c>
      <c r="E195" s="71" t="s">
        <v>959</v>
      </c>
      <c r="F195" s="71" t="s">
        <v>936</v>
      </c>
    </row>
    <row r="196" spans="1:6">
      <c r="A196" s="71" t="s">
        <v>646</v>
      </c>
      <c r="B196" s="71" t="s">
        <v>960</v>
      </c>
      <c r="C196" s="71" t="s">
        <v>896</v>
      </c>
      <c r="D196" s="71" t="s">
        <v>961</v>
      </c>
      <c r="E196" s="71" t="s">
        <v>962</v>
      </c>
      <c r="F196" s="71" t="s">
        <v>936</v>
      </c>
    </row>
    <row r="197" spans="1:6">
      <c r="A197" s="71" t="s">
        <v>762</v>
      </c>
      <c r="B197" s="71" t="s">
        <v>963</v>
      </c>
      <c r="C197" s="71" t="s">
        <v>885</v>
      </c>
      <c r="D197" s="71" t="s">
        <v>964</v>
      </c>
      <c r="E197" s="71" t="s">
        <v>962</v>
      </c>
      <c r="F197" s="71" t="s">
        <v>965</v>
      </c>
    </row>
    <row r="198" spans="1:6">
      <c r="A198" s="71" t="s">
        <v>768</v>
      </c>
      <c r="B198" s="71" t="s">
        <v>966</v>
      </c>
      <c r="C198" s="71" t="s">
        <v>907</v>
      </c>
      <c r="D198" s="71" t="s">
        <v>964</v>
      </c>
      <c r="E198" s="71" t="s">
        <v>962</v>
      </c>
      <c r="F198" s="71" t="s">
        <v>965</v>
      </c>
    </row>
    <row r="199" spans="1:6">
      <c r="A199" s="71" t="s">
        <v>771</v>
      </c>
      <c r="B199" s="71" t="s">
        <v>967</v>
      </c>
      <c r="C199" s="71" t="s">
        <v>175</v>
      </c>
      <c r="D199" s="71" t="s">
        <v>964</v>
      </c>
      <c r="E199" s="71" t="s">
        <v>968</v>
      </c>
      <c r="F199" s="71" t="s">
        <v>969</v>
      </c>
    </row>
    <row r="200" spans="1:6">
      <c r="A200" s="71" t="s">
        <v>775</v>
      </c>
      <c r="B200" s="71" t="s">
        <v>970</v>
      </c>
      <c r="C200" s="71" t="s">
        <v>885</v>
      </c>
      <c r="D200" s="71" t="s">
        <v>964</v>
      </c>
      <c r="E200" s="71" t="s">
        <v>971</v>
      </c>
      <c r="F200" s="71" t="s">
        <v>972</v>
      </c>
    </row>
    <row r="201" spans="1:6">
      <c r="A201" s="71" t="s">
        <v>780</v>
      </c>
      <c r="B201" s="71" t="s">
        <v>973</v>
      </c>
      <c r="C201" s="71" t="s">
        <v>907</v>
      </c>
      <c r="D201" s="71" t="s">
        <v>964</v>
      </c>
      <c r="E201" s="71" t="s">
        <v>971</v>
      </c>
      <c r="F201" s="71" t="s">
        <v>972</v>
      </c>
    </row>
    <row r="202" spans="1:6">
      <c r="A202" s="71" t="s">
        <v>785</v>
      </c>
      <c r="B202" s="71" t="s">
        <v>974</v>
      </c>
      <c r="C202" s="71" t="s">
        <v>175</v>
      </c>
      <c r="D202" s="71" t="s">
        <v>964</v>
      </c>
      <c r="E202" s="71" t="s">
        <v>975</v>
      </c>
      <c r="F202" s="71" t="s">
        <v>976</v>
      </c>
    </row>
    <row r="203" spans="1:6">
      <c r="A203" s="71" t="s">
        <v>789</v>
      </c>
      <c r="B203" s="71" t="s">
        <v>977</v>
      </c>
      <c r="C203" s="71" t="s">
        <v>889</v>
      </c>
      <c r="D203" s="71" t="s">
        <v>964</v>
      </c>
      <c r="E203" s="71" t="s">
        <v>975</v>
      </c>
      <c r="F203" s="71" t="s">
        <v>978</v>
      </c>
    </row>
    <row r="204" spans="1:6">
      <c r="A204" s="71" t="s">
        <v>793</v>
      </c>
      <c r="B204" s="71" t="s">
        <v>979</v>
      </c>
      <c r="C204" s="71" t="s">
        <v>891</v>
      </c>
      <c r="D204" s="71" t="s">
        <v>964</v>
      </c>
      <c r="E204" s="71" t="s">
        <v>980</v>
      </c>
      <c r="F204" s="71" t="s">
        <v>981</v>
      </c>
    </row>
    <row r="205" spans="1:6">
      <c r="A205" s="71" t="s">
        <v>796</v>
      </c>
      <c r="B205" s="71" t="s">
        <v>982</v>
      </c>
      <c r="C205" s="71" t="s">
        <v>891</v>
      </c>
      <c r="D205" s="71" t="s">
        <v>964</v>
      </c>
      <c r="E205" s="71" t="s">
        <v>980</v>
      </c>
      <c r="F205" s="71" t="s">
        <v>983</v>
      </c>
    </row>
    <row r="206" spans="1:6">
      <c r="A206" s="71" t="s">
        <v>651</v>
      </c>
      <c r="B206" s="71" t="s">
        <v>984</v>
      </c>
      <c r="C206" s="71" t="s">
        <v>175</v>
      </c>
      <c r="D206" s="71" t="s">
        <v>985</v>
      </c>
      <c r="E206" s="71" t="s">
        <v>980</v>
      </c>
      <c r="F206" s="71" t="s">
        <v>986</v>
      </c>
    </row>
    <row r="207" spans="1:6">
      <c r="A207" s="71" t="s">
        <v>800</v>
      </c>
      <c r="B207" s="71" t="s">
        <v>987</v>
      </c>
      <c r="C207" s="71" t="s">
        <v>889</v>
      </c>
      <c r="D207" s="71" t="s">
        <v>985</v>
      </c>
      <c r="E207" s="71" t="s">
        <v>980</v>
      </c>
      <c r="F207" s="71" t="s">
        <v>988</v>
      </c>
    </row>
    <row r="208" spans="1:6">
      <c r="A208" s="71" t="s">
        <v>803</v>
      </c>
      <c r="B208" s="71" t="s">
        <v>989</v>
      </c>
      <c r="C208" s="71" t="s">
        <v>885</v>
      </c>
      <c r="D208" s="71" t="s">
        <v>985</v>
      </c>
      <c r="E208" s="71" t="s">
        <v>980</v>
      </c>
      <c r="F208" s="71" t="s">
        <v>990</v>
      </c>
    </row>
    <row r="209" spans="1:20">
      <c r="A209" s="71" t="s">
        <v>641</v>
      </c>
      <c r="B209" s="71" t="s">
        <v>991</v>
      </c>
      <c r="C209" s="71" t="s">
        <v>175</v>
      </c>
      <c r="D209" s="71" t="s">
        <v>985</v>
      </c>
      <c r="E209" s="71" t="s">
        <v>980</v>
      </c>
      <c r="F209" s="71" t="s">
        <v>990</v>
      </c>
    </row>
    <row r="210" spans="1:20">
      <c r="A210" s="71" t="s">
        <v>809</v>
      </c>
      <c r="B210" s="71" t="s">
        <v>992</v>
      </c>
      <c r="C210" s="71" t="s">
        <v>885</v>
      </c>
      <c r="D210" s="71" t="s">
        <v>985</v>
      </c>
      <c r="E210" s="71" t="s">
        <v>993</v>
      </c>
      <c r="F210" s="71" t="s">
        <v>994</v>
      </c>
    </row>
    <row r="211" spans="1:20">
      <c r="A211" s="71" t="s">
        <v>652</v>
      </c>
      <c r="B211" s="71" t="s">
        <v>995</v>
      </c>
      <c r="C211" s="71" t="s">
        <v>889</v>
      </c>
      <c r="D211" s="71" t="s">
        <v>985</v>
      </c>
      <c r="E211" s="71" t="s">
        <v>980</v>
      </c>
      <c r="F211" s="71" t="s">
        <v>996</v>
      </c>
    </row>
    <row r="212" spans="1:20">
      <c r="A212" s="71" t="s">
        <v>644</v>
      </c>
      <c r="B212" s="71" t="s">
        <v>997</v>
      </c>
      <c r="C212" s="71" t="s">
        <v>907</v>
      </c>
      <c r="D212" s="71" t="s">
        <v>985</v>
      </c>
      <c r="E212" s="71" t="s">
        <v>993</v>
      </c>
      <c r="F212" s="71" t="s">
        <v>998</v>
      </c>
    </row>
    <row r="213" ht="14.5" spans="1:20">
      <c r="A213" s="24" t="str">
        <f>HYPERLINK("https://www.tianyancha.com/company/441970624","打开天眼查，查看更多[股本变动]")</f>
        <v>打开天眼查，查看更多[股本变动]</v>
      </c>
      <c r="B213" s="71"/>
      <c r="C213" s="71"/>
      <c r="D213" s="71"/>
      <c r="E213" s="71"/>
      <c r="F213" s="71"/>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ht="15.5" spans="1:20">
      <c r="A215" s="70" t="s">
        <v>999</v>
      </c>
      <c r="B215" s="71" t="s">
        <v>1000</v>
      </c>
      <c r="C215" s="2"/>
      <c r="D215" s="2"/>
      <c r="E215" s="2"/>
      <c r="F215" s="2"/>
      <c r="G215" s="2"/>
      <c r="H215" s="2"/>
      <c r="I215" s="2"/>
      <c r="J215" s="2"/>
      <c r="K215" s="2"/>
      <c r="L215" s="2"/>
      <c r="M215" s="2"/>
      <c r="N215" s="2"/>
      <c r="O215" s="2"/>
      <c r="P215" s="2"/>
      <c r="Q215" s="2"/>
      <c r="R215" s="2"/>
      <c r="S215" s="2"/>
      <c r="T215" s="2"/>
    </row>
    <row r="216" ht="15.5" spans="1:20">
      <c r="A216" s="11" t="s">
        <v>46</v>
      </c>
      <c r="B216" s="11" t="s">
        <v>1001</v>
      </c>
      <c r="C216" s="11" t="s">
        <v>1002</v>
      </c>
      <c r="D216" s="11" t="s">
        <v>1003</v>
      </c>
      <c r="E216" s="11" t="s">
        <v>1004</v>
      </c>
      <c r="F216" s="11" t="s">
        <v>1005</v>
      </c>
      <c r="G216" s="11" t="s">
        <v>1006</v>
      </c>
      <c r="H216" s="11" t="s">
        <v>1007</v>
      </c>
      <c r="I216" s="11" t="s">
        <v>1008</v>
      </c>
      <c r="J216" s="11" t="s">
        <v>1009</v>
      </c>
      <c r="K216" s="11" t="s">
        <v>1010</v>
      </c>
      <c r="L216" s="2"/>
      <c r="M216" s="2"/>
      <c r="N216" s="2"/>
      <c r="O216" s="2"/>
      <c r="P216" s="2"/>
      <c r="Q216" s="2"/>
      <c r="R216" s="2"/>
      <c r="S216" s="2"/>
      <c r="T216" s="2"/>
    </row>
    <row r="217" ht="13.5" spans="1:20">
      <c r="A217" s="71" t="s">
        <v>633</v>
      </c>
      <c r="B217" s="71" t="s">
        <v>1011</v>
      </c>
      <c r="C217" s="71" t="s">
        <v>67</v>
      </c>
      <c r="D217" s="71" t="s">
        <v>67</v>
      </c>
      <c r="E217" s="71" t="s">
        <v>1012</v>
      </c>
      <c r="F217" s="71" t="s">
        <v>67</v>
      </c>
      <c r="G217" s="71" t="s">
        <v>67</v>
      </c>
      <c r="H217" s="71" t="s">
        <v>67</v>
      </c>
      <c r="I217" s="71" t="s">
        <v>1013</v>
      </c>
      <c r="J217" s="71" t="s">
        <v>67</v>
      </c>
      <c r="K217" s="82" t="s">
        <v>67</v>
      </c>
      <c r="L217" s="2"/>
      <c r="M217" s="2"/>
      <c r="N217" s="2"/>
      <c r="O217" s="2"/>
      <c r="P217" s="2"/>
      <c r="Q217" s="2"/>
      <c r="R217" s="2"/>
      <c r="S217" s="2"/>
      <c r="T217" s="2"/>
    </row>
    <row r="218" ht="13.5" spans="1:20">
      <c r="A218" s="71" t="s">
        <v>233</v>
      </c>
      <c r="B218" s="71" t="s">
        <v>1014</v>
      </c>
      <c r="C218" s="71" t="s">
        <v>67</v>
      </c>
      <c r="D218" s="71" t="s">
        <v>67</v>
      </c>
      <c r="E218" s="71" t="s">
        <v>1012</v>
      </c>
      <c r="F218" s="71" t="s">
        <v>67</v>
      </c>
      <c r="G218" s="71" t="s">
        <v>67</v>
      </c>
      <c r="H218" s="71" t="s">
        <v>67</v>
      </c>
      <c r="I218" s="71" t="s">
        <v>1013</v>
      </c>
      <c r="J218" s="71" t="s">
        <v>67</v>
      </c>
      <c r="K218" s="82" t="s">
        <v>67</v>
      </c>
    </row>
    <row r="219" ht="13.5" spans="1:20">
      <c r="A219" s="71" t="s">
        <v>636</v>
      </c>
      <c r="B219" s="71" t="s">
        <v>1015</v>
      </c>
      <c r="C219" s="71" t="s">
        <v>67</v>
      </c>
      <c r="D219" s="71" t="s">
        <v>67</v>
      </c>
      <c r="E219" s="71" t="s">
        <v>1012</v>
      </c>
      <c r="F219" s="71" t="s">
        <v>67</v>
      </c>
      <c r="G219" s="71" t="s">
        <v>67</v>
      </c>
      <c r="H219" s="71" t="s">
        <v>67</v>
      </c>
      <c r="I219" s="71" t="s">
        <v>1013</v>
      </c>
      <c r="J219" s="71" t="s">
        <v>67</v>
      </c>
      <c r="K219" s="82" t="s">
        <v>67</v>
      </c>
    </row>
    <row r="220" ht="13.5" spans="1:20">
      <c r="A220" s="71" t="s">
        <v>638</v>
      </c>
      <c r="B220" s="71" t="s">
        <v>899</v>
      </c>
      <c r="C220" s="71" t="s">
        <v>67</v>
      </c>
      <c r="D220" s="71" t="s">
        <v>67</v>
      </c>
      <c r="E220" s="71" t="s">
        <v>1012</v>
      </c>
      <c r="F220" s="71" t="s">
        <v>67</v>
      </c>
      <c r="G220" s="71" t="s">
        <v>67</v>
      </c>
      <c r="H220" s="71" t="s">
        <v>67</v>
      </c>
      <c r="I220" s="71" t="s">
        <v>1013</v>
      </c>
      <c r="J220" s="71" t="s">
        <v>67</v>
      </c>
      <c r="K220" s="82" t="s">
        <v>67</v>
      </c>
    </row>
    <row r="221" ht="13.5" spans="1:20">
      <c r="A221" s="71" t="s">
        <v>640</v>
      </c>
      <c r="B221" s="71" t="s">
        <v>1016</v>
      </c>
      <c r="C221" s="71" t="s">
        <v>67</v>
      </c>
      <c r="D221" s="71" t="s">
        <v>67</v>
      </c>
      <c r="E221" s="71" t="s">
        <v>1012</v>
      </c>
      <c r="F221" s="71" t="s">
        <v>67</v>
      </c>
      <c r="G221" s="71" t="s">
        <v>67</v>
      </c>
      <c r="H221" s="71" t="s">
        <v>67</v>
      </c>
      <c r="I221" s="71" t="s">
        <v>1013</v>
      </c>
      <c r="J221" s="71" t="s">
        <v>67</v>
      </c>
      <c r="K221" s="82" t="s">
        <v>67</v>
      </c>
    </row>
    <row r="222" ht="13.5" spans="1:20">
      <c r="A222" s="71" t="s">
        <v>642</v>
      </c>
      <c r="B222" s="71" t="s">
        <v>1017</v>
      </c>
      <c r="C222" s="71" t="s">
        <v>67</v>
      </c>
      <c r="D222" s="71" t="s">
        <v>67</v>
      </c>
      <c r="E222" s="71" t="s">
        <v>1012</v>
      </c>
      <c r="F222" s="71" t="s">
        <v>67</v>
      </c>
      <c r="G222" s="71" t="s">
        <v>67</v>
      </c>
      <c r="H222" s="71" t="s">
        <v>67</v>
      </c>
      <c r="I222" s="71" t="s">
        <v>1013</v>
      </c>
      <c r="J222" s="71" t="s">
        <v>67</v>
      </c>
      <c r="K222" s="82" t="s">
        <v>67</v>
      </c>
    </row>
    <row r="223" ht="13.5" spans="1:20">
      <c r="A223" s="71" t="s">
        <v>643</v>
      </c>
      <c r="B223" s="71" t="s">
        <v>1018</v>
      </c>
      <c r="C223" s="71" t="s">
        <v>1019</v>
      </c>
      <c r="D223" s="71" t="s">
        <v>67</v>
      </c>
      <c r="E223" s="71" t="s">
        <v>1012</v>
      </c>
      <c r="F223" s="71" t="s">
        <v>67</v>
      </c>
      <c r="G223" s="71" t="s">
        <v>67</v>
      </c>
      <c r="H223" s="71" t="s">
        <v>67</v>
      </c>
      <c r="I223" s="71" t="s">
        <v>1020</v>
      </c>
      <c r="J223" s="71" t="s">
        <v>67</v>
      </c>
      <c r="K223" s="82" t="s">
        <v>67</v>
      </c>
    </row>
    <row r="224" ht="13.5" spans="1:20">
      <c r="A224" s="71" t="s">
        <v>645</v>
      </c>
      <c r="B224" s="71" t="s">
        <v>1021</v>
      </c>
      <c r="C224" s="71" t="s">
        <v>67</v>
      </c>
      <c r="D224" s="71" t="s">
        <v>67</v>
      </c>
      <c r="E224" s="71" t="s">
        <v>1012</v>
      </c>
      <c r="F224" s="71" t="s">
        <v>67</v>
      </c>
      <c r="G224" s="71" t="s">
        <v>67</v>
      </c>
      <c r="H224" s="71" t="s">
        <v>67</v>
      </c>
      <c r="I224" s="71" t="s">
        <v>1013</v>
      </c>
      <c r="J224" s="71" t="s">
        <v>67</v>
      </c>
      <c r="K224" s="82" t="s">
        <v>67</v>
      </c>
    </row>
    <row r="225" ht="13.5" spans="1:20">
      <c r="A225" s="71" t="s">
        <v>208</v>
      </c>
      <c r="B225" s="71" t="s">
        <v>1022</v>
      </c>
      <c r="C225" s="71" t="s">
        <v>67</v>
      </c>
      <c r="D225" s="71" t="s">
        <v>67</v>
      </c>
      <c r="E225" s="71" t="s">
        <v>1023</v>
      </c>
      <c r="F225" s="71" t="s">
        <v>67</v>
      </c>
      <c r="G225" s="71" t="s">
        <v>67</v>
      </c>
      <c r="H225" s="71" t="s">
        <v>67</v>
      </c>
      <c r="I225" s="71" t="s">
        <v>1013</v>
      </c>
      <c r="J225" s="71" t="s">
        <v>1024</v>
      </c>
      <c r="K225" s="82" t="s">
        <v>67</v>
      </c>
    </row>
    <row r="226" ht="13.5" spans="1:20">
      <c r="A226" s="71" t="s">
        <v>685</v>
      </c>
      <c r="B226" s="71" t="s">
        <v>1025</v>
      </c>
      <c r="C226" s="71" t="s">
        <v>67</v>
      </c>
      <c r="D226" s="71" t="s">
        <v>67</v>
      </c>
      <c r="E226" s="71" t="s">
        <v>1012</v>
      </c>
      <c r="F226" s="71" t="s">
        <v>67</v>
      </c>
      <c r="G226" s="71" t="s">
        <v>67</v>
      </c>
      <c r="H226" s="71" t="s">
        <v>67</v>
      </c>
      <c r="I226" s="71" t="s">
        <v>1013</v>
      </c>
      <c r="J226" s="71" t="s">
        <v>67</v>
      </c>
      <c r="K226" s="82" t="s">
        <v>67</v>
      </c>
    </row>
    <row r="227" ht="13.5" spans="1:20">
      <c r="A227" s="71" t="s">
        <v>690</v>
      </c>
      <c r="B227" s="71" t="s">
        <v>1026</v>
      </c>
      <c r="C227" s="71" t="s">
        <v>67</v>
      </c>
      <c r="D227" s="71" t="s">
        <v>67</v>
      </c>
      <c r="E227" s="71" t="s">
        <v>1027</v>
      </c>
      <c r="F227" s="71" t="s">
        <v>67</v>
      </c>
      <c r="G227" s="71" t="s">
        <v>67</v>
      </c>
      <c r="H227" s="71" t="s">
        <v>67</v>
      </c>
      <c r="I227" s="71" t="s">
        <v>1013</v>
      </c>
      <c r="J227" s="71" t="s">
        <v>1028</v>
      </c>
      <c r="K227" s="82" t="s">
        <v>67</v>
      </c>
    </row>
    <row r="228" ht="13.5" spans="1:20">
      <c r="A228" s="71" t="s">
        <v>692</v>
      </c>
      <c r="B228" s="71" t="s">
        <v>1029</v>
      </c>
      <c r="C228" s="71" t="s">
        <v>67</v>
      </c>
      <c r="D228" s="71" t="s">
        <v>67</v>
      </c>
      <c r="E228" s="71" t="s">
        <v>1012</v>
      </c>
      <c r="F228" s="71" t="s">
        <v>67</v>
      </c>
      <c r="G228" s="71" t="s">
        <v>67</v>
      </c>
      <c r="H228" s="71" t="s">
        <v>67</v>
      </c>
      <c r="I228" s="71" t="s">
        <v>1013</v>
      </c>
      <c r="J228" s="71" t="s">
        <v>67</v>
      </c>
      <c r="K228" s="82" t="s">
        <v>67</v>
      </c>
    </row>
    <row r="229" ht="13.5" spans="1:20">
      <c r="A229" s="71" t="s">
        <v>594</v>
      </c>
      <c r="B229" s="71" t="s">
        <v>991</v>
      </c>
      <c r="C229" s="71" t="s">
        <v>1030</v>
      </c>
      <c r="D229" s="71" t="s">
        <v>1031</v>
      </c>
      <c r="E229" s="71" t="s">
        <v>1023</v>
      </c>
      <c r="F229" s="71" t="s">
        <v>1032</v>
      </c>
      <c r="G229" s="71" t="s">
        <v>989</v>
      </c>
      <c r="H229" s="71" t="s">
        <v>67</v>
      </c>
      <c r="I229" s="71" t="s">
        <v>1033</v>
      </c>
      <c r="J229" s="71" t="s">
        <v>1034</v>
      </c>
      <c r="K229" s="82" t="s">
        <v>1035</v>
      </c>
    </row>
    <row r="230" ht="13.5" spans="1:20">
      <c r="A230" s="71" t="s">
        <v>698</v>
      </c>
      <c r="B230" s="71" t="s">
        <v>1036</v>
      </c>
      <c r="C230" s="71" t="s">
        <v>67</v>
      </c>
      <c r="D230" s="71" t="s">
        <v>67</v>
      </c>
      <c r="E230" s="71" t="s">
        <v>1012</v>
      </c>
      <c r="F230" s="71" t="s">
        <v>67</v>
      </c>
      <c r="G230" s="71" t="s">
        <v>67</v>
      </c>
      <c r="H230" s="71" t="s">
        <v>67</v>
      </c>
      <c r="I230" s="71" t="s">
        <v>1013</v>
      </c>
      <c r="J230" s="71" t="s">
        <v>67</v>
      </c>
      <c r="K230" s="82" t="s">
        <v>67</v>
      </c>
    </row>
    <row r="231" ht="13.5" spans="1:20">
      <c r="A231" s="71" t="s">
        <v>700</v>
      </c>
      <c r="B231" s="71" t="s">
        <v>1037</v>
      </c>
      <c r="C231" s="71" t="s">
        <v>67</v>
      </c>
      <c r="D231" s="71" t="s">
        <v>67</v>
      </c>
      <c r="E231" s="71" t="s">
        <v>1038</v>
      </c>
      <c r="F231" s="71" t="s">
        <v>67</v>
      </c>
      <c r="G231" s="71" t="s">
        <v>67</v>
      </c>
      <c r="H231" s="71" t="s">
        <v>67</v>
      </c>
      <c r="I231" s="71" t="s">
        <v>1013</v>
      </c>
      <c r="J231" s="71" t="s">
        <v>1039</v>
      </c>
      <c r="K231" s="82" t="s">
        <v>67</v>
      </c>
    </row>
    <row r="232" ht="13.5" spans="1:20">
      <c r="A232" s="71" t="s">
        <v>703</v>
      </c>
      <c r="B232" s="71" t="s">
        <v>1037</v>
      </c>
      <c r="C232" s="71" t="s">
        <v>1040</v>
      </c>
      <c r="D232" s="71" t="s">
        <v>1041</v>
      </c>
      <c r="E232" s="71" t="s">
        <v>1038</v>
      </c>
      <c r="F232" s="71" t="s">
        <v>1042</v>
      </c>
      <c r="G232" s="71" t="s">
        <v>1043</v>
      </c>
      <c r="H232" s="71" t="s">
        <v>67</v>
      </c>
      <c r="I232" s="71" t="s">
        <v>1033</v>
      </c>
      <c r="J232" s="71" t="s">
        <v>1044</v>
      </c>
      <c r="K232" s="82" t="s">
        <v>67</v>
      </c>
    </row>
    <row r="233" ht="13.5" spans="1:20">
      <c r="A233" s="71" t="s">
        <v>249</v>
      </c>
      <c r="B233" s="71" t="s">
        <v>1037</v>
      </c>
      <c r="C233" s="71" t="s">
        <v>1040</v>
      </c>
      <c r="D233" s="71" t="s">
        <v>67</v>
      </c>
      <c r="E233" s="71" t="s">
        <v>1038</v>
      </c>
      <c r="F233" s="71" t="s">
        <v>67</v>
      </c>
      <c r="G233" s="71" t="s">
        <v>67</v>
      </c>
      <c r="H233" s="71" t="s">
        <v>67</v>
      </c>
      <c r="I233" s="71" t="s">
        <v>1020</v>
      </c>
      <c r="J233" s="71" t="s">
        <v>1044</v>
      </c>
      <c r="K233" s="82" t="s">
        <v>67</v>
      </c>
    </row>
    <row r="234" ht="13.5" spans="1:20">
      <c r="A234" s="71" t="s">
        <v>707</v>
      </c>
      <c r="B234" s="71" t="s">
        <v>1045</v>
      </c>
      <c r="C234" s="71" t="s">
        <v>67</v>
      </c>
      <c r="D234" s="71" t="s">
        <v>67</v>
      </c>
      <c r="E234" s="71" t="s">
        <v>1012</v>
      </c>
      <c r="F234" s="71" t="s">
        <v>67</v>
      </c>
      <c r="G234" s="71" t="s">
        <v>67</v>
      </c>
      <c r="H234" s="71" t="s">
        <v>67</v>
      </c>
      <c r="I234" s="71" t="s">
        <v>1013</v>
      </c>
      <c r="J234" s="71" t="s">
        <v>67</v>
      </c>
      <c r="K234" s="82" t="s">
        <v>67</v>
      </c>
    </row>
    <row r="235" ht="13.5" spans="1:20">
      <c r="A235" s="71" t="s">
        <v>712</v>
      </c>
      <c r="B235" s="71" t="s">
        <v>1046</v>
      </c>
      <c r="C235" s="71" t="s">
        <v>1047</v>
      </c>
      <c r="D235" s="71" t="s">
        <v>1048</v>
      </c>
      <c r="E235" s="71" t="s">
        <v>1049</v>
      </c>
      <c r="F235" s="71" t="s">
        <v>1050</v>
      </c>
      <c r="G235" s="71" t="s">
        <v>1051</v>
      </c>
      <c r="H235" s="71" t="s">
        <v>67</v>
      </c>
      <c r="I235" s="71" t="s">
        <v>1033</v>
      </c>
      <c r="J235" s="71" t="s">
        <v>1052</v>
      </c>
      <c r="K235" s="82" t="s">
        <v>1053</v>
      </c>
    </row>
    <row r="236" ht="13.5" spans="1:20">
      <c r="A236" s="71" t="s">
        <v>716</v>
      </c>
      <c r="B236" s="71" t="s">
        <v>1054</v>
      </c>
      <c r="C236" s="71" t="s">
        <v>67</v>
      </c>
      <c r="D236" s="71" t="s">
        <v>67</v>
      </c>
      <c r="E236" s="71" t="s">
        <v>1012</v>
      </c>
      <c r="F236" s="71" t="s">
        <v>67</v>
      </c>
      <c r="G236" s="71" t="s">
        <v>67</v>
      </c>
      <c r="H236" s="71" t="s">
        <v>67</v>
      </c>
      <c r="I236" s="71" t="s">
        <v>1013</v>
      </c>
      <c r="J236" s="71" t="s">
        <v>67</v>
      </c>
      <c r="K236" s="82" t="s">
        <v>67</v>
      </c>
    </row>
    <row r="237" ht="13.5" spans="1:20">
      <c r="A237" s="71" t="s">
        <v>720</v>
      </c>
      <c r="B237" s="71" t="s">
        <v>1055</v>
      </c>
      <c r="C237" s="71" t="s">
        <v>1056</v>
      </c>
      <c r="D237" s="71" t="s">
        <v>1057</v>
      </c>
      <c r="E237" s="71" t="s">
        <v>1049</v>
      </c>
      <c r="F237" s="71" t="s">
        <v>1058</v>
      </c>
      <c r="G237" s="71" t="s">
        <v>1059</v>
      </c>
      <c r="H237" s="71" t="s">
        <v>67</v>
      </c>
      <c r="I237" s="71" t="s">
        <v>1033</v>
      </c>
      <c r="J237" s="71" t="s">
        <v>1060</v>
      </c>
      <c r="K237" s="82" t="s">
        <v>1061</v>
      </c>
    </row>
    <row r="238" ht="13.5" spans="1:20">
      <c r="A238" s="71" t="s">
        <v>722</v>
      </c>
      <c r="B238" s="71" t="s">
        <v>1062</v>
      </c>
      <c r="C238" s="71" t="s">
        <v>67</v>
      </c>
      <c r="D238" s="71" t="s">
        <v>67</v>
      </c>
      <c r="E238" s="71" t="s">
        <v>1012</v>
      </c>
      <c r="F238" s="71" t="s">
        <v>67</v>
      </c>
      <c r="G238" s="71" t="s">
        <v>67</v>
      </c>
      <c r="H238" s="71" t="s">
        <v>67</v>
      </c>
      <c r="I238" s="71" t="s">
        <v>1013</v>
      </c>
      <c r="J238" s="71" t="s">
        <v>67</v>
      </c>
      <c r="K238" s="82" t="s">
        <v>67</v>
      </c>
    </row>
    <row r="239" ht="13.5" spans="1:20">
      <c r="A239" s="71" t="s">
        <v>725</v>
      </c>
      <c r="B239" s="71" t="s">
        <v>1063</v>
      </c>
      <c r="C239" s="71" t="s">
        <v>1064</v>
      </c>
      <c r="D239" s="71" t="s">
        <v>1065</v>
      </c>
      <c r="E239" s="71" t="s">
        <v>1066</v>
      </c>
      <c r="F239" s="71" t="s">
        <v>1067</v>
      </c>
      <c r="G239" s="71" t="s">
        <v>185</v>
      </c>
      <c r="H239" s="71" t="s">
        <v>67</v>
      </c>
      <c r="I239" s="71" t="s">
        <v>1033</v>
      </c>
      <c r="J239" s="71" t="s">
        <v>1068</v>
      </c>
      <c r="K239" s="82" t="s">
        <v>1069</v>
      </c>
    </row>
    <row r="240" spans="1:20">
      <c r="A240" s="71" t="s">
        <v>110</v>
      </c>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ht="15.5" spans="1:20">
      <c r="A242" s="70" t="s">
        <v>1070</v>
      </c>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ht="15.5" spans="1:20">
      <c r="A245" s="70" t="s">
        <v>1071</v>
      </c>
      <c r="B245" s="2"/>
      <c r="C245" s="2"/>
      <c r="D245" s="2"/>
      <c r="E245" s="2"/>
      <c r="F245" s="2"/>
      <c r="G245" s="2"/>
      <c r="H245" s="2"/>
      <c r="I245" s="2"/>
      <c r="J245" s="2"/>
      <c r="K245" s="2"/>
      <c r="L245" s="2"/>
      <c r="M245" s="2"/>
      <c r="N245" s="2"/>
      <c r="O245" s="2"/>
      <c r="P245" s="2"/>
      <c r="Q245" s="2"/>
      <c r="R245" s="2"/>
      <c r="S245" s="2"/>
      <c r="T245" s="2"/>
    </row>
    <row r="246" ht="15.5" spans="1:20">
      <c r="A246" s="11" t="s">
        <v>46</v>
      </c>
      <c r="B246" s="11" t="s">
        <v>55</v>
      </c>
      <c r="C246" s="11" t="s">
        <v>1072</v>
      </c>
      <c r="D246" s="11" t="s">
        <v>1073</v>
      </c>
      <c r="E246" s="11" t="s">
        <v>1074</v>
      </c>
      <c r="F246" s="11" t="s">
        <v>1075</v>
      </c>
      <c r="G246" s="73"/>
      <c r="H246" s="2"/>
      <c r="I246" s="2"/>
      <c r="J246" s="2"/>
      <c r="K246" s="2"/>
      <c r="L246" s="2"/>
      <c r="M246" s="2"/>
      <c r="N246" s="2"/>
      <c r="O246" s="2"/>
      <c r="P246" s="2"/>
      <c r="Q246" s="2"/>
      <c r="R246" s="2"/>
      <c r="S246" s="2"/>
      <c r="T246" s="2"/>
    </row>
    <row r="247" spans="1:20">
      <c r="A247" s="71">
        <v>1</v>
      </c>
      <c r="B247" s="71" t="s">
        <v>1076</v>
      </c>
      <c r="C247" s="71" t="s">
        <v>1077</v>
      </c>
      <c r="D247" s="71" t="s">
        <v>1078</v>
      </c>
      <c r="E247" s="71" t="s">
        <v>1079</v>
      </c>
      <c r="F247" s="71" t="s">
        <v>67</v>
      </c>
      <c r="G247" s="2"/>
      <c r="H247" s="2"/>
      <c r="I247" s="2"/>
      <c r="J247" s="2"/>
      <c r="K247" s="2"/>
      <c r="L247" s="2"/>
      <c r="M247" s="2"/>
      <c r="N247" s="2"/>
      <c r="O247" s="2"/>
      <c r="P247" s="2"/>
      <c r="Q247" s="2"/>
      <c r="R247" s="2"/>
      <c r="S247" s="2"/>
      <c r="T247" s="2"/>
    </row>
    <row r="248" spans="1:20">
      <c r="A248" s="71">
        <v>2</v>
      </c>
      <c r="B248" s="71" t="s">
        <v>1076</v>
      </c>
      <c r="C248" s="71" t="s">
        <v>1077</v>
      </c>
      <c r="D248" s="71" t="s">
        <v>1080</v>
      </c>
      <c r="E248" s="71" t="s">
        <v>1079</v>
      </c>
      <c r="F248" s="71" t="s">
        <v>67</v>
      </c>
    </row>
    <row r="249" spans="1:20">
      <c r="A249" s="71">
        <v>3</v>
      </c>
      <c r="B249" s="71" t="s">
        <v>1081</v>
      </c>
      <c r="C249" s="71" t="s">
        <v>1077</v>
      </c>
      <c r="D249" s="71" t="s">
        <v>1082</v>
      </c>
      <c r="E249" s="71" t="s">
        <v>1079</v>
      </c>
      <c r="F249" s="71" t="s">
        <v>67</v>
      </c>
    </row>
    <row r="250" spans="1:20">
      <c r="A250" s="71">
        <v>4</v>
      </c>
      <c r="B250" s="71" t="s">
        <v>1011</v>
      </c>
      <c r="C250" s="71" t="s">
        <v>1077</v>
      </c>
      <c r="D250" s="71" t="s">
        <v>1078</v>
      </c>
      <c r="E250" s="71" t="s">
        <v>1083</v>
      </c>
      <c r="F250" s="71" t="s">
        <v>67</v>
      </c>
    </row>
    <row r="251" spans="1:20">
      <c r="A251" s="71">
        <v>5</v>
      </c>
      <c r="B251" s="71" t="s">
        <v>1011</v>
      </c>
      <c r="C251" s="71" t="s">
        <v>1077</v>
      </c>
      <c r="D251" s="71" t="s">
        <v>1084</v>
      </c>
      <c r="E251" s="71" t="s">
        <v>1083</v>
      </c>
      <c r="F251" s="71" t="s">
        <v>67</v>
      </c>
    </row>
    <row r="252" spans="1:20">
      <c r="A252" s="71">
        <v>6</v>
      </c>
      <c r="B252" s="71" t="s">
        <v>873</v>
      </c>
      <c r="C252" s="71" t="s">
        <v>1077</v>
      </c>
      <c r="D252" s="71" t="s">
        <v>1078</v>
      </c>
      <c r="E252" s="71" t="s">
        <v>1083</v>
      </c>
      <c r="F252" s="71" t="s">
        <v>67</v>
      </c>
    </row>
    <row r="253" spans="1:20">
      <c r="A253" s="71">
        <v>7</v>
      </c>
      <c r="B253" s="71" t="s">
        <v>873</v>
      </c>
      <c r="C253" s="71" t="s">
        <v>1077</v>
      </c>
      <c r="D253" s="71" t="s">
        <v>1082</v>
      </c>
      <c r="E253" s="71" t="s">
        <v>1083</v>
      </c>
      <c r="F253" s="71" t="s">
        <v>67</v>
      </c>
    </row>
    <row r="254" spans="1:20">
      <c r="A254" s="71">
        <v>8</v>
      </c>
      <c r="B254" s="71" t="s">
        <v>873</v>
      </c>
      <c r="C254" s="71" t="s">
        <v>1077</v>
      </c>
      <c r="D254" s="71" t="s">
        <v>1085</v>
      </c>
      <c r="E254" s="71" t="s">
        <v>1083</v>
      </c>
      <c r="F254" s="71" t="s">
        <v>67</v>
      </c>
    </row>
    <row r="255" spans="1:20">
      <c r="A255" s="71">
        <v>9</v>
      </c>
      <c r="B255" s="71" t="s">
        <v>1086</v>
      </c>
      <c r="C255" s="71" t="s">
        <v>1077</v>
      </c>
      <c r="D255" s="71" t="s">
        <v>1087</v>
      </c>
      <c r="E255" s="71" t="s">
        <v>1083</v>
      </c>
      <c r="F255" s="71" t="s">
        <v>67</v>
      </c>
    </row>
    <row r="256" spans="1:20">
      <c r="A256" s="71">
        <v>10</v>
      </c>
      <c r="B256" s="71" t="s">
        <v>1088</v>
      </c>
      <c r="C256" s="71" t="s">
        <v>1077</v>
      </c>
      <c r="D256" s="71" t="s">
        <v>1078</v>
      </c>
      <c r="E256" s="71" t="s">
        <v>1083</v>
      </c>
      <c r="F256" s="71" t="s">
        <v>67</v>
      </c>
    </row>
    <row r="257" spans="1:6">
      <c r="A257" s="71">
        <v>11</v>
      </c>
      <c r="B257" s="71" t="s">
        <v>1089</v>
      </c>
      <c r="C257" s="71" t="s">
        <v>1077</v>
      </c>
      <c r="D257" s="71" t="s">
        <v>1087</v>
      </c>
      <c r="E257" s="71" t="s">
        <v>1083</v>
      </c>
      <c r="F257" s="71" t="s">
        <v>67</v>
      </c>
    </row>
    <row r="258" spans="1:6">
      <c r="A258" s="71">
        <v>12</v>
      </c>
      <c r="B258" s="71" t="s">
        <v>1090</v>
      </c>
      <c r="C258" s="71" t="s">
        <v>1077</v>
      </c>
      <c r="D258" s="71" t="s">
        <v>1078</v>
      </c>
      <c r="E258" s="71" t="s">
        <v>1083</v>
      </c>
      <c r="F258" s="71" t="s">
        <v>67</v>
      </c>
    </row>
    <row r="259" spans="1:6">
      <c r="A259" s="71">
        <v>13</v>
      </c>
      <c r="B259" s="71" t="s">
        <v>1091</v>
      </c>
      <c r="C259" s="71" t="s">
        <v>1077</v>
      </c>
      <c r="D259" s="71" t="s">
        <v>1087</v>
      </c>
      <c r="E259" s="71" t="s">
        <v>1083</v>
      </c>
      <c r="F259" s="71" t="s">
        <v>67</v>
      </c>
    </row>
    <row r="260" spans="1:6">
      <c r="A260" s="71">
        <v>14</v>
      </c>
      <c r="B260" s="71" t="s">
        <v>1092</v>
      </c>
      <c r="C260" s="71" t="s">
        <v>1077</v>
      </c>
      <c r="D260" s="71" t="s">
        <v>1080</v>
      </c>
      <c r="E260" s="71" t="s">
        <v>1083</v>
      </c>
      <c r="F260" s="71" t="s">
        <v>67</v>
      </c>
    </row>
    <row r="261" spans="1:6">
      <c r="A261" s="71">
        <v>15</v>
      </c>
      <c r="B261" s="71" t="s">
        <v>1093</v>
      </c>
      <c r="C261" s="71" t="s">
        <v>1077</v>
      </c>
      <c r="D261" s="71" t="s">
        <v>1094</v>
      </c>
      <c r="E261" s="71" t="s">
        <v>1083</v>
      </c>
      <c r="F261" s="71" t="s">
        <v>67</v>
      </c>
    </row>
    <row r="262" spans="1:6">
      <c r="A262" s="71">
        <v>16</v>
      </c>
      <c r="B262" s="71" t="s">
        <v>1014</v>
      </c>
      <c r="C262" s="71" t="s">
        <v>1077</v>
      </c>
      <c r="D262" s="71" t="s">
        <v>1078</v>
      </c>
      <c r="E262" s="71" t="s">
        <v>1095</v>
      </c>
      <c r="F262" s="71" t="s">
        <v>1096</v>
      </c>
    </row>
    <row r="263" spans="1:6">
      <c r="A263" s="71">
        <v>17</v>
      </c>
      <c r="B263" s="71" t="s">
        <v>1014</v>
      </c>
      <c r="C263" s="71" t="s">
        <v>1077</v>
      </c>
      <c r="D263" s="71" t="s">
        <v>1082</v>
      </c>
      <c r="E263" s="71" t="s">
        <v>1095</v>
      </c>
      <c r="F263" s="71" t="s">
        <v>1097</v>
      </c>
    </row>
    <row r="264" spans="1:6">
      <c r="A264" s="71">
        <v>18</v>
      </c>
      <c r="B264" s="71" t="s">
        <v>1014</v>
      </c>
      <c r="C264" s="71" t="s">
        <v>1077</v>
      </c>
      <c r="D264" s="71" t="s">
        <v>1098</v>
      </c>
      <c r="E264" s="71" t="s">
        <v>1095</v>
      </c>
      <c r="F264" s="71" t="s">
        <v>67</v>
      </c>
    </row>
    <row r="265" spans="1:6">
      <c r="A265" s="71">
        <v>19</v>
      </c>
      <c r="B265" s="71" t="s">
        <v>1014</v>
      </c>
      <c r="C265" s="71" t="s">
        <v>1077</v>
      </c>
      <c r="D265" s="71" t="s">
        <v>1082</v>
      </c>
      <c r="E265" s="71" t="s">
        <v>1095</v>
      </c>
      <c r="F265" s="71" t="s">
        <v>1099</v>
      </c>
    </row>
    <row r="266" spans="1:6">
      <c r="A266" s="71">
        <v>20</v>
      </c>
      <c r="B266" s="71" t="s">
        <v>1014</v>
      </c>
      <c r="C266" s="71" t="s">
        <v>1077</v>
      </c>
      <c r="D266" s="71" t="s">
        <v>1100</v>
      </c>
      <c r="E266" s="71" t="s">
        <v>1095</v>
      </c>
      <c r="F266" s="71" t="s">
        <v>1101</v>
      </c>
    </row>
    <row r="267" spans="1:6">
      <c r="A267" s="71">
        <v>21</v>
      </c>
      <c r="B267" s="71" t="s">
        <v>1014</v>
      </c>
      <c r="C267" s="71" t="s">
        <v>1077</v>
      </c>
      <c r="D267" s="71" t="s">
        <v>1084</v>
      </c>
      <c r="E267" s="71" t="s">
        <v>1095</v>
      </c>
      <c r="F267" s="71" t="s">
        <v>1102</v>
      </c>
    </row>
    <row r="268" spans="1:6">
      <c r="A268" s="71">
        <v>22</v>
      </c>
      <c r="B268" s="71" t="s">
        <v>1014</v>
      </c>
      <c r="C268" s="71" t="s">
        <v>1077</v>
      </c>
      <c r="D268" s="71" t="s">
        <v>1084</v>
      </c>
      <c r="E268" s="71" t="s">
        <v>1095</v>
      </c>
      <c r="F268" s="71" t="s">
        <v>1103</v>
      </c>
    </row>
    <row r="269" spans="1:6">
      <c r="A269" s="71">
        <v>23</v>
      </c>
      <c r="B269" s="71" t="s">
        <v>1014</v>
      </c>
      <c r="C269" s="71" t="s">
        <v>1077</v>
      </c>
      <c r="D269" s="71" t="s">
        <v>1080</v>
      </c>
      <c r="E269" s="71" t="s">
        <v>1095</v>
      </c>
      <c r="F269" s="71" t="s">
        <v>1104</v>
      </c>
    </row>
    <row r="270" spans="1:6">
      <c r="A270" s="71">
        <v>24</v>
      </c>
      <c r="B270" s="71" t="s">
        <v>1014</v>
      </c>
      <c r="C270" s="71" t="s">
        <v>1077</v>
      </c>
      <c r="D270" s="71" t="s">
        <v>1082</v>
      </c>
      <c r="E270" s="71" t="s">
        <v>1095</v>
      </c>
      <c r="F270" s="71" t="s">
        <v>1105</v>
      </c>
    </row>
    <row r="271" spans="1:6">
      <c r="A271" s="71">
        <v>25</v>
      </c>
      <c r="B271" s="71" t="s">
        <v>1014</v>
      </c>
      <c r="C271" s="71" t="s">
        <v>1077</v>
      </c>
      <c r="D271" s="71" t="s">
        <v>1094</v>
      </c>
      <c r="E271" s="71" t="s">
        <v>1095</v>
      </c>
      <c r="F271" s="71" t="s">
        <v>1106</v>
      </c>
    </row>
    <row r="272" spans="1:6">
      <c r="A272" s="71">
        <v>26</v>
      </c>
      <c r="B272" s="71" t="s">
        <v>1014</v>
      </c>
      <c r="C272" s="71" t="s">
        <v>1077</v>
      </c>
      <c r="D272" s="71" t="s">
        <v>1080</v>
      </c>
      <c r="E272" s="71" t="s">
        <v>1095</v>
      </c>
      <c r="F272" s="71" t="s">
        <v>1102</v>
      </c>
    </row>
    <row r="273" spans="1:6">
      <c r="A273" s="71">
        <v>27</v>
      </c>
      <c r="B273" s="71" t="s">
        <v>1014</v>
      </c>
      <c r="C273" s="71" t="s">
        <v>1077</v>
      </c>
      <c r="D273" s="71" t="s">
        <v>1100</v>
      </c>
      <c r="E273" s="71" t="s">
        <v>1095</v>
      </c>
      <c r="F273" s="71" t="s">
        <v>1107</v>
      </c>
    </row>
    <row r="274" spans="1:6">
      <c r="A274" s="71">
        <v>28</v>
      </c>
      <c r="B274" s="71" t="s">
        <v>1014</v>
      </c>
      <c r="C274" s="71" t="s">
        <v>1077</v>
      </c>
      <c r="D274" s="71" t="s">
        <v>1108</v>
      </c>
      <c r="E274" s="71" t="s">
        <v>1095</v>
      </c>
      <c r="F274" s="71" t="s">
        <v>1109</v>
      </c>
    </row>
    <row r="275" spans="1:6">
      <c r="A275" s="71">
        <v>29</v>
      </c>
      <c r="B275" s="71" t="s">
        <v>1014</v>
      </c>
      <c r="C275" s="71" t="s">
        <v>1077</v>
      </c>
      <c r="D275" s="71" t="s">
        <v>1100</v>
      </c>
      <c r="E275" s="71" t="s">
        <v>1095</v>
      </c>
      <c r="F275" s="71" t="s">
        <v>1110</v>
      </c>
    </row>
    <row r="276" spans="1:6">
      <c r="A276" s="71">
        <v>30</v>
      </c>
      <c r="B276" s="71" t="s">
        <v>1014</v>
      </c>
      <c r="C276" s="71" t="s">
        <v>1077</v>
      </c>
      <c r="D276" s="71" t="s">
        <v>1111</v>
      </c>
      <c r="E276" s="71" t="s">
        <v>1095</v>
      </c>
      <c r="F276" s="71" t="s">
        <v>1112</v>
      </c>
    </row>
    <row r="277" spans="1:6">
      <c r="A277" s="71">
        <v>31</v>
      </c>
      <c r="B277" s="71" t="s">
        <v>1014</v>
      </c>
      <c r="C277" s="71" t="s">
        <v>1077</v>
      </c>
      <c r="D277" s="71" t="s">
        <v>1078</v>
      </c>
      <c r="E277" s="71" t="s">
        <v>1095</v>
      </c>
      <c r="F277" s="71" t="s">
        <v>1102</v>
      </c>
    </row>
    <row r="278" spans="1:6">
      <c r="A278" s="71">
        <v>32</v>
      </c>
      <c r="B278" s="71" t="s">
        <v>1014</v>
      </c>
      <c r="C278" s="71" t="s">
        <v>1077</v>
      </c>
      <c r="D278" s="71" t="s">
        <v>1084</v>
      </c>
      <c r="E278" s="71" t="s">
        <v>1095</v>
      </c>
      <c r="F278" s="71" t="s">
        <v>1113</v>
      </c>
    </row>
    <row r="279" spans="1:6">
      <c r="A279" s="71">
        <v>33</v>
      </c>
      <c r="B279" s="71" t="s">
        <v>1014</v>
      </c>
      <c r="C279" s="71" t="s">
        <v>1077</v>
      </c>
      <c r="D279" s="71" t="s">
        <v>1100</v>
      </c>
      <c r="E279" s="71" t="s">
        <v>1095</v>
      </c>
      <c r="F279" s="71" t="s">
        <v>1103</v>
      </c>
    </row>
    <row r="280" spans="1:6">
      <c r="A280" s="71">
        <v>34</v>
      </c>
      <c r="B280" s="71" t="s">
        <v>1114</v>
      </c>
      <c r="C280" s="71" t="s">
        <v>1077</v>
      </c>
      <c r="D280" s="71" t="s">
        <v>1078</v>
      </c>
      <c r="E280" s="71" t="s">
        <v>1083</v>
      </c>
      <c r="F280" s="71" t="s">
        <v>67</v>
      </c>
    </row>
    <row r="281" spans="1:6">
      <c r="A281" s="71">
        <v>35</v>
      </c>
      <c r="B281" s="71" t="s">
        <v>1115</v>
      </c>
      <c r="C281" s="71" t="s">
        <v>1077</v>
      </c>
      <c r="D281" s="71" t="s">
        <v>1116</v>
      </c>
      <c r="E281" s="71" t="s">
        <v>1083</v>
      </c>
      <c r="F281" s="71" t="s">
        <v>67</v>
      </c>
    </row>
    <row r="282" spans="1:6">
      <c r="A282" s="71">
        <v>36</v>
      </c>
      <c r="B282" s="71" t="s">
        <v>1117</v>
      </c>
      <c r="C282" s="71" t="s">
        <v>1077</v>
      </c>
      <c r="D282" s="71" t="s">
        <v>1078</v>
      </c>
      <c r="E282" s="71" t="s">
        <v>1083</v>
      </c>
      <c r="F282" s="71" t="s">
        <v>67</v>
      </c>
    </row>
    <row r="283" spans="1:6">
      <c r="A283" s="71">
        <v>37</v>
      </c>
      <c r="B283" s="71" t="s">
        <v>1118</v>
      </c>
      <c r="C283" s="71" t="s">
        <v>1077</v>
      </c>
      <c r="D283" s="71" t="s">
        <v>1082</v>
      </c>
      <c r="E283" s="71" t="s">
        <v>1083</v>
      </c>
      <c r="F283" s="71" t="s">
        <v>67</v>
      </c>
    </row>
    <row r="284" spans="1:6">
      <c r="A284" s="71">
        <v>38</v>
      </c>
      <c r="B284" s="71" t="s">
        <v>1118</v>
      </c>
      <c r="C284" s="71" t="s">
        <v>1077</v>
      </c>
      <c r="D284" s="71" t="s">
        <v>1078</v>
      </c>
      <c r="E284" s="71" t="s">
        <v>1083</v>
      </c>
      <c r="F284" s="71" t="s">
        <v>67</v>
      </c>
    </row>
    <row r="285" spans="1:6">
      <c r="A285" s="71">
        <v>39</v>
      </c>
      <c r="B285" s="71" t="s">
        <v>1118</v>
      </c>
      <c r="C285" s="71" t="s">
        <v>1077</v>
      </c>
      <c r="D285" s="71" t="s">
        <v>1080</v>
      </c>
      <c r="E285" s="71" t="s">
        <v>1083</v>
      </c>
      <c r="F285" s="71" t="s">
        <v>67</v>
      </c>
    </row>
    <row r="286" spans="1:6">
      <c r="A286" s="71">
        <v>40</v>
      </c>
      <c r="B286" s="71" t="s">
        <v>1119</v>
      </c>
      <c r="C286" s="71" t="s">
        <v>1077</v>
      </c>
      <c r="D286" s="71" t="s">
        <v>1080</v>
      </c>
      <c r="E286" s="71" t="s">
        <v>1083</v>
      </c>
      <c r="F286" s="71" t="s">
        <v>67</v>
      </c>
    </row>
    <row r="287" spans="1:6">
      <c r="A287" s="71">
        <v>41</v>
      </c>
      <c r="B287" s="71" t="s">
        <v>1120</v>
      </c>
      <c r="C287" s="71" t="s">
        <v>1077</v>
      </c>
      <c r="D287" s="71" t="s">
        <v>1082</v>
      </c>
      <c r="E287" s="71" t="s">
        <v>1083</v>
      </c>
      <c r="F287" s="71" t="s">
        <v>67</v>
      </c>
    </row>
    <row r="288" spans="1:6">
      <c r="A288" s="71">
        <v>42</v>
      </c>
      <c r="B288" s="71" t="s">
        <v>1015</v>
      </c>
      <c r="C288" s="71" t="s">
        <v>1077</v>
      </c>
      <c r="D288" s="71" t="s">
        <v>1080</v>
      </c>
      <c r="E288" s="71" t="s">
        <v>1095</v>
      </c>
      <c r="F288" s="71" t="s">
        <v>1104</v>
      </c>
    </row>
    <row r="289" spans="1:20">
      <c r="A289" s="71">
        <v>43</v>
      </c>
      <c r="B289" s="71" t="s">
        <v>1015</v>
      </c>
      <c r="C289" s="71" t="s">
        <v>1077</v>
      </c>
      <c r="D289" s="71" t="s">
        <v>1100</v>
      </c>
      <c r="E289" s="71" t="s">
        <v>1095</v>
      </c>
      <c r="F289" s="71" t="s">
        <v>1121</v>
      </c>
    </row>
    <row r="290" spans="1:20">
      <c r="A290" s="71">
        <v>44</v>
      </c>
      <c r="B290" s="71" t="s">
        <v>1015</v>
      </c>
      <c r="C290" s="71" t="s">
        <v>1077</v>
      </c>
      <c r="D290" s="71" t="s">
        <v>1078</v>
      </c>
      <c r="E290" s="71" t="s">
        <v>1095</v>
      </c>
      <c r="F290" s="71" t="s">
        <v>1105</v>
      </c>
    </row>
    <row r="291" spans="1:20">
      <c r="A291" s="71">
        <v>45</v>
      </c>
      <c r="B291" s="71" t="s">
        <v>1015</v>
      </c>
      <c r="C291" s="71" t="s">
        <v>1077</v>
      </c>
      <c r="D291" s="71" t="s">
        <v>1100</v>
      </c>
      <c r="E291" s="71" t="s">
        <v>1095</v>
      </c>
      <c r="F291" s="71" t="s">
        <v>1122</v>
      </c>
    </row>
    <row r="292" spans="1:20">
      <c r="A292" s="71">
        <v>46</v>
      </c>
      <c r="B292" s="71" t="s">
        <v>1015</v>
      </c>
      <c r="C292" s="71" t="s">
        <v>1077</v>
      </c>
      <c r="D292" s="71" t="s">
        <v>1094</v>
      </c>
      <c r="E292" s="71" t="s">
        <v>1095</v>
      </c>
      <c r="F292" s="71" t="s">
        <v>1123</v>
      </c>
    </row>
    <row r="293" spans="1:20">
      <c r="A293" s="71">
        <v>47</v>
      </c>
      <c r="B293" s="71" t="s">
        <v>1015</v>
      </c>
      <c r="C293" s="71" t="s">
        <v>1077</v>
      </c>
      <c r="D293" s="71" t="s">
        <v>1116</v>
      </c>
      <c r="E293" s="71" t="s">
        <v>1095</v>
      </c>
      <c r="F293" s="71" t="s">
        <v>1103</v>
      </c>
    </row>
    <row r="294" spans="1:20">
      <c r="A294" s="71">
        <v>48</v>
      </c>
      <c r="B294" s="71" t="s">
        <v>1015</v>
      </c>
      <c r="C294" s="71" t="s">
        <v>1077</v>
      </c>
      <c r="D294" s="71" t="s">
        <v>1080</v>
      </c>
      <c r="E294" s="71" t="s">
        <v>1095</v>
      </c>
      <c r="F294" s="71" t="s">
        <v>1103</v>
      </c>
    </row>
    <row r="295" spans="1:20">
      <c r="A295" s="71">
        <v>49</v>
      </c>
      <c r="B295" s="71" t="s">
        <v>1015</v>
      </c>
      <c r="C295" s="71" t="s">
        <v>1077</v>
      </c>
      <c r="D295" s="71" t="s">
        <v>1082</v>
      </c>
      <c r="E295" s="71" t="s">
        <v>1095</v>
      </c>
      <c r="F295" s="71" t="s">
        <v>1102</v>
      </c>
    </row>
    <row r="296" spans="1:20">
      <c r="A296" s="71">
        <v>50</v>
      </c>
      <c r="B296" s="71" t="s">
        <v>1015</v>
      </c>
      <c r="C296" s="71" t="s">
        <v>1077</v>
      </c>
      <c r="D296" s="71" t="s">
        <v>1078</v>
      </c>
      <c r="E296" s="71" t="s">
        <v>1095</v>
      </c>
      <c r="F296" s="71" t="s">
        <v>1096</v>
      </c>
    </row>
    <row r="297" spans="1:20">
      <c r="A297" s="2"/>
      <c r="B297" s="2"/>
      <c r="C297" s="2"/>
      <c r="D297" s="2"/>
      <c r="E297" s="2"/>
      <c r="F297" s="2"/>
      <c r="G297" s="2"/>
      <c r="H297" s="2"/>
      <c r="I297" s="2"/>
      <c r="J297" s="2"/>
      <c r="K297" s="2"/>
      <c r="L297" s="2"/>
      <c r="M297" s="2"/>
      <c r="N297" s="2"/>
      <c r="O297" s="2"/>
      <c r="P297" s="2"/>
      <c r="Q297" s="2"/>
      <c r="R297" s="2"/>
      <c r="S297" s="2"/>
      <c r="T297" s="2"/>
    </row>
    <row r="298" spans="1:20">
      <c r="A298" s="2"/>
      <c r="B298" s="2"/>
      <c r="C298" s="2"/>
      <c r="D298" s="2"/>
      <c r="E298" s="2"/>
      <c r="F298" s="2"/>
      <c r="G298" s="2"/>
      <c r="H298" s="2"/>
      <c r="I298" s="2"/>
      <c r="J298" s="2"/>
      <c r="K298" s="2"/>
      <c r="L298" s="2"/>
      <c r="M298" s="2"/>
      <c r="N298" s="2"/>
      <c r="O298" s="2"/>
      <c r="P298" s="2"/>
      <c r="Q298" s="2"/>
      <c r="R298" s="2"/>
      <c r="S298" s="2"/>
      <c r="T298" s="2"/>
    </row>
    <row r="299" ht="15.5" spans="1:20">
      <c r="A299" s="70" t="s">
        <v>1124</v>
      </c>
      <c r="B299" s="2"/>
      <c r="C299" s="2"/>
      <c r="D299" s="2"/>
      <c r="E299" s="2"/>
      <c r="F299" s="2"/>
      <c r="G299" s="2"/>
      <c r="H299" s="2"/>
      <c r="I299" s="2"/>
      <c r="J299" s="2"/>
      <c r="K299" s="2"/>
      <c r="L299" s="2"/>
      <c r="M299" s="2"/>
      <c r="N299" s="2"/>
      <c r="O299" s="2"/>
      <c r="P299" s="2"/>
      <c r="Q299" s="2"/>
      <c r="R299" s="2"/>
      <c r="S299" s="2"/>
      <c r="T299" s="2"/>
    </row>
    <row r="300" ht="15.5" spans="1:20">
      <c r="A300" s="11" t="s">
        <v>46</v>
      </c>
      <c r="B300" s="11" t="s">
        <v>55</v>
      </c>
      <c r="C300" s="11" t="s">
        <v>1125</v>
      </c>
      <c r="D300" s="11" t="s">
        <v>1126</v>
      </c>
      <c r="E300" s="11" t="s">
        <v>1127</v>
      </c>
      <c r="F300" s="11" t="s">
        <v>1128</v>
      </c>
      <c r="G300" s="73"/>
      <c r="H300" s="2"/>
      <c r="I300" s="2"/>
      <c r="J300" s="2"/>
      <c r="K300" s="2"/>
      <c r="L300" s="2"/>
      <c r="M300" s="2"/>
      <c r="N300" s="2"/>
      <c r="O300" s="2"/>
      <c r="P300" s="2"/>
      <c r="Q300" s="2"/>
      <c r="R300" s="2"/>
      <c r="S300" s="2"/>
      <c r="T300" s="2"/>
    </row>
    <row r="301" spans="1:20">
      <c r="A301" s="71">
        <v>1</v>
      </c>
      <c r="B301" s="71" t="s">
        <v>1129</v>
      </c>
      <c r="C301" s="71" t="s">
        <v>96</v>
      </c>
      <c r="D301" s="71" t="s">
        <v>1130</v>
      </c>
      <c r="E301" s="71" t="s">
        <v>67</v>
      </c>
      <c r="F301" s="71" t="s">
        <v>1131</v>
      </c>
      <c r="G301" s="2"/>
      <c r="H301" s="2"/>
      <c r="I301" s="2"/>
      <c r="J301" s="2"/>
      <c r="K301" s="2"/>
      <c r="L301" s="2"/>
      <c r="M301" s="2"/>
      <c r="N301" s="2"/>
      <c r="O301" s="2"/>
      <c r="P301" s="2"/>
      <c r="Q301" s="2"/>
      <c r="R301" s="2"/>
      <c r="S301" s="2"/>
      <c r="T301" s="2"/>
    </row>
    <row r="302" spans="1:20">
      <c r="A302" s="71">
        <v>2</v>
      </c>
      <c r="B302" s="71" t="s">
        <v>1129</v>
      </c>
      <c r="C302" s="71" t="s">
        <v>4</v>
      </c>
      <c r="D302" s="71" t="s">
        <v>1130</v>
      </c>
      <c r="E302" s="71" t="s">
        <v>67</v>
      </c>
      <c r="F302" s="71" t="s">
        <v>1131</v>
      </c>
    </row>
    <row r="303" spans="1:20">
      <c r="A303" s="71">
        <v>3</v>
      </c>
      <c r="B303" s="71" t="s">
        <v>1129</v>
      </c>
      <c r="C303" s="71" t="s">
        <v>2</v>
      </c>
      <c r="D303" s="71" t="s">
        <v>1130</v>
      </c>
      <c r="E303" s="71" t="s">
        <v>67</v>
      </c>
      <c r="F303" s="71" t="s">
        <v>1131</v>
      </c>
    </row>
    <row r="304" spans="1:20">
      <c r="A304" s="71">
        <v>4</v>
      </c>
      <c r="B304" s="71" t="s">
        <v>1129</v>
      </c>
      <c r="C304" s="71" t="s">
        <v>74</v>
      </c>
      <c r="D304" s="71" t="s">
        <v>1130</v>
      </c>
      <c r="E304" s="71" t="s">
        <v>67</v>
      </c>
      <c r="F304" s="71" t="s">
        <v>1131</v>
      </c>
    </row>
    <row r="305" spans="1:20">
      <c r="A305" s="71">
        <v>5</v>
      </c>
      <c r="B305" s="71" t="s">
        <v>1132</v>
      </c>
      <c r="C305" s="71" t="s">
        <v>96</v>
      </c>
      <c r="D305" s="71" t="s">
        <v>1133</v>
      </c>
      <c r="E305" s="71" t="s">
        <v>67</v>
      </c>
      <c r="F305" s="71" t="s">
        <v>1134</v>
      </c>
    </row>
    <row r="306" spans="1:20">
      <c r="A306" s="71">
        <v>6</v>
      </c>
      <c r="B306" s="71" t="s">
        <v>1132</v>
      </c>
      <c r="C306" s="71" t="s">
        <v>74</v>
      </c>
      <c r="D306" s="71" t="s">
        <v>1133</v>
      </c>
      <c r="E306" s="71" t="s">
        <v>67</v>
      </c>
      <c r="F306" s="71" t="s">
        <v>1134</v>
      </c>
    </row>
    <row r="307" spans="1:20">
      <c r="A307" s="71">
        <v>7</v>
      </c>
      <c r="B307" s="71" t="s">
        <v>1132</v>
      </c>
      <c r="C307" s="71" t="s">
        <v>4</v>
      </c>
      <c r="D307" s="71" t="s">
        <v>1133</v>
      </c>
      <c r="E307" s="71" t="s">
        <v>67</v>
      </c>
      <c r="F307" s="71" t="s">
        <v>1134</v>
      </c>
    </row>
    <row r="308" spans="1:20">
      <c r="A308" s="71">
        <v>8</v>
      </c>
      <c r="B308" s="71" t="s">
        <v>1132</v>
      </c>
      <c r="C308" s="71" t="s">
        <v>2</v>
      </c>
      <c r="D308" s="71" t="s">
        <v>1133</v>
      </c>
      <c r="E308" s="71" t="s">
        <v>67</v>
      </c>
      <c r="F308" s="71" t="s">
        <v>1134</v>
      </c>
    </row>
    <row r="309" spans="1:20">
      <c r="A309" s="71">
        <v>9</v>
      </c>
      <c r="B309" s="71" t="s">
        <v>1135</v>
      </c>
      <c r="C309" s="71" t="s">
        <v>2</v>
      </c>
      <c r="D309" s="71" t="s">
        <v>1136</v>
      </c>
      <c r="E309" s="71" t="s">
        <v>67</v>
      </c>
      <c r="F309" s="71" t="s">
        <v>1131</v>
      </c>
    </row>
    <row r="310" spans="1:20">
      <c r="A310" s="71">
        <v>10</v>
      </c>
      <c r="B310" s="71" t="s">
        <v>1137</v>
      </c>
      <c r="C310" s="71" t="s">
        <v>4</v>
      </c>
      <c r="D310" s="71" t="s">
        <v>1133</v>
      </c>
      <c r="E310" s="71" t="s">
        <v>67</v>
      </c>
      <c r="F310" s="71" t="s">
        <v>1134</v>
      </c>
    </row>
    <row r="311" spans="1:20">
      <c r="A311" s="71">
        <v>11</v>
      </c>
      <c r="B311" s="71" t="s">
        <v>1137</v>
      </c>
      <c r="C311" s="71" t="s">
        <v>2</v>
      </c>
      <c r="D311" s="71" t="s">
        <v>1138</v>
      </c>
      <c r="E311" s="71" t="s">
        <v>67</v>
      </c>
      <c r="F311" s="71" t="s">
        <v>1134</v>
      </c>
    </row>
    <row r="312" spans="1:20">
      <c r="A312" s="71">
        <v>12</v>
      </c>
      <c r="B312" s="71" t="s">
        <v>1137</v>
      </c>
      <c r="C312" s="71" t="s">
        <v>96</v>
      </c>
      <c r="D312" s="71" t="s">
        <v>1133</v>
      </c>
      <c r="E312" s="71" t="s">
        <v>67</v>
      </c>
      <c r="F312" s="71" t="s">
        <v>1134</v>
      </c>
    </row>
    <row r="313" spans="1:20">
      <c r="A313" s="71">
        <v>13</v>
      </c>
      <c r="B313" s="71" t="s">
        <v>1137</v>
      </c>
      <c r="C313" s="71" t="s">
        <v>74</v>
      </c>
      <c r="D313" s="71" t="s">
        <v>1133</v>
      </c>
      <c r="E313" s="71" t="s">
        <v>67</v>
      </c>
      <c r="F313" s="71" t="s">
        <v>1134</v>
      </c>
    </row>
    <row r="314" spans="1:20">
      <c r="A314" s="71">
        <v>14</v>
      </c>
      <c r="B314" s="71" t="s">
        <v>1139</v>
      </c>
      <c r="C314" s="71" t="s">
        <v>485</v>
      </c>
      <c r="D314" s="71" t="s">
        <v>1133</v>
      </c>
      <c r="E314" s="71" t="s">
        <v>67</v>
      </c>
      <c r="F314" s="71" t="s">
        <v>1134</v>
      </c>
    </row>
    <row r="315" spans="1:20">
      <c r="A315" s="71">
        <v>15</v>
      </c>
      <c r="B315" s="71" t="s">
        <v>1140</v>
      </c>
      <c r="C315" s="71" t="s">
        <v>485</v>
      </c>
      <c r="D315" s="71" t="s">
        <v>1141</v>
      </c>
      <c r="E315" s="71" t="s">
        <v>67</v>
      </c>
      <c r="F315" s="71" t="s">
        <v>1142</v>
      </c>
    </row>
    <row r="316" spans="1:20">
      <c r="A316" s="71">
        <v>16</v>
      </c>
      <c r="B316" s="71" t="s">
        <v>1143</v>
      </c>
      <c r="C316" s="71" t="s">
        <v>521</v>
      </c>
      <c r="D316" s="71" t="s">
        <v>1136</v>
      </c>
      <c r="E316" s="71" t="s">
        <v>67</v>
      </c>
      <c r="F316" s="71" t="s">
        <v>1131</v>
      </c>
    </row>
    <row r="317" spans="1:20">
      <c r="A317" s="71">
        <v>17</v>
      </c>
      <c r="B317" s="71" t="s">
        <v>1144</v>
      </c>
      <c r="C317" s="71" t="s">
        <v>662</v>
      </c>
      <c r="D317" s="71" t="s">
        <v>1145</v>
      </c>
      <c r="E317" s="71" t="s">
        <v>1146</v>
      </c>
      <c r="F317" s="71" t="s">
        <v>1147</v>
      </c>
    </row>
    <row r="318" spans="1:20">
      <c r="A318" s="2"/>
      <c r="B318" s="2"/>
      <c r="C318" s="2"/>
      <c r="D318" s="2"/>
      <c r="E318" s="2"/>
      <c r="F318" s="2"/>
      <c r="G318" s="2"/>
      <c r="H318" s="2"/>
      <c r="I318" s="2"/>
      <c r="J318" s="2"/>
      <c r="K318" s="2"/>
      <c r="L318" s="2"/>
      <c r="M318" s="2"/>
      <c r="N318" s="2"/>
      <c r="O318" s="2"/>
      <c r="P318" s="2"/>
      <c r="Q318" s="2"/>
      <c r="R318" s="2"/>
      <c r="S318" s="2"/>
      <c r="T318" s="2"/>
    </row>
    <row r="319" spans="1:20">
      <c r="A319" s="2"/>
      <c r="B319" s="2"/>
      <c r="C319" s="2"/>
      <c r="D319" s="2"/>
      <c r="E319" s="2"/>
      <c r="F319" s="2"/>
      <c r="G319" s="2"/>
      <c r="H319" s="2"/>
      <c r="I319" s="2"/>
      <c r="J319" s="2"/>
      <c r="K319" s="2"/>
      <c r="L319" s="2"/>
      <c r="M319" s="2"/>
      <c r="N319" s="2"/>
      <c r="O319" s="2"/>
      <c r="P319" s="2"/>
      <c r="Q319" s="2"/>
      <c r="R319" s="2"/>
      <c r="S319" s="2"/>
      <c r="T319" s="2"/>
    </row>
    <row r="320" spans="1:20">
      <c r="A320" s="2"/>
      <c r="B320" s="2"/>
      <c r="C320" s="2"/>
      <c r="D320" s="2"/>
      <c r="E320" s="2"/>
      <c r="F320" s="2"/>
      <c r="G320" s="2"/>
      <c r="H320" s="2"/>
      <c r="I320" s="2"/>
      <c r="J320" s="2"/>
      <c r="K320" s="2"/>
      <c r="L320" s="2"/>
      <c r="M320" s="2"/>
      <c r="N320" s="2"/>
      <c r="O320" s="2"/>
      <c r="P320" s="2"/>
      <c r="Q320" s="2"/>
      <c r="R320" s="2"/>
      <c r="S320" s="2"/>
      <c r="T320" s="2"/>
    </row>
    <row r="321" spans="1:20">
      <c r="A321" s="2"/>
      <c r="B321" s="2"/>
      <c r="C321" s="2"/>
      <c r="D321" s="2"/>
      <c r="E321" s="2"/>
      <c r="F321" s="2"/>
      <c r="G321" s="2"/>
      <c r="H321" s="2"/>
      <c r="I321" s="2"/>
      <c r="J321" s="2"/>
      <c r="K321" s="2"/>
      <c r="L321" s="2"/>
      <c r="M321" s="2"/>
      <c r="N321" s="2"/>
      <c r="O321" s="2"/>
      <c r="P321" s="2"/>
      <c r="Q321" s="2"/>
      <c r="R321" s="2"/>
      <c r="S321" s="2"/>
      <c r="T321" s="2"/>
    </row>
    <row r="322" spans="1:20">
      <c r="A322" s="2"/>
      <c r="B322" s="2"/>
      <c r="C322" s="2"/>
      <c r="D322" s="2"/>
      <c r="E322" s="2"/>
      <c r="F322" s="2"/>
      <c r="G322" s="2"/>
      <c r="H322" s="2"/>
      <c r="I322" s="2"/>
      <c r="J322" s="2"/>
      <c r="K322" s="2"/>
      <c r="L322" s="2"/>
      <c r="M322" s="2"/>
      <c r="N322" s="2"/>
      <c r="O322" s="2"/>
      <c r="P322" s="2"/>
      <c r="Q322" s="2"/>
      <c r="R322" s="2"/>
      <c r="S322" s="2"/>
      <c r="T322" s="2"/>
    </row>
    <row r="323" spans="1:20">
      <c r="A323" s="2"/>
      <c r="B323" s="2"/>
      <c r="C323" s="2"/>
      <c r="D323" s="2"/>
      <c r="E323" s="2"/>
      <c r="F323" s="2"/>
      <c r="G323" s="2"/>
      <c r="H323" s="2"/>
      <c r="I323" s="2"/>
      <c r="J323" s="2"/>
      <c r="K323" s="2"/>
      <c r="L323" s="2"/>
      <c r="M323" s="2"/>
      <c r="N323" s="2"/>
      <c r="O323" s="2"/>
      <c r="P323" s="2"/>
      <c r="Q323" s="2"/>
      <c r="R323" s="2"/>
      <c r="S323" s="2"/>
      <c r="T323" s="2"/>
    </row>
    <row r="324" spans="1:20">
      <c r="A324" s="2"/>
      <c r="B324" s="2"/>
      <c r="C324" s="2"/>
      <c r="D324" s="2"/>
      <c r="E324" s="2"/>
      <c r="F324" s="2"/>
      <c r="G324" s="2"/>
      <c r="H324" s="2"/>
      <c r="I324" s="2"/>
      <c r="J324" s="2"/>
      <c r="K324" s="2"/>
      <c r="L324" s="2"/>
      <c r="M324" s="2"/>
      <c r="N324" s="2"/>
      <c r="O324" s="2"/>
      <c r="P324" s="2"/>
      <c r="Q324" s="2"/>
      <c r="R324" s="2"/>
      <c r="S324" s="2"/>
      <c r="T324" s="2"/>
    </row>
    <row r="325" spans="1:20">
      <c r="A325" s="2"/>
      <c r="B325" s="2"/>
      <c r="C325" s="2"/>
      <c r="D325" s="2"/>
      <c r="E325" s="2"/>
      <c r="F325" s="2"/>
      <c r="G325" s="2"/>
      <c r="H325" s="2"/>
      <c r="I325" s="2"/>
      <c r="J325" s="2"/>
      <c r="K325" s="2"/>
      <c r="L325" s="2"/>
      <c r="M325" s="2"/>
      <c r="N325" s="2"/>
      <c r="O325" s="2"/>
      <c r="P325" s="2"/>
      <c r="Q325" s="2"/>
      <c r="R325" s="2"/>
      <c r="S325" s="2"/>
      <c r="T325" s="2"/>
    </row>
    <row r="326" spans="1:20">
      <c r="A326" s="2"/>
      <c r="B326" s="2"/>
      <c r="C326" s="2"/>
      <c r="D326" s="2"/>
      <c r="E326" s="2"/>
      <c r="F326" s="2"/>
      <c r="G326" s="2"/>
      <c r="H326" s="2"/>
      <c r="I326" s="2"/>
      <c r="J326" s="2"/>
      <c r="K326" s="2"/>
      <c r="L326" s="2"/>
      <c r="M326" s="2"/>
      <c r="N326" s="2"/>
      <c r="O326" s="2"/>
      <c r="P326" s="2"/>
      <c r="Q326" s="2"/>
      <c r="R326" s="2"/>
      <c r="S326" s="2"/>
      <c r="T326" s="2"/>
    </row>
    <row r="327" spans="1:20">
      <c r="A327" s="2"/>
      <c r="B327" s="2"/>
      <c r="C327" s="2"/>
      <c r="D327" s="2"/>
      <c r="E327" s="2"/>
      <c r="F327" s="2"/>
      <c r="G327" s="2"/>
      <c r="H327" s="2"/>
      <c r="I327" s="2"/>
      <c r="J327" s="2"/>
      <c r="K327" s="2"/>
      <c r="L327" s="2"/>
      <c r="M327" s="2"/>
      <c r="N327" s="2"/>
      <c r="O327" s="2"/>
      <c r="P327" s="2"/>
      <c r="Q327" s="2"/>
      <c r="R327" s="2"/>
      <c r="S327" s="2"/>
      <c r="T327" s="2"/>
    </row>
    <row r="328" spans="1:20">
      <c r="A328" s="2"/>
      <c r="B328" s="2"/>
      <c r="C328" s="2"/>
      <c r="D328" s="2"/>
      <c r="E328" s="2"/>
      <c r="F328" s="2"/>
      <c r="G328" s="2"/>
      <c r="H328" s="2"/>
      <c r="I328" s="2"/>
      <c r="J328" s="2"/>
      <c r="K328" s="2"/>
      <c r="L328" s="2"/>
      <c r="M328" s="2"/>
      <c r="N328" s="2"/>
      <c r="O328" s="2"/>
      <c r="P328" s="2"/>
      <c r="Q328" s="2"/>
      <c r="R328" s="2"/>
      <c r="S328" s="2"/>
      <c r="T328" s="2"/>
    </row>
    <row r="329" spans="1:20">
      <c r="A329" s="2"/>
      <c r="B329" s="2"/>
      <c r="C329" s="2"/>
      <c r="D329" s="2"/>
      <c r="E329" s="2"/>
      <c r="F329" s="2"/>
      <c r="G329" s="2"/>
      <c r="H329" s="2"/>
      <c r="I329" s="2"/>
      <c r="J329" s="2"/>
      <c r="K329" s="2"/>
      <c r="L329" s="2"/>
      <c r="M329" s="2"/>
      <c r="N329" s="2"/>
      <c r="O329" s="2"/>
      <c r="P329" s="2"/>
      <c r="Q329" s="2"/>
      <c r="R329" s="2"/>
      <c r="S329" s="2"/>
      <c r="T329" s="2"/>
    </row>
    <row r="330" spans="1:20">
      <c r="A330" s="2"/>
      <c r="B330" s="2"/>
      <c r="C330" s="2"/>
      <c r="D330" s="2"/>
      <c r="E330" s="2"/>
      <c r="F330" s="2"/>
      <c r="G330" s="2"/>
      <c r="H330" s="2"/>
      <c r="I330" s="2"/>
      <c r="J330" s="2"/>
      <c r="K330" s="2"/>
      <c r="L330" s="2"/>
      <c r="M330" s="2"/>
      <c r="N330" s="2"/>
      <c r="O330" s="2"/>
      <c r="P330" s="2"/>
      <c r="Q330" s="2"/>
      <c r="R330" s="2"/>
      <c r="S330" s="2"/>
      <c r="T330" s="2"/>
    </row>
    <row r="331" spans="1:20">
      <c r="A331" s="2"/>
      <c r="B331" s="2"/>
      <c r="C331" s="2"/>
      <c r="D331" s="2"/>
      <c r="E331" s="2"/>
      <c r="F331" s="2"/>
      <c r="G331" s="2"/>
      <c r="H331" s="2"/>
      <c r="I331" s="2"/>
      <c r="J331" s="2"/>
      <c r="K331" s="2"/>
      <c r="L331" s="2"/>
      <c r="M331" s="2"/>
      <c r="N331" s="2"/>
      <c r="O331" s="2"/>
      <c r="P331" s="2"/>
      <c r="Q331" s="2"/>
      <c r="R331" s="2"/>
      <c r="S331" s="2"/>
      <c r="T331" s="2"/>
    </row>
    <row r="332" spans="1:20">
      <c r="A332" s="2"/>
      <c r="B332" s="2"/>
      <c r="C332" s="2"/>
      <c r="D332" s="2"/>
      <c r="E332" s="2"/>
      <c r="F332" s="2"/>
      <c r="G332" s="2"/>
      <c r="H332" s="2"/>
      <c r="I332" s="2"/>
      <c r="J332" s="2"/>
      <c r="K332" s="2"/>
      <c r="L332" s="2"/>
      <c r="M332" s="2"/>
      <c r="N332" s="2"/>
      <c r="O332" s="2"/>
      <c r="P332" s="2"/>
      <c r="Q332" s="2"/>
      <c r="R332" s="2"/>
      <c r="S332" s="2"/>
      <c r="T332" s="2"/>
    </row>
    <row r="333" spans="1:20">
      <c r="A333" s="2"/>
      <c r="B333" s="2"/>
      <c r="C333" s="2"/>
      <c r="D333" s="2"/>
      <c r="E333" s="2"/>
      <c r="F333" s="2"/>
      <c r="G333" s="2"/>
      <c r="H333" s="2"/>
      <c r="I333" s="2"/>
      <c r="J333" s="2"/>
      <c r="K333" s="2"/>
      <c r="L333" s="2"/>
      <c r="M333" s="2"/>
      <c r="N333" s="2"/>
      <c r="O333" s="2"/>
      <c r="P333" s="2"/>
      <c r="Q333" s="2"/>
      <c r="R333" s="2"/>
      <c r="S333" s="2"/>
      <c r="T333" s="2"/>
    </row>
    <row r="334" spans="1:20">
      <c r="A334" s="2"/>
      <c r="B334" s="2"/>
      <c r="C334" s="2"/>
      <c r="D334" s="2"/>
      <c r="E334" s="2"/>
      <c r="F334" s="2"/>
      <c r="G334" s="2"/>
      <c r="H334" s="2"/>
      <c r="I334" s="2"/>
      <c r="J334" s="2"/>
      <c r="K334" s="2"/>
      <c r="L334" s="2"/>
      <c r="M334" s="2"/>
      <c r="N334" s="2"/>
      <c r="O334" s="2"/>
      <c r="P334" s="2"/>
      <c r="Q334" s="2"/>
      <c r="R334" s="2"/>
      <c r="S334" s="2"/>
      <c r="T334" s="2"/>
    </row>
    <row r="335" spans="1:20">
      <c r="A335" s="2"/>
      <c r="B335" s="2"/>
      <c r="C335" s="2"/>
      <c r="D335" s="2"/>
      <c r="E335" s="2"/>
      <c r="F335" s="2"/>
      <c r="G335" s="2"/>
      <c r="H335" s="2"/>
      <c r="I335" s="2"/>
      <c r="J335" s="2"/>
      <c r="K335" s="2"/>
      <c r="L335" s="2"/>
      <c r="M335" s="2"/>
      <c r="N335" s="2"/>
      <c r="O335" s="2"/>
      <c r="P335" s="2"/>
      <c r="Q335" s="2"/>
      <c r="R335" s="2"/>
      <c r="S335" s="2"/>
      <c r="T335" s="2"/>
    </row>
    <row r="336" spans="1:20">
      <c r="A336" s="2"/>
      <c r="B336" s="2"/>
      <c r="C336" s="2"/>
      <c r="D336" s="2"/>
      <c r="E336" s="2"/>
      <c r="F336" s="2"/>
      <c r="G336" s="2"/>
      <c r="H336" s="2"/>
      <c r="I336" s="2"/>
      <c r="J336" s="2"/>
      <c r="K336" s="2"/>
      <c r="L336" s="2"/>
      <c r="M336" s="2"/>
      <c r="N336" s="2"/>
      <c r="O336" s="2"/>
      <c r="P336" s="2"/>
      <c r="Q336" s="2"/>
      <c r="R336" s="2"/>
      <c r="S336" s="2"/>
      <c r="T336" s="2"/>
    </row>
    <row r="337" spans="1:20">
      <c r="A337" s="2"/>
      <c r="B337" s="2"/>
      <c r="C337" s="2"/>
      <c r="D337" s="2"/>
      <c r="E337" s="2"/>
      <c r="F337" s="2"/>
      <c r="G337" s="2"/>
      <c r="H337" s="2"/>
      <c r="I337" s="2"/>
      <c r="J337" s="2"/>
      <c r="K337" s="2"/>
      <c r="L337" s="2"/>
      <c r="M337" s="2"/>
      <c r="N337" s="2"/>
      <c r="O337" s="2"/>
      <c r="P337" s="2"/>
      <c r="Q337" s="2"/>
      <c r="R337" s="2"/>
      <c r="S337" s="2"/>
      <c r="T337" s="2"/>
    </row>
    <row r="338" spans="1:20">
      <c r="A338" s="2"/>
      <c r="B338" s="2"/>
      <c r="C338" s="2"/>
      <c r="D338" s="2"/>
      <c r="E338" s="2"/>
      <c r="F338" s="2"/>
      <c r="G338" s="2"/>
      <c r="H338" s="2"/>
      <c r="I338" s="2"/>
      <c r="J338" s="2"/>
      <c r="K338" s="2"/>
      <c r="L338" s="2"/>
      <c r="M338" s="2"/>
      <c r="N338" s="2"/>
      <c r="O338" s="2"/>
      <c r="P338" s="2"/>
      <c r="Q338" s="2"/>
      <c r="R338" s="2"/>
      <c r="S338" s="2"/>
      <c r="T338" s="2"/>
    </row>
    <row r="339" spans="1:20">
      <c r="A339" s="2"/>
      <c r="B339" s="2"/>
      <c r="C339" s="2"/>
      <c r="D339" s="2"/>
      <c r="E339" s="2"/>
      <c r="F339" s="2"/>
      <c r="G339" s="2"/>
      <c r="H339" s="2"/>
      <c r="I339" s="2"/>
      <c r="J339" s="2"/>
      <c r="K339" s="2"/>
      <c r="L339" s="2"/>
      <c r="M339" s="2"/>
      <c r="N339" s="2"/>
      <c r="O339" s="2"/>
      <c r="P339" s="2"/>
      <c r="Q339" s="2"/>
      <c r="R339" s="2"/>
      <c r="S339" s="2"/>
      <c r="T339" s="2"/>
    </row>
    <row r="340" spans="1:20">
      <c r="A340" s="2"/>
      <c r="B340" s="2"/>
      <c r="C340" s="2"/>
      <c r="D340" s="2"/>
      <c r="E340" s="2"/>
      <c r="F340" s="2"/>
      <c r="G340" s="2"/>
      <c r="H340" s="2"/>
      <c r="I340" s="2"/>
      <c r="J340" s="2"/>
      <c r="K340" s="2"/>
      <c r="L340" s="2"/>
      <c r="M340" s="2"/>
      <c r="N340" s="2"/>
      <c r="O340" s="2"/>
      <c r="P340" s="2"/>
      <c r="Q340" s="2"/>
      <c r="R340" s="2"/>
      <c r="S340" s="2"/>
      <c r="T340" s="2"/>
    </row>
    <row r="341" spans="1:20">
      <c r="A341" s="2"/>
      <c r="B341" s="2"/>
      <c r="C341" s="2"/>
      <c r="D341" s="2"/>
      <c r="E341" s="2"/>
      <c r="F341" s="2"/>
      <c r="G341" s="2"/>
      <c r="H341" s="2"/>
      <c r="I341" s="2"/>
      <c r="J341" s="2"/>
      <c r="K341" s="2"/>
      <c r="L341" s="2"/>
      <c r="M341" s="2"/>
      <c r="N341" s="2"/>
      <c r="O341" s="2"/>
      <c r="P341" s="2"/>
      <c r="Q341" s="2"/>
      <c r="R341" s="2"/>
      <c r="S341" s="2"/>
      <c r="T341" s="2"/>
    </row>
    <row r="342" spans="1:20">
      <c r="A342" s="2"/>
      <c r="B342" s="2"/>
      <c r="C342" s="2"/>
      <c r="D342" s="2"/>
      <c r="E342" s="2"/>
      <c r="F342" s="2"/>
      <c r="G342" s="2"/>
      <c r="H342" s="2"/>
      <c r="I342" s="2"/>
      <c r="J342" s="2"/>
      <c r="K342" s="2"/>
      <c r="L342" s="2"/>
      <c r="M342" s="2"/>
      <c r="N342" s="2"/>
      <c r="O342" s="2"/>
      <c r="P342" s="2"/>
      <c r="Q342" s="2"/>
      <c r="R342" s="2"/>
      <c r="S342" s="2"/>
      <c r="T342" s="2"/>
    </row>
    <row r="343" spans="1:20">
      <c r="A343" s="2"/>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spans="1:20">
      <c r="A345" s="2"/>
      <c r="B345" s="2"/>
      <c r="C345" s="2"/>
      <c r="D345" s="2"/>
      <c r="E345" s="2"/>
      <c r="F345" s="2"/>
      <c r="G345" s="2"/>
      <c r="H345" s="2"/>
      <c r="I345" s="2"/>
      <c r="J345" s="2"/>
      <c r="K345" s="2"/>
      <c r="L345" s="2"/>
      <c r="M345" s="2"/>
      <c r="N345" s="2"/>
      <c r="O345" s="2"/>
      <c r="P345" s="2"/>
      <c r="Q345" s="2"/>
      <c r="R345" s="2"/>
      <c r="S345" s="2"/>
      <c r="T345" s="2"/>
    </row>
    <row r="346" spans="1:20">
      <c r="A346" s="2"/>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spans="1:20">
      <c r="A348" s="2"/>
      <c r="B348" s="2"/>
      <c r="C348" s="2"/>
      <c r="D348" s="2"/>
      <c r="E348" s="2"/>
      <c r="F348" s="2"/>
      <c r="G348" s="2"/>
      <c r="H348" s="2"/>
      <c r="I348" s="2"/>
      <c r="J348" s="2"/>
      <c r="K348" s="2"/>
      <c r="L348" s="2"/>
      <c r="M348" s="2"/>
      <c r="N348" s="2"/>
      <c r="O348" s="2"/>
      <c r="P348" s="2"/>
      <c r="Q348" s="2"/>
      <c r="R348" s="2"/>
      <c r="S348" s="2"/>
      <c r="T348" s="2"/>
    </row>
    <row r="349" spans="1:20">
      <c r="A349" s="2"/>
      <c r="B349" s="2"/>
      <c r="C349" s="2"/>
      <c r="D349" s="2"/>
      <c r="E349" s="2"/>
      <c r="F349" s="2"/>
      <c r="G349" s="2"/>
      <c r="H349" s="2"/>
      <c r="I349" s="2"/>
      <c r="J349" s="2"/>
      <c r="K349" s="2"/>
      <c r="L349" s="2"/>
      <c r="M349" s="2"/>
      <c r="N349" s="2"/>
      <c r="O349" s="2"/>
      <c r="P349" s="2"/>
      <c r="Q349" s="2"/>
      <c r="R349" s="2"/>
      <c r="S349" s="2"/>
      <c r="T349" s="2"/>
    </row>
    <row r="350" spans="1:20">
      <c r="A350" s="2"/>
      <c r="B350" s="2"/>
      <c r="C350" s="2"/>
      <c r="D350" s="2"/>
      <c r="E350" s="2"/>
      <c r="F350" s="2"/>
      <c r="G350" s="2"/>
      <c r="H350" s="2"/>
      <c r="I350" s="2"/>
      <c r="J350" s="2"/>
      <c r="K350" s="2"/>
      <c r="L350" s="2"/>
      <c r="M350" s="2"/>
      <c r="N350" s="2"/>
      <c r="O350" s="2"/>
      <c r="P350" s="2"/>
      <c r="Q350" s="2"/>
      <c r="R350" s="2"/>
      <c r="S350" s="2"/>
      <c r="T350" s="2"/>
    </row>
    <row r="351" spans="1:20">
      <c r="A351" s="2"/>
      <c r="B351" s="2"/>
      <c r="C351" s="2"/>
      <c r="D351" s="2"/>
      <c r="E351" s="2"/>
      <c r="F351" s="2"/>
      <c r="G351" s="2"/>
      <c r="H351" s="2"/>
      <c r="I351" s="2"/>
      <c r="J351" s="2"/>
      <c r="K351" s="2"/>
      <c r="L351" s="2"/>
      <c r="M351" s="2"/>
      <c r="N351" s="2"/>
      <c r="O351" s="2"/>
      <c r="P351" s="2"/>
      <c r="Q351" s="2"/>
      <c r="R351" s="2"/>
      <c r="S351" s="2"/>
      <c r="T351" s="2"/>
    </row>
    <row r="352" spans="1:20">
      <c r="A352" s="2"/>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spans="1:20">
      <c r="A354" s="2"/>
      <c r="B354" s="2"/>
      <c r="C354" s="2"/>
      <c r="D354" s="2"/>
      <c r="E354" s="2"/>
      <c r="F354" s="2"/>
      <c r="G354" s="2"/>
      <c r="H354" s="2"/>
      <c r="I354" s="2"/>
      <c r="J354" s="2"/>
      <c r="K354" s="2"/>
      <c r="L354" s="2"/>
      <c r="M354" s="2"/>
      <c r="N354" s="2"/>
      <c r="O354" s="2"/>
      <c r="P354" s="2"/>
      <c r="Q354" s="2"/>
      <c r="R354" s="2"/>
      <c r="S354" s="2"/>
      <c r="T354" s="2"/>
    </row>
    <row r="355" spans="1:20">
      <c r="A355" s="2"/>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spans="1:20">
      <c r="A357" s="2"/>
      <c r="B357" s="2"/>
      <c r="C357" s="2"/>
      <c r="D357" s="2"/>
      <c r="E357" s="2"/>
      <c r="F357" s="2"/>
      <c r="G357" s="2"/>
      <c r="H357" s="2"/>
      <c r="I357" s="2"/>
      <c r="J357" s="2"/>
      <c r="K357" s="2"/>
      <c r="L357" s="2"/>
      <c r="M357" s="2"/>
      <c r="N357" s="2"/>
      <c r="O357" s="2"/>
      <c r="P357" s="2"/>
      <c r="Q357" s="2"/>
      <c r="R357" s="2"/>
      <c r="S357" s="2"/>
      <c r="T357" s="2"/>
    </row>
    <row r="358" spans="1:20">
      <c r="A358" s="2"/>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spans="1:20">
      <c r="A360" s="2"/>
      <c r="B360" s="2"/>
      <c r="C360" s="2"/>
      <c r="D360" s="2"/>
      <c r="E360" s="2"/>
      <c r="F360" s="2"/>
      <c r="G360" s="2"/>
      <c r="H360" s="2"/>
      <c r="I360" s="2"/>
      <c r="J360" s="2"/>
      <c r="K360" s="2"/>
      <c r="L360" s="2"/>
      <c r="M360" s="2"/>
      <c r="N360" s="2"/>
      <c r="O360" s="2"/>
      <c r="P360" s="2"/>
      <c r="Q360" s="2"/>
      <c r="R360" s="2"/>
      <c r="S360" s="2"/>
      <c r="T360" s="2"/>
    </row>
    <row r="361" spans="1:20">
      <c r="A361" s="2"/>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spans="1:20">
      <c r="A363" s="2"/>
      <c r="B363" s="2"/>
      <c r="C363" s="2"/>
      <c r="D363" s="2"/>
      <c r="E363" s="2"/>
      <c r="F363" s="2"/>
      <c r="G363" s="2"/>
      <c r="H363" s="2"/>
      <c r="I363" s="2"/>
      <c r="J363" s="2"/>
      <c r="K363" s="2"/>
      <c r="L363" s="2"/>
      <c r="M363" s="2"/>
      <c r="N363" s="2"/>
      <c r="O363" s="2"/>
      <c r="P363" s="2"/>
      <c r="Q363" s="2"/>
      <c r="R363" s="2"/>
      <c r="S363" s="2"/>
      <c r="T363" s="2"/>
    </row>
    <row r="364" spans="1:20">
      <c r="A364" s="2"/>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spans="1:20">
      <c r="A366" s="2"/>
      <c r="B366" s="2"/>
      <c r="C366" s="2"/>
      <c r="D366" s="2"/>
      <c r="E366" s="2"/>
      <c r="F366" s="2"/>
      <c r="G366" s="2"/>
      <c r="H366" s="2"/>
      <c r="I366" s="2"/>
      <c r="J366" s="2"/>
      <c r="K366" s="2"/>
      <c r="L366" s="2"/>
      <c r="M366" s="2"/>
      <c r="N366" s="2"/>
      <c r="O366" s="2"/>
      <c r="P366" s="2"/>
      <c r="Q366" s="2"/>
      <c r="R366" s="2"/>
      <c r="S366" s="2"/>
      <c r="T366" s="2"/>
    </row>
    <row r="367" spans="1:20">
      <c r="A367" s="2"/>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spans="1:20">
      <c r="A369" s="2"/>
      <c r="B369" s="2"/>
      <c r="C369" s="2"/>
      <c r="D369" s="2"/>
      <c r="E369" s="2"/>
      <c r="F369" s="2"/>
      <c r="G369" s="2"/>
      <c r="H369" s="2"/>
      <c r="I369" s="2"/>
      <c r="J369" s="2"/>
      <c r="K369" s="2"/>
      <c r="L369" s="2"/>
      <c r="M369" s="2"/>
      <c r="N369" s="2"/>
      <c r="O369" s="2"/>
      <c r="P369" s="2"/>
      <c r="Q369" s="2"/>
      <c r="R369" s="2"/>
      <c r="S369" s="2"/>
      <c r="T369" s="2"/>
    </row>
    <row r="370" spans="1:20">
      <c r="A370" s="2"/>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spans="1:20">
      <c r="A372" s="2"/>
      <c r="B372" s="2"/>
      <c r="C372" s="2"/>
      <c r="D372" s="2"/>
      <c r="E372" s="2"/>
      <c r="F372" s="2"/>
      <c r="G372" s="2"/>
      <c r="H372" s="2"/>
      <c r="I372" s="2"/>
      <c r="J372" s="2"/>
      <c r="K372" s="2"/>
      <c r="L372" s="2"/>
      <c r="M372" s="2"/>
      <c r="N372" s="2"/>
      <c r="O372" s="2"/>
      <c r="P372" s="2"/>
      <c r="Q372" s="2"/>
      <c r="R372" s="2"/>
      <c r="S372" s="2"/>
      <c r="T372" s="2"/>
    </row>
    <row r="373" spans="1:20">
      <c r="A373" s="2"/>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sheetData>
  <sheetProtection formatCells="0" insertHyperlinks="0" autoFilter="0"/>
  <mergeCells count="1">
    <mergeCell ref="B1:H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96"/>
  <sheetViews>
    <sheetView topLeftCell="A73" workbookViewId="0">
      <selection activeCell="A87" sqref="A87:G92"/>
    </sheetView>
  </sheetViews>
  <sheetFormatPr defaultColWidth="14" defaultRowHeight="13"/>
  <cols>
    <col min="1" max="20" width="27" customWidth="1"/>
  </cols>
  <sheetData>
    <row r="1" ht="46" customHeight="1" spans="1:20">
      <c r="A1" s="1" t="str">
        <f>_xlfn.DISPIMG("ID_DCD11B86A949439FBC02260DADAA715F",1)</f>
        <v>=DISPIMG("ID_DCD11B86A949439FBC02260DADAA715F",1)</v>
      </c>
      <c r="B1" s="1" t="s">
        <v>553</v>
      </c>
      <c r="C1" s="1"/>
      <c r="D1" s="1"/>
      <c r="E1" s="1"/>
      <c r="F1" s="1"/>
      <c r="G1" s="1"/>
      <c r="H1" s="1"/>
      <c r="I1" s="2"/>
      <c r="J1" s="2"/>
      <c r="K1" s="2"/>
      <c r="L1" s="2"/>
      <c r="M1" s="2"/>
      <c r="N1" s="2"/>
      <c r="O1" s="2"/>
      <c r="P1" s="2"/>
      <c r="Q1" s="2"/>
      <c r="R1" s="2"/>
      <c r="S1" s="2"/>
      <c r="T1" s="2"/>
    </row>
    <row r="2" ht="15.5" spans="1:20">
      <c r="A2" s="3" t="s">
        <v>1148</v>
      </c>
      <c r="B2" s="9" t="s">
        <v>1149</v>
      </c>
      <c r="C2" s="53"/>
      <c r="D2" s="53"/>
      <c r="E2" s="53"/>
      <c r="F2" s="53"/>
      <c r="G2" s="53"/>
      <c r="H2" s="53"/>
      <c r="I2" s="2"/>
      <c r="J2" s="2"/>
      <c r="K2" s="2"/>
      <c r="L2" s="2"/>
      <c r="M2" s="2"/>
      <c r="N2" s="2"/>
      <c r="O2" s="2"/>
      <c r="P2" s="2"/>
      <c r="Q2" s="2"/>
      <c r="R2" s="2"/>
      <c r="S2" s="2"/>
      <c r="T2" s="2"/>
    </row>
    <row r="3" ht="15.5" spans="1:20">
      <c r="A3" s="55" t="s">
        <v>46</v>
      </c>
      <c r="B3" s="55" t="s">
        <v>1150</v>
      </c>
      <c r="C3" s="55" t="s">
        <v>1151</v>
      </c>
      <c r="D3" s="55" t="s">
        <v>1152</v>
      </c>
      <c r="E3" s="55" t="s">
        <v>1153</v>
      </c>
      <c r="F3" s="55" t="s">
        <v>1154</v>
      </c>
      <c r="G3" s="55" t="s">
        <v>1155</v>
      </c>
      <c r="H3" s="6" t="s">
        <v>1156</v>
      </c>
      <c r="I3" s="11" t="s">
        <v>1157</v>
      </c>
      <c r="J3" s="2"/>
      <c r="K3" s="2"/>
      <c r="L3" s="2"/>
      <c r="M3" s="2"/>
      <c r="N3" s="2"/>
      <c r="O3" s="2"/>
      <c r="P3" s="2"/>
      <c r="Q3" s="2"/>
      <c r="R3" s="2"/>
      <c r="S3" s="2"/>
      <c r="T3" s="2"/>
    </row>
    <row r="4" spans="1:20">
      <c r="A4" s="9">
        <v>1</v>
      </c>
      <c r="B4" s="9" t="s">
        <v>1158</v>
      </c>
      <c r="C4" s="9" t="s">
        <v>1159</v>
      </c>
      <c r="D4" s="9" t="s">
        <v>1160</v>
      </c>
      <c r="E4" s="9" t="s">
        <v>1161</v>
      </c>
      <c r="F4" s="9" t="s">
        <v>1162</v>
      </c>
      <c r="G4" s="9" t="s">
        <v>1163</v>
      </c>
      <c r="H4" s="9" t="s">
        <v>1164</v>
      </c>
      <c r="I4" s="9" t="s">
        <v>1165</v>
      </c>
      <c r="J4" s="2"/>
      <c r="K4" s="2"/>
      <c r="L4" s="2"/>
      <c r="M4" s="2"/>
      <c r="N4" s="2"/>
      <c r="O4" s="2"/>
      <c r="P4" s="2"/>
      <c r="Q4" s="2"/>
      <c r="R4" s="2"/>
      <c r="S4" s="2"/>
      <c r="T4" s="2"/>
    </row>
    <row r="5" spans="1:20">
      <c r="A5" s="9">
        <v>2</v>
      </c>
      <c r="B5" s="9" t="s">
        <v>1166</v>
      </c>
      <c r="C5" s="9" t="s">
        <v>1167</v>
      </c>
      <c r="D5" s="9" t="s">
        <v>1168</v>
      </c>
      <c r="E5" s="9" t="s">
        <v>1169</v>
      </c>
      <c r="F5" s="9" t="s">
        <v>1162</v>
      </c>
      <c r="G5" s="9" t="s">
        <v>1170</v>
      </c>
      <c r="H5" s="9" t="s">
        <v>1171</v>
      </c>
      <c r="I5" s="9" t="s">
        <v>1172</v>
      </c>
    </row>
    <row r="6" spans="1:20">
      <c r="A6" s="9">
        <v>3</v>
      </c>
      <c r="B6" s="9" t="s">
        <v>1173</v>
      </c>
      <c r="C6" s="9" t="s">
        <v>1174</v>
      </c>
      <c r="D6" s="9" t="s">
        <v>1175</v>
      </c>
      <c r="E6" s="9" t="s">
        <v>1161</v>
      </c>
      <c r="F6" s="9" t="s">
        <v>1176</v>
      </c>
      <c r="G6" s="9" t="s">
        <v>1163</v>
      </c>
      <c r="H6" s="9" t="s">
        <v>1177</v>
      </c>
      <c r="I6" s="9" t="s">
        <v>1178</v>
      </c>
    </row>
    <row r="7" spans="1:20">
      <c r="A7" s="9">
        <v>4</v>
      </c>
      <c r="B7" s="9" t="s">
        <v>1179</v>
      </c>
      <c r="C7" s="9" t="s">
        <v>1180</v>
      </c>
      <c r="D7" s="9" t="s">
        <v>1160</v>
      </c>
      <c r="E7" s="9" t="s">
        <v>1169</v>
      </c>
      <c r="F7" s="9" t="s">
        <v>1162</v>
      </c>
      <c r="G7" s="9" t="s">
        <v>1170</v>
      </c>
      <c r="H7" s="9" t="s">
        <v>1181</v>
      </c>
      <c r="I7" s="9" t="s">
        <v>1182</v>
      </c>
    </row>
    <row r="8" spans="1:20">
      <c r="A8" s="9">
        <v>5</v>
      </c>
      <c r="B8" s="9" t="s">
        <v>1183</v>
      </c>
      <c r="C8" s="9" t="s">
        <v>1184</v>
      </c>
      <c r="D8" s="9" t="s">
        <v>1185</v>
      </c>
      <c r="E8" s="9" t="s">
        <v>1161</v>
      </c>
      <c r="F8" s="9" t="s">
        <v>1162</v>
      </c>
      <c r="G8" s="9" t="s">
        <v>1163</v>
      </c>
      <c r="H8" s="9" t="s">
        <v>1186</v>
      </c>
      <c r="I8" s="9" t="s">
        <v>1178</v>
      </c>
    </row>
    <row r="9" spans="1:20">
      <c r="A9" s="9">
        <v>6</v>
      </c>
      <c r="B9" s="9" t="s">
        <v>1187</v>
      </c>
      <c r="C9" s="9" t="s">
        <v>1188</v>
      </c>
      <c r="D9" s="9" t="s">
        <v>1160</v>
      </c>
      <c r="E9" s="9" t="s">
        <v>1169</v>
      </c>
      <c r="F9" s="9" t="s">
        <v>1162</v>
      </c>
      <c r="G9" s="9" t="s">
        <v>1170</v>
      </c>
      <c r="H9" s="9" t="s">
        <v>1189</v>
      </c>
      <c r="I9" s="9" t="s">
        <v>1190</v>
      </c>
    </row>
    <row r="10" spans="1:20">
      <c r="A10" s="9">
        <v>7</v>
      </c>
      <c r="B10" s="9" t="s">
        <v>1191</v>
      </c>
      <c r="C10" s="9" t="s">
        <v>1192</v>
      </c>
      <c r="D10" s="9" t="s">
        <v>1160</v>
      </c>
      <c r="E10" s="9" t="s">
        <v>1169</v>
      </c>
      <c r="F10" s="9" t="s">
        <v>1193</v>
      </c>
      <c r="G10" s="9" t="s">
        <v>1170</v>
      </c>
      <c r="H10" s="9" t="s">
        <v>1194</v>
      </c>
      <c r="I10" s="9" t="s">
        <v>1195</v>
      </c>
    </row>
    <row r="11" spans="1:20">
      <c r="A11" s="9">
        <v>8</v>
      </c>
      <c r="B11" s="9" t="s">
        <v>1160</v>
      </c>
      <c r="C11" s="9" t="s">
        <v>1196</v>
      </c>
      <c r="D11" s="9" t="s">
        <v>1160</v>
      </c>
      <c r="E11" s="9" t="s">
        <v>1169</v>
      </c>
      <c r="F11" s="9" t="s">
        <v>1162</v>
      </c>
      <c r="G11" s="9" t="s">
        <v>1170</v>
      </c>
      <c r="H11" s="9" t="s">
        <v>1197</v>
      </c>
      <c r="I11" s="9" t="s">
        <v>1198</v>
      </c>
    </row>
    <row r="12" spans="1:20">
      <c r="A12" s="9">
        <v>9</v>
      </c>
      <c r="B12" s="9" t="s">
        <v>1199</v>
      </c>
      <c r="C12" s="9" t="s">
        <v>1200</v>
      </c>
      <c r="D12" s="9" t="s">
        <v>1160</v>
      </c>
      <c r="E12" s="9" t="s">
        <v>1161</v>
      </c>
      <c r="F12" s="9" t="s">
        <v>1176</v>
      </c>
      <c r="G12" s="9" t="s">
        <v>1163</v>
      </c>
      <c r="H12" s="9" t="s">
        <v>1201</v>
      </c>
      <c r="I12" s="9" t="s">
        <v>1165</v>
      </c>
    </row>
    <row r="13" spans="1:20">
      <c r="A13" s="9">
        <v>10</v>
      </c>
      <c r="B13" s="9" t="s">
        <v>1202</v>
      </c>
      <c r="C13" s="9" t="s">
        <v>1203</v>
      </c>
      <c r="D13" s="9" t="s">
        <v>1160</v>
      </c>
      <c r="E13" s="9" t="s">
        <v>1169</v>
      </c>
      <c r="F13" s="9" t="s">
        <v>1204</v>
      </c>
      <c r="G13" s="9" t="s">
        <v>1205</v>
      </c>
      <c r="H13" s="9" t="s">
        <v>1206</v>
      </c>
      <c r="I13" s="9" t="s">
        <v>1178</v>
      </c>
    </row>
    <row r="14" spans="1:20">
      <c r="A14" s="9">
        <v>11</v>
      </c>
      <c r="B14" s="9" t="s">
        <v>1207</v>
      </c>
      <c r="C14" s="9" t="s">
        <v>1208</v>
      </c>
      <c r="D14" s="9" t="s">
        <v>1209</v>
      </c>
      <c r="E14" s="9" t="s">
        <v>1169</v>
      </c>
      <c r="F14" s="9" t="s">
        <v>1210</v>
      </c>
      <c r="G14" s="9" t="s">
        <v>1170</v>
      </c>
      <c r="H14" s="9" t="s">
        <v>1211</v>
      </c>
      <c r="I14" s="9" t="s">
        <v>1212</v>
      </c>
    </row>
    <row r="15" spans="1:20">
      <c r="A15" s="9">
        <v>12</v>
      </c>
      <c r="B15" s="9" t="s">
        <v>1213</v>
      </c>
      <c r="C15" s="9" t="s">
        <v>1214</v>
      </c>
      <c r="D15" s="9" t="s">
        <v>1160</v>
      </c>
      <c r="E15" s="9" t="s">
        <v>1215</v>
      </c>
      <c r="F15" s="9" t="s">
        <v>1216</v>
      </c>
      <c r="G15" s="9" t="s">
        <v>1217</v>
      </c>
      <c r="H15" s="9" t="s">
        <v>1218</v>
      </c>
      <c r="I15" s="9" t="s">
        <v>1219</v>
      </c>
    </row>
    <row r="16" spans="1:20">
      <c r="A16" s="9">
        <v>13</v>
      </c>
      <c r="B16" s="9" t="s">
        <v>1220</v>
      </c>
      <c r="C16" s="9" t="s">
        <v>1221</v>
      </c>
      <c r="D16" s="9" t="s">
        <v>1222</v>
      </c>
      <c r="E16" s="9" t="s">
        <v>1215</v>
      </c>
      <c r="F16" s="9" t="s">
        <v>1223</v>
      </c>
      <c r="G16" s="9" t="s">
        <v>1217</v>
      </c>
      <c r="H16" s="9" t="s">
        <v>1224</v>
      </c>
      <c r="I16" s="9" t="s">
        <v>1195</v>
      </c>
    </row>
    <row r="17" spans="1:9">
      <c r="A17" s="9">
        <v>14</v>
      </c>
      <c r="B17" s="9" t="s">
        <v>1225</v>
      </c>
      <c r="C17" s="9" t="s">
        <v>1226</v>
      </c>
      <c r="D17" s="9" t="s">
        <v>1160</v>
      </c>
      <c r="E17" s="9" t="s">
        <v>1169</v>
      </c>
      <c r="F17" s="9" t="s">
        <v>1162</v>
      </c>
      <c r="G17" s="9" t="s">
        <v>1170</v>
      </c>
      <c r="H17" s="9" t="s">
        <v>1227</v>
      </c>
      <c r="I17" s="9" t="s">
        <v>1228</v>
      </c>
    </row>
    <row r="18" spans="1:9">
      <c r="A18" s="9">
        <v>15</v>
      </c>
      <c r="B18" s="9" t="s">
        <v>1229</v>
      </c>
      <c r="C18" s="9" t="s">
        <v>1230</v>
      </c>
      <c r="D18" s="9" t="s">
        <v>1160</v>
      </c>
      <c r="E18" s="9" t="s">
        <v>1161</v>
      </c>
      <c r="F18" s="9" t="s">
        <v>1210</v>
      </c>
      <c r="G18" s="9" t="s">
        <v>1231</v>
      </c>
      <c r="H18" s="9" t="s">
        <v>1232</v>
      </c>
      <c r="I18" s="9" t="s">
        <v>1233</v>
      </c>
    </row>
    <row r="19" spans="1:9">
      <c r="A19" s="9">
        <v>16</v>
      </c>
      <c r="B19" s="9" t="s">
        <v>1234</v>
      </c>
      <c r="C19" s="9" t="s">
        <v>1235</v>
      </c>
      <c r="D19" s="9" t="s">
        <v>1236</v>
      </c>
      <c r="E19" s="9" t="s">
        <v>1161</v>
      </c>
      <c r="F19" s="9" t="s">
        <v>1162</v>
      </c>
      <c r="G19" s="9" t="s">
        <v>1163</v>
      </c>
      <c r="H19" s="9" t="s">
        <v>1237</v>
      </c>
      <c r="I19" s="9" t="s">
        <v>1238</v>
      </c>
    </row>
    <row r="20" spans="1:9">
      <c r="A20" s="9">
        <v>17</v>
      </c>
      <c r="B20" s="9" t="s">
        <v>1239</v>
      </c>
      <c r="C20" s="9" t="s">
        <v>1240</v>
      </c>
      <c r="D20" s="9" t="s">
        <v>1241</v>
      </c>
      <c r="E20" s="9" t="s">
        <v>1169</v>
      </c>
      <c r="F20" s="9" t="s">
        <v>1176</v>
      </c>
      <c r="G20" s="9" t="s">
        <v>1170</v>
      </c>
      <c r="H20" s="9" t="s">
        <v>1242</v>
      </c>
      <c r="I20" s="9" t="s">
        <v>1243</v>
      </c>
    </row>
    <row r="21" spans="1:9">
      <c r="A21" s="9">
        <v>18</v>
      </c>
      <c r="B21" s="9" t="s">
        <v>1244</v>
      </c>
      <c r="C21" s="9" t="s">
        <v>1245</v>
      </c>
      <c r="D21" s="9" t="s">
        <v>1160</v>
      </c>
      <c r="E21" s="9" t="s">
        <v>1246</v>
      </c>
      <c r="F21" s="9" t="s">
        <v>1247</v>
      </c>
      <c r="G21" s="9" t="s">
        <v>1170</v>
      </c>
      <c r="H21" s="9" t="s">
        <v>1248</v>
      </c>
      <c r="I21" s="9" t="s">
        <v>1249</v>
      </c>
    </row>
    <row r="22" spans="1:9">
      <c r="A22" s="9">
        <v>19</v>
      </c>
      <c r="B22" s="9" t="s">
        <v>1250</v>
      </c>
      <c r="C22" s="9" t="s">
        <v>1251</v>
      </c>
      <c r="D22" s="9" t="s">
        <v>1236</v>
      </c>
      <c r="E22" s="9" t="s">
        <v>1161</v>
      </c>
      <c r="F22" s="9" t="s">
        <v>1176</v>
      </c>
      <c r="G22" s="9" t="s">
        <v>1163</v>
      </c>
      <c r="H22" s="9" t="s">
        <v>1252</v>
      </c>
      <c r="I22" s="9" t="s">
        <v>1253</v>
      </c>
    </row>
    <row r="23" spans="1:9">
      <c r="A23" s="9">
        <v>20</v>
      </c>
      <c r="B23" s="9" t="s">
        <v>1254</v>
      </c>
      <c r="C23" s="9" t="s">
        <v>1255</v>
      </c>
      <c r="D23" s="9" t="s">
        <v>1236</v>
      </c>
      <c r="E23" s="9" t="s">
        <v>1161</v>
      </c>
      <c r="F23" s="9" t="s">
        <v>1256</v>
      </c>
      <c r="G23" s="9" t="s">
        <v>1231</v>
      </c>
      <c r="H23" s="9" t="s">
        <v>1257</v>
      </c>
      <c r="I23" s="9" t="s">
        <v>1258</v>
      </c>
    </row>
    <row r="24" spans="1:9">
      <c r="A24" s="9">
        <v>21</v>
      </c>
      <c r="B24" s="9" t="s">
        <v>1259</v>
      </c>
      <c r="C24" s="9" t="s">
        <v>1260</v>
      </c>
      <c r="D24" s="9" t="s">
        <v>1236</v>
      </c>
      <c r="E24" s="9" t="s">
        <v>1161</v>
      </c>
      <c r="F24" s="9" t="s">
        <v>1176</v>
      </c>
      <c r="G24" s="9" t="s">
        <v>1163</v>
      </c>
      <c r="H24" s="9" t="s">
        <v>1261</v>
      </c>
      <c r="I24" s="9" t="s">
        <v>1262</v>
      </c>
    </row>
    <row r="25" spans="1:9">
      <c r="A25" s="9">
        <v>22</v>
      </c>
      <c r="B25" s="9" t="s">
        <v>1263</v>
      </c>
      <c r="C25" s="9" t="s">
        <v>1264</v>
      </c>
      <c r="D25" s="9" t="s">
        <v>1160</v>
      </c>
      <c r="E25" s="9" t="s">
        <v>1161</v>
      </c>
      <c r="F25" s="9" t="s">
        <v>1162</v>
      </c>
      <c r="G25" s="9" t="s">
        <v>1163</v>
      </c>
      <c r="H25" s="9" t="s">
        <v>1265</v>
      </c>
      <c r="I25" s="9" t="s">
        <v>1266</v>
      </c>
    </row>
    <row r="26" spans="1:9">
      <c r="A26" s="9">
        <v>23</v>
      </c>
      <c r="B26" s="9" t="s">
        <v>1267</v>
      </c>
      <c r="C26" s="9" t="s">
        <v>1268</v>
      </c>
      <c r="D26" s="9" t="s">
        <v>1160</v>
      </c>
      <c r="E26" s="9" t="s">
        <v>1169</v>
      </c>
      <c r="F26" s="9" t="s">
        <v>1162</v>
      </c>
      <c r="G26" s="9" t="s">
        <v>1170</v>
      </c>
      <c r="H26" s="9" t="s">
        <v>1269</v>
      </c>
      <c r="I26" s="9" t="s">
        <v>1178</v>
      </c>
    </row>
    <row r="27" spans="1:9">
      <c r="A27" s="9">
        <v>24</v>
      </c>
      <c r="B27" s="9" t="s">
        <v>1270</v>
      </c>
      <c r="C27" s="9" t="s">
        <v>1271</v>
      </c>
      <c r="D27" s="9" t="s">
        <v>1272</v>
      </c>
      <c r="E27" s="9" t="s">
        <v>1161</v>
      </c>
      <c r="F27" s="9" t="s">
        <v>1176</v>
      </c>
      <c r="G27" s="9" t="s">
        <v>1163</v>
      </c>
      <c r="H27" s="9" t="s">
        <v>1273</v>
      </c>
      <c r="I27" s="9" t="s">
        <v>1274</v>
      </c>
    </row>
    <row r="28" spans="1:9">
      <c r="A28" s="9">
        <v>25</v>
      </c>
      <c r="B28" s="9" t="s">
        <v>1275</v>
      </c>
      <c r="C28" s="9" t="s">
        <v>1276</v>
      </c>
      <c r="D28" s="9" t="s">
        <v>1160</v>
      </c>
      <c r="E28" s="9" t="s">
        <v>1161</v>
      </c>
      <c r="F28" s="9" t="s">
        <v>1162</v>
      </c>
      <c r="G28" s="9" t="s">
        <v>1163</v>
      </c>
      <c r="H28" s="9" t="s">
        <v>1277</v>
      </c>
      <c r="I28" s="9" t="s">
        <v>1178</v>
      </c>
    </row>
    <row r="29" spans="1:9">
      <c r="A29" s="9">
        <v>26</v>
      </c>
      <c r="B29" s="9" t="s">
        <v>1278</v>
      </c>
      <c r="C29" s="9" t="s">
        <v>1279</v>
      </c>
      <c r="D29" s="9" t="s">
        <v>1175</v>
      </c>
      <c r="E29" s="9" t="s">
        <v>1161</v>
      </c>
      <c r="F29" s="9" t="s">
        <v>1176</v>
      </c>
      <c r="G29" s="9" t="s">
        <v>1163</v>
      </c>
      <c r="H29" s="9" t="s">
        <v>1280</v>
      </c>
      <c r="I29" s="9" t="s">
        <v>1281</v>
      </c>
    </row>
    <row r="30" spans="1:9">
      <c r="A30" s="9">
        <v>27</v>
      </c>
      <c r="B30" s="9" t="s">
        <v>1282</v>
      </c>
      <c r="C30" s="9" t="s">
        <v>1283</v>
      </c>
      <c r="D30" s="9" t="s">
        <v>1160</v>
      </c>
      <c r="E30" s="9" t="s">
        <v>1161</v>
      </c>
      <c r="F30" s="9" t="s">
        <v>1176</v>
      </c>
      <c r="G30" s="9" t="s">
        <v>1163</v>
      </c>
      <c r="H30" s="9" t="s">
        <v>1284</v>
      </c>
      <c r="I30" s="9" t="s">
        <v>1285</v>
      </c>
    </row>
    <row r="31" spans="1:9">
      <c r="A31" s="9">
        <v>28</v>
      </c>
      <c r="B31" s="9" t="s">
        <v>1286</v>
      </c>
      <c r="C31" s="9" t="s">
        <v>1287</v>
      </c>
      <c r="D31" s="9" t="s">
        <v>1160</v>
      </c>
      <c r="E31" s="9" t="s">
        <v>1161</v>
      </c>
      <c r="F31" s="9" t="s">
        <v>1162</v>
      </c>
      <c r="G31" s="9" t="s">
        <v>1163</v>
      </c>
      <c r="H31" s="9" t="s">
        <v>1288</v>
      </c>
      <c r="I31" s="9" t="s">
        <v>1289</v>
      </c>
    </row>
    <row r="32" spans="1:9">
      <c r="A32" s="9">
        <v>29</v>
      </c>
      <c r="B32" s="9" t="s">
        <v>1290</v>
      </c>
      <c r="C32" s="9" t="s">
        <v>1291</v>
      </c>
      <c r="D32" s="9" t="s">
        <v>1160</v>
      </c>
      <c r="E32" s="9" t="s">
        <v>1161</v>
      </c>
      <c r="F32" s="9" t="s">
        <v>1176</v>
      </c>
      <c r="G32" s="9" t="s">
        <v>1163</v>
      </c>
      <c r="H32" s="9" t="s">
        <v>1292</v>
      </c>
      <c r="I32" s="9" t="s">
        <v>1293</v>
      </c>
    </row>
    <row r="33" spans="1:9">
      <c r="A33" s="9">
        <v>30</v>
      </c>
      <c r="B33" s="9" t="s">
        <v>1294</v>
      </c>
      <c r="C33" s="9" t="s">
        <v>1295</v>
      </c>
      <c r="D33" s="9" t="s">
        <v>1160</v>
      </c>
      <c r="E33" s="9" t="s">
        <v>1161</v>
      </c>
      <c r="F33" s="9" t="s">
        <v>1162</v>
      </c>
      <c r="G33" s="9" t="s">
        <v>1163</v>
      </c>
      <c r="H33" s="9" t="s">
        <v>1296</v>
      </c>
      <c r="I33" s="9" t="s">
        <v>1297</v>
      </c>
    </row>
    <row r="34" spans="1:9">
      <c r="A34" s="9">
        <v>31</v>
      </c>
      <c r="B34" s="9" t="s">
        <v>1298</v>
      </c>
      <c r="C34" s="9" t="s">
        <v>1299</v>
      </c>
      <c r="D34" s="9" t="s">
        <v>1175</v>
      </c>
      <c r="E34" s="9" t="s">
        <v>1161</v>
      </c>
      <c r="F34" s="9" t="s">
        <v>1176</v>
      </c>
      <c r="G34" s="9" t="s">
        <v>1163</v>
      </c>
      <c r="H34" s="9" t="s">
        <v>1300</v>
      </c>
      <c r="I34" s="9" t="s">
        <v>1178</v>
      </c>
    </row>
    <row r="35" spans="1:9">
      <c r="A35" s="9">
        <v>32</v>
      </c>
      <c r="B35" s="9" t="s">
        <v>1301</v>
      </c>
      <c r="C35" s="9" t="s">
        <v>1302</v>
      </c>
      <c r="D35" s="9" t="s">
        <v>1160</v>
      </c>
      <c r="E35" s="9" t="s">
        <v>1303</v>
      </c>
      <c r="F35" s="9" t="s">
        <v>1304</v>
      </c>
      <c r="G35" s="9" t="s">
        <v>1305</v>
      </c>
      <c r="H35" s="9" t="s">
        <v>1306</v>
      </c>
      <c r="I35" s="9" t="s">
        <v>1307</v>
      </c>
    </row>
    <row r="36" spans="1:9">
      <c r="A36" s="9">
        <v>33</v>
      </c>
      <c r="B36" s="9" t="s">
        <v>1308</v>
      </c>
      <c r="C36" s="9" t="s">
        <v>1309</v>
      </c>
      <c r="D36" s="9" t="s">
        <v>1175</v>
      </c>
      <c r="E36" s="9" t="s">
        <v>1161</v>
      </c>
      <c r="F36" s="9" t="s">
        <v>1176</v>
      </c>
      <c r="G36" s="9" t="s">
        <v>1163</v>
      </c>
      <c r="H36" s="9" t="s">
        <v>1310</v>
      </c>
      <c r="I36" s="9" t="s">
        <v>1178</v>
      </c>
    </row>
    <row r="37" spans="1:9">
      <c r="A37" s="9">
        <v>34</v>
      </c>
      <c r="B37" s="9" t="s">
        <v>1311</v>
      </c>
      <c r="C37" s="9" t="s">
        <v>67</v>
      </c>
      <c r="D37" s="9" t="s">
        <v>1209</v>
      </c>
      <c r="E37" s="9" t="s">
        <v>1215</v>
      </c>
      <c r="F37" s="9" t="s">
        <v>1312</v>
      </c>
      <c r="G37" s="9" t="s">
        <v>175</v>
      </c>
      <c r="H37" s="9" t="s">
        <v>1313</v>
      </c>
      <c r="I37" s="9" t="s">
        <v>1314</v>
      </c>
    </row>
    <row r="38" spans="1:9">
      <c r="A38" s="9">
        <v>35</v>
      </c>
      <c r="B38" s="9" t="s">
        <v>1315</v>
      </c>
      <c r="C38" s="9" t="s">
        <v>1316</v>
      </c>
      <c r="D38" s="9" t="s">
        <v>1317</v>
      </c>
      <c r="E38" s="9" t="s">
        <v>1246</v>
      </c>
      <c r="F38" s="9" t="s">
        <v>1318</v>
      </c>
      <c r="G38" s="9" t="s">
        <v>1170</v>
      </c>
      <c r="H38" s="9" t="s">
        <v>957</v>
      </c>
      <c r="I38" s="9" t="s">
        <v>1319</v>
      </c>
    </row>
    <row r="39" spans="1:9">
      <c r="A39" s="9">
        <v>36</v>
      </c>
      <c r="B39" s="9" t="s">
        <v>1320</v>
      </c>
      <c r="C39" s="9" t="s">
        <v>1321</v>
      </c>
      <c r="D39" s="9" t="s">
        <v>1160</v>
      </c>
      <c r="E39" s="9" t="s">
        <v>1161</v>
      </c>
      <c r="F39" s="9" t="s">
        <v>1176</v>
      </c>
      <c r="G39" s="9" t="s">
        <v>1163</v>
      </c>
      <c r="H39" s="9" t="s">
        <v>245</v>
      </c>
      <c r="I39" s="9" t="s">
        <v>1178</v>
      </c>
    </row>
    <row r="40" spans="1:9">
      <c r="A40" s="9">
        <v>37</v>
      </c>
      <c r="B40" s="9" t="s">
        <v>1322</v>
      </c>
      <c r="C40" s="9" t="s">
        <v>1323</v>
      </c>
      <c r="D40" s="9" t="s">
        <v>1185</v>
      </c>
      <c r="E40" s="9" t="s">
        <v>1161</v>
      </c>
      <c r="F40" s="9" t="s">
        <v>1256</v>
      </c>
      <c r="G40" s="9" t="s">
        <v>1231</v>
      </c>
      <c r="H40" s="9" t="s">
        <v>1324</v>
      </c>
      <c r="I40" s="9" t="s">
        <v>1307</v>
      </c>
    </row>
    <row r="41" spans="1:9">
      <c r="A41" s="9">
        <v>38</v>
      </c>
      <c r="B41" s="9" t="s">
        <v>1325</v>
      </c>
      <c r="C41" s="9" t="s">
        <v>1326</v>
      </c>
      <c r="D41" s="9" t="s">
        <v>67</v>
      </c>
      <c r="E41" s="9" t="s">
        <v>1327</v>
      </c>
      <c r="F41" s="9" t="s">
        <v>1328</v>
      </c>
      <c r="G41" s="9" t="s">
        <v>1329</v>
      </c>
      <c r="H41" s="9" t="s">
        <v>1330</v>
      </c>
      <c r="I41" s="9" t="s">
        <v>1319</v>
      </c>
    </row>
    <row r="42" spans="1:9">
      <c r="A42" s="9">
        <v>39</v>
      </c>
      <c r="B42" s="9" t="s">
        <v>1331</v>
      </c>
      <c r="C42" s="9" t="s">
        <v>1332</v>
      </c>
      <c r="D42" s="9" t="s">
        <v>1333</v>
      </c>
      <c r="E42" s="9" t="s">
        <v>1246</v>
      </c>
      <c r="F42" s="9" t="s">
        <v>1334</v>
      </c>
      <c r="G42" s="9" t="s">
        <v>1170</v>
      </c>
      <c r="H42" s="9" t="s">
        <v>1335</v>
      </c>
      <c r="I42" s="9" t="s">
        <v>1178</v>
      </c>
    </row>
    <row r="43" spans="1:9">
      <c r="A43" s="9">
        <v>40</v>
      </c>
      <c r="B43" s="9" t="s">
        <v>1336</v>
      </c>
      <c r="C43" s="9" t="s">
        <v>1337</v>
      </c>
      <c r="D43" s="9" t="s">
        <v>1338</v>
      </c>
      <c r="E43" s="9" t="s">
        <v>1161</v>
      </c>
      <c r="F43" s="9" t="s">
        <v>1339</v>
      </c>
      <c r="G43" s="9" t="s">
        <v>1340</v>
      </c>
      <c r="H43" s="9" t="s">
        <v>1341</v>
      </c>
      <c r="I43" s="9" t="s">
        <v>1319</v>
      </c>
    </row>
    <row r="44" spans="1:9">
      <c r="A44" s="9">
        <v>41</v>
      </c>
      <c r="B44" s="9" t="s">
        <v>1342</v>
      </c>
      <c r="C44" s="9" t="s">
        <v>67</v>
      </c>
      <c r="D44" s="9" t="s">
        <v>1160</v>
      </c>
      <c r="E44" s="9" t="s">
        <v>1215</v>
      </c>
      <c r="F44" s="9" t="s">
        <v>1312</v>
      </c>
      <c r="G44" s="9" t="s">
        <v>175</v>
      </c>
      <c r="H44" s="9" t="s">
        <v>1343</v>
      </c>
      <c r="I44" s="9" t="s">
        <v>1178</v>
      </c>
    </row>
    <row r="45" spans="1:9">
      <c r="A45" s="9">
        <v>42</v>
      </c>
      <c r="B45" s="9" t="s">
        <v>1344</v>
      </c>
      <c r="C45" s="9" t="s">
        <v>1345</v>
      </c>
      <c r="D45" s="9" t="s">
        <v>1346</v>
      </c>
      <c r="E45" s="9" t="s">
        <v>1161</v>
      </c>
      <c r="F45" s="9" t="s">
        <v>1210</v>
      </c>
      <c r="G45" s="9" t="s">
        <v>1231</v>
      </c>
      <c r="H45" s="9" t="s">
        <v>1347</v>
      </c>
      <c r="I45" s="9" t="s">
        <v>1319</v>
      </c>
    </row>
    <row r="46" spans="1:9">
      <c r="A46" s="9">
        <v>43</v>
      </c>
      <c r="B46" s="9" t="s">
        <v>1348</v>
      </c>
      <c r="C46" s="9" t="s">
        <v>1349</v>
      </c>
      <c r="D46" s="9" t="s">
        <v>1160</v>
      </c>
      <c r="E46" s="9" t="s">
        <v>1161</v>
      </c>
      <c r="F46" s="9" t="s">
        <v>1176</v>
      </c>
      <c r="G46" s="9" t="s">
        <v>1163</v>
      </c>
      <c r="H46" s="9" t="s">
        <v>1350</v>
      </c>
      <c r="I46" s="9" t="s">
        <v>1178</v>
      </c>
    </row>
    <row r="47" spans="1:9">
      <c r="A47" s="9">
        <v>44</v>
      </c>
      <c r="B47" s="9" t="s">
        <v>1351</v>
      </c>
      <c r="C47" s="9" t="s">
        <v>1352</v>
      </c>
      <c r="D47" s="9" t="s">
        <v>1236</v>
      </c>
      <c r="E47" s="9" t="s">
        <v>1161</v>
      </c>
      <c r="F47" s="9" t="s">
        <v>1256</v>
      </c>
      <c r="G47" s="9" t="s">
        <v>1231</v>
      </c>
      <c r="H47" s="9" t="s">
        <v>1353</v>
      </c>
      <c r="I47" s="9" t="s">
        <v>1354</v>
      </c>
    </row>
    <row r="48" spans="1:9">
      <c r="A48" s="9">
        <v>45</v>
      </c>
      <c r="B48" s="9" t="s">
        <v>1355</v>
      </c>
      <c r="C48" s="9" t="s">
        <v>1356</v>
      </c>
      <c r="D48" s="9" t="s">
        <v>1160</v>
      </c>
      <c r="E48" s="9" t="s">
        <v>1161</v>
      </c>
      <c r="F48" s="9" t="s">
        <v>1162</v>
      </c>
      <c r="G48" s="9" t="s">
        <v>1163</v>
      </c>
      <c r="H48" s="9" t="s">
        <v>1357</v>
      </c>
      <c r="I48" s="9" t="s">
        <v>1358</v>
      </c>
    </row>
    <row r="49" spans="1:20">
      <c r="A49" s="9">
        <v>46</v>
      </c>
      <c r="B49" s="9" t="s">
        <v>1359</v>
      </c>
      <c r="C49" s="9" t="s">
        <v>1360</v>
      </c>
      <c r="D49" s="9" t="s">
        <v>1236</v>
      </c>
      <c r="E49" s="9" t="s">
        <v>1246</v>
      </c>
      <c r="F49" s="9" t="s">
        <v>1361</v>
      </c>
      <c r="G49" s="9" t="s">
        <v>1205</v>
      </c>
      <c r="H49" s="9" t="s">
        <v>1362</v>
      </c>
      <c r="I49" s="9" t="s">
        <v>1274</v>
      </c>
    </row>
    <row r="50" spans="1:20">
      <c r="A50" s="9">
        <v>47</v>
      </c>
      <c r="B50" s="9" t="s">
        <v>1363</v>
      </c>
      <c r="C50" s="9" t="s">
        <v>1364</v>
      </c>
      <c r="D50" s="9" t="s">
        <v>1365</v>
      </c>
      <c r="E50" s="9" t="s">
        <v>1161</v>
      </c>
      <c r="F50" s="9" t="s">
        <v>1176</v>
      </c>
      <c r="G50" s="9" t="s">
        <v>1163</v>
      </c>
      <c r="H50" s="9" t="s">
        <v>1366</v>
      </c>
      <c r="I50" s="9" t="s">
        <v>1178</v>
      </c>
    </row>
    <row r="51" spans="1:20">
      <c r="A51" s="9">
        <v>48</v>
      </c>
      <c r="B51" s="9" t="s">
        <v>1367</v>
      </c>
      <c r="C51" s="9" t="s">
        <v>67</v>
      </c>
      <c r="D51" s="9" t="s">
        <v>1160</v>
      </c>
      <c r="E51" s="9" t="s">
        <v>1215</v>
      </c>
      <c r="F51" s="9" t="s">
        <v>1368</v>
      </c>
      <c r="G51" s="9" t="s">
        <v>175</v>
      </c>
      <c r="H51" s="9" t="s">
        <v>973</v>
      </c>
      <c r="I51" s="9" t="s">
        <v>1178</v>
      </c>
    </row>
    <row r="52" spans="1:20">
      <c r="A52" s="9">
        <v>49</v>
      </c>
      <c r="B52" s="9" t="s">
        <v>1369</v>
      </c>
      <c r="C52" s="9" t="s">
        <v>1370</v>
      </c>
      <c r="D52" s="9" t="s">
        <v>1175</v>
      </c>
      <c r="E52" s="9" t="s">
        <v>1246</v>
      </c>
      <c r="F52" s="9" t="s">
        <v>1334</v>
      </c>
      <c r="G52" s="9" t="s">
        <v>1170</v>
      </c>
      <c r="H52" s="9" t="s">
        <v>1371</v>
      </c>
      <c r="I52" s="9" t="s">
        <v>1165</v>
      </c>
    </row>
    <row r="53" spans="1:20">
      <c r="A53" s="9">
        <v>50</v>
      </c>
      <c r="B53" s="9" t="s">
        <v>1372</v>
      </c>
      <c r="C53" s="9" t="s">
        <v>1373</v>
      </c>
      <c r="D53" s="9" t="s">
        <v>1160</v>
      </c>
      <c r="E53" s="9" t="s">
        <v>1246</v>
      </c>
      <c r="F53" s="9" t="s">
        <v>1374</v>
      </c>
      <c r="G53" s="9" t="s">
        <v>1375</v>
      </c>
      <c r="H53" s="9" t="s">
        <v>1376</v>
      </c>
      <c r="I53" s="9" t="s">
        <v>1178</v>
      </c>
    </row>
    <row r="54" ht="14.5" spans="1:20">
      <c r="A54" s="24" t="str">
        <f>HYPERLINK("https://www.tianyancha.com/company/441970624","打开天眼查，查看更多[司法案件]")</f>
        <v>打开天眼查，查看更多[司法案件]</v>
      </c>
      <c r="B54" s="2"/>
      <c r="C54" s="2"/>
      <c r="D54" s="2"/>
      <c r="E54" s="2"/>
      <c r="F54" s="2"/>
      <c r="G54" s="2"/>
      <c r="H54" s="2"/>
      <c r="I54" s="2"/>
      <c r="J54" s="2"/>
      <c r="K54" s="2"/>
      <c r="L54" s="2"/>
      <c r="M54" s="2"/>
      <c r="N54" s="2"/>
      <c r="O54" s="2"/>
      <c r="P54" s="2"/>
      <c r="Q54" s="2"/>
      <c r="R54" s="2"/>
      <c r="S54" s="2"/>
      <c r="T54" s="2"/>
    </row>
    <row r="55" spans="1:20">
      <c r="A55" s="2"/>
      <c r="B55" s="2"/>
      <c r="C55" s="2"/>
      <c r="D55" s="2"/>
      <c r="E55" s="2"/>
      <c r="F55" s="2"/>
      <c r="G55" s="2"/>
      <c r="H55" s="2"/>
      <c r="I55" s="2"/>
      <c r="J55" s="2"/>
      <c r="K55" s="2"/>
      <c r="L55" s="2"/>
      <c r="M55" s="2"/>
      <c r="N55" s="2"/>
      <c r="O55" s="2"/>
      <c r="P55" s="2"/>
      <c r="Q55" s="2"/>
      <c r="R55" s="2"/>
      <c r="S55" s="2"/>
      <c r="T55" s="2"/>
    </row>
    <row r="56" ht="15.5" spans="1:20">
      <c r="A56" s="3" t="s">
        <v>1377</v>
      </c>
      <c r="B56" s="9" t="s">
        <v>1378</v>
      </c>
      <c r="C56" s="2"/>
      <c r="D56" s="2"/>
      <c r="E56" s="2"/>
      <c r="F56" s="2"/>
      <c r="G56" s="2"/>
      <c r="H56" s="2"/>
      <c r="I56" s="2"/>
      <c r="J56" s="2"/>
      <c r="K56" s="2"/>
      <c r="L56" s="2"/>
      <c r="M56" s="2"/>
      <c r="N56" s="2"/>
      <c r="O56" s="2"/>
      <c r="P56" s="2"/>
      <c r="Q56" s="2"/>
      <c r="R56" s="2"/>
      <c r="S56" s="2"/>
      <c r="T56" s="2"/>
    </row>
    <row r="57" ht="15.5" spans="1:20">
      <c r="A57" s="55" t="s">
        <v>46</v>
      </c>
      <c r="B57" s="56" t="s">
        <v>1379</v>
      </c>
      <c r="C57" s="55" t="s">
        <v>1380</v>
      </c>
      <c r="D57" s="55" t="s">
        <v>1152</v>
      </c>
      <c r="E57" s="55" t="s">
        <v>1381</v>
      </c>
      <c r="F57" s="55" t="s">
        <v>1157</v>
      </c>
      <c r="G57" s="2"/>
      <c r="H57" s="2"/>
      <c r="I57" s="2"/>
      <c r="J57" s="2"/>
      <c r="K57" s="2"/>
      <c r="L57" s="2"/>
      <c r="M57" s="2"/>
      <c r="N57" s="2"/>
      <c r="O57" s="2"/>
      <c r="P57" s="2"/>
      <c r="Q57" s="2"/>
      <c r="R57" s="2"/>
      <c r="S57" s="2"/>
      <c r="T57" s="2"/>
    </row>
    <row r="58" spans="1:20">
      <c r="A58" s="9" t="s">
        <v>633</v>
      </c>
      <c r="B58" s="9" t="s">
        <v>1382</v>
      </c>
      <c r="C58" s="9" t="s">
        <v>1159</v>
      </c>
      <c r="D58" s="9" t="s">
        <v>1160</v>
      </c>
      <c r="E58" s="9" t="s">
        <v>1383</v>
      </c>
      <c r="F58" s="9" t="s">
        <v>1165</v>
      </c>
      <c r="G58" s="2"/>
      <c r="H58" s="2"/>
      <c r="I58" s="2"/>
      <c r="J58" s="2"/>
      <c r="K58" s="2"/>
      <c r="L58" s="2"/>
      <c r="M58" s="2"/>
      <c r="N58" s="2"/>
      <c r="O58" s="2"/>
      <c r="P58" s="2"/>
      <c r="Q58" s="2"/>
      <c r="R58" s="2"/>
      <c r="S58" s="2"/>
      <c r="T58" s="2"/>
    </row>
    <row r="59" spans="1:20">
      <c r="A59" s="9" t="s">
        <v>233</v>
      </c>
      <c r="B59" s="9" t="s">
        <v>1384</v>
      </c>
      <c r="C59" s="9" t="s">
        <v>1174</v>
      </c>
      <c r="D59" s="9" t="s">
        <v>1175</v>
      </c>
      <c r="E59" s="9" t="s">
        <v>1385</v>
      </c>
      <c r="F59" s="9" t="s">
        <v>1178</v>
      </c>
    </row>
    <row r="60" spans="1:20">
      <c r="A60" s="9" t="s">
        <v>636</v>
      </c>
      <c r="B60" s="9" t="s">
        <v>1386</v>
      </c>
      <c r="C60" s="9" t="s">
        <v>1184</v>
      </c>
      <c r="D60" s="9" t="s">
        <v>1185</v>
      </c>
      <c r="E60" s="9" t="s">
        <v>1387</v>
      </c>
      <c r="F60" s="9" t="s">
        <v>1178</v>
      </c>
    </row>
    <row r="61" spans="1:20">
      <c r="A61" s="9" t="s">
        <v>638</v>
      </c>
      <c r="B61" s="9" t="s">
        <v>1388</v>
      </c>
      <c r="C61" s="9" t="s">
        <v>1389</v>
      </c>
      <c r="D61" s="9" t="s">
        <v>67</v>
      </c>
      <c r="E61" s="9" t="s">
        <v>1390</v>
      </c>
      <c r="F61" s="9" t="s">
        <v>1391</v>
      </c>
    </row>
    <row r="62" spans="1:20">
      <c r="A62" s="9" t="s">
        <v>640</v>
      </c>
      <c r="B62" s="9" t="s">
        <v>1392</v>
      </c>
      <c r="C62" s="9" t="s">
        <v>1393</v>
      </c>
      <c r="D62" s="9" t="s">
        <v>1168</v>
      </c>
      <c r="E62" s="9" t="s">
        <v>1394</v>
      </c>
      <c r="F62" s="9" t="s">
        <v>1172</v>
      </c>
    </row>
    <row r="63" spans="1:20">
      <c r="A63" s="9" t="s">
        <v>642</v>
      </c>
      <c r="B63" s="9" t="s">
        <v>1395</v>
      </c>
      <c r="C63" s="9" t="s">
        <v>1396</v>
      </c>
      <c r="D63" s="9" t="s">
        <v>67</v>
      </c>
      <c r="E63" s="9" t="s">
        <v>1397</v>
      </c>
      <c r="F63" s="9" t="s">
        <v>1398</v>
      </c>
    </row>
    <row r="64" spans="1:20">
      <c r="A64" s="9" t="s">
        <v>643</v>
      </c>
      <c r="B64" s="9" t="s">
        <v>1399</v>
      </c>
      <c r="C64" s="9" t="s">
        <v>1400</v>
      </c>
      <c r="D64" s="9" t="s">
        <v>1160</v>
      </c>
      <c r="E64" s="9" t="s">
        <v>1401</v>
      </c>
      <c r="F64" s="9" t="s">
        <v>1190</v>
      </c>
    </row>
    <row r="65" spans="1:6">
      <c r="A65" s="9" t="s">
        <v>645</v>
      </c>
      <c r="B65" s="9" t="s">
        <v>1402</v>
      </c>
      <c r="C65" s="9" t="s">
        <v>1200</v>
      </c>
      <c r="D65" s="9" t="s">
        <v>1160</v>
      </c>
      <c r="E65" s="9" t="s">
        <v>1403</v>
      </c>
      <c r="F65" s="9" t="s">
        <v>1165</v>
      </c>
    </row>
    <row r="66" spans="1:6">
      <c r="A66" s="9" t="s">
        <v>208</v>
      </c>
      <c r="B66" s="9" t="s">
        <v>1404</v>
      </c>
      <c r="C66" s="9" t="s">
        <v>1396</v>
      </c>
      <c r="D66" s="9" t="s">
        <v>67</v>
      </c>
      <c r="E66" s="9" t="s">
        <v>1397</v>
      </c>
      <c r="F66" s="9" t="s">
        <v>1398</v>
      </c>
    </row>
    <row r="67" spans="1:6">
      <c r="A67" s="9" t="s">
        <v>685</v>
      </c>
      <c r="B67" s="9" t="s">
        <v>1405</v>
      </c>
      <c r="C67" s="9" t="s">
        <v>1406</v>
      </c>
      <c r="D67" s="9" t="s">
        <v>67</v>
      </c>
      <c r="E67" s="9" t="s">
        <v>1397</v>
      </c>
      <c r="F67" s="9" t="s">
        <v>1398</v>
      </c>
    </row>
    <row r="68" spans="1:6">
      <c r="A68" s="9" t="s">
        <v>690</v>
      </c>
      <c r="B68" s="9" t="s">
        <v>1407</v>
      </c>
      <c r="C68" s="9" t="s">
        <v>1408</v>
      </c>
      <c r="D68" s="9" t="s">
        <v>67</v>
      </c>
      <c r="E68" s="9" t="s">
        <v>1397</v>
      </c>
      <c r="F68" s="9" t="s">
        <v>1398</v>
      </c>
    </row>
    <row r="69" spans="1:6">
      <c r="A69" s="9" t="s">
        <v>692</v>
      </c>
      <c r="B69" s="9" t="s">
        <v>1407</v>
      </c>
      <c r="C69" s="9" t="s">
        <v>1406</v>
      </c>
      <c r="D69" s="9" t="s">
        <v>67</v>
      </c>
      <c r="E69" s="9" t="s">
        <v>1409</v>
      </c>
      <c r="F69" s="9" t="s">
        <v>1398</v>
      </c>
    </row>
    <row r="70" spans="1:6">
      <c r="A70" s="9" t="s">
        <v>594</v>
      </c>
      <c r="B70" s="9" t="s">
        <v>1410</v>
      </c>
      <c r="C70" s="9" t="s">
        <v>1411</v>
      </c>
      <c r="D70" s="9" t="s">
        <v>1160</v>
      </c>
      <c r="E70" s="9" t="s">
        <v>1412</v>
      </c>
      <c r="F70" s="9" t="s">
        <v>1195</v>
      </c>
    </row>
    <row r="71" spans="1:6">
      <c r="A71" s="9" t="s">
        <v>698</v>
      </c>
      <c r="B71" s="9" t="s">
        <v>1410</v>
      </c>
      <c r="C71" s="9" t="s">
        <v>1413</v>
      </c>
      <c r="D71" s="9" t="s">
        <v>1160</v>
      </c>
      <c r="E71" s="9" t="s">
        <v>1412</v>
      </c>
      <c r="F71" s="9" t="s">
        <v>1195</v>
      </c>
    </row>
    <row r="72" spans="1:6">
      <c r="A72" s="9" t="s">
        <v>700</v>
      </c>
      <c r="B72" s="9" t="s">
        <v>1414</v>
      </c>
      <c r="C72" s="9" t="s">
        <v>1415</v>
      </c>
      <c r="D72" s="9" t="s">
        <v>1160</v>
      </c>
      <c r="E72" s="9" t="s">
        <v>1416</v>
      </c>
      <c r="F72" s="9" t="s">
        <v>1198</v>
      </c>
    </row>
    <row r="73" spans="1:6">
      <c r="A73" s="9" t="s">
        <v>703</v>
      </c>
      <c r="B73" s="9" t="s">
        <v>1417</v>
      </c>
      <c r="C73" s="9" t="s">
        <v>1214</v>
      </c>
      <c r="D73" s="9" t="s">
        <v>1160</v>
      </c>
      <c r="E73" s="9" t="s">
        <v>1418</v>
      </c>
      <c r="F73" s="9" t="s">
        <v>1398</v>
      </c>
    </row>
    <row r="74" spans="1:6">
      <c r="A74" s="9" t="s">
        <v>249</v>
      </c>
      <c r="B74" s="9" t="s">
        <v>1419</v>
      </c>
      <c r="C74" s="9" t="s">
        <v>1221</v>
      </c>
      <c r="D74" s="9" t="s">
        <v>1222</v>
      </c>
      <c r="E74" s="9" t="s">
        <v>1420</v>
      </c>
      <c r="F74" s="9" t="s">
        <v>1195</v>
      </c>
    </row>
    <row r="75" spans="1:6">
      <c r="A75" s="9" t="s">
        <v>707</v>
      </c>
      <c r="B75" s="9" t="s">
        <v>1421</v>
      </c>
      <c r="C75" s="9" t="s">
        <v>1230</v>
      </c>
      <c r="D75" s="9" t="s">
        <v>1160</v>
      </c>
      <c r="E75" s="9" t="s">
        <v>1422</v>
      </c>
      <c r="F75" s="9" t="s">
        <v>1233</v>
      </c>
    </row>
    <row r="76" spans="1:6">
      <c r="A76" s="9" t="s">
        <v>712</v>
      </c>
      <c r="B76" s="9" t="s">
        <v>1423</v>
      </c>
      <c r="C76" s="9" t="s">
        <v>1235</v>
      </c>
      <c r="D76" s="9" t="s">
        <v>1236</v>
      </c>
      <c r="E76" s="9" t="s">
        <v>1424</v>
      </c>
      <c r="F76" s="9" t="s">
        <v>1238</v>
      </c>
    </row>
    <row r="77" spans="1:6">
      <c r="A77" s="9" t="s">
        <v>716</v>
      </c>
      <c r="B77" s="9" t="s">
        <v>1425</v>
      </c>
      <c r="C77" s="9" t="s">
        <v>1235</v>
      </c>
      <c r="D77" s="9" t="s">
        <v>1236</v>
      </c>
      <c r="E77" s="9" t="s">
        <v>1424</v>
      </c>
      <c r="F77" s="9" t="s">
        <v>1238</v>
      </c>
    </row>
    <row r="78" spans="1:6">
      <c r="A78" s="9" t="s">
        <v>720</v>
      </c>
      <c r="B78" s="9" t="s">
        <v>1426</v>
      </c>
      <c r="C78" s="9" t="s">
        <v>1427</v>
      </c>
      <c r="D78" s="9" t="s">
        <v>1160</v>
      </c>
      <c r="E78" s="9" t="s">
        <v>1428</v>
      </c>
      <c r="F78" s="9" t="s">
        <v>1228</v>
      </c>
    </row>
    <row r="79" spans="1:6">
      <c r="A79" s="9" t="s">
        <v>722</v>
      </c>
      <c r="B79" s="9" t="s">
        <v>1429</v>
      </c>
      <c r="C79" s="9" t="s">
        <v>1427</v>
      </c>
      <c r="D79" s="9" t="s">
        <v>1160</v>
      </c>
      <c r="E79" s="9" t="s">
        <v>1428</v>
      </c>
      <c r="F79" s="9" t="s">
        <v>1228</v>
      </c>
    </row>
    <row r="80" spans="1:6">
      <c r="A80" s="9" t="s">
        <v>725</v>
      </c>
      <c r="B80" s="9" t="s">
        <v>1430</v>
      </c>
      <c r="C80" s="9" t="s">
        <v>1431</v>
      </c>
      <c r="D80" s="9" t="s">
        <v>1236</v>
      </c>
      <c r="E80" s="9" t="s">
        <v>1424</v>
      </c>
      <c r="F80" s="9" t="s">
        <v>1238</v>
      </c>
    </row>
    <row r="81" spans="1:20">
      <c r="A81" s="9" t="s">
        <v>729</v>
      </c>
      <c r="B81" s="9" t="s">
        <v>1432</v>
      </c>
      <c r="C81" s="9" t="s">
        <v>1433</v>
      </c>
      <c r="D81" s="9" t="s">
        <v>1241</v>
      </c>
      <c r="E81" s="9" t="s">
        <v>1434</v>
      </c>
      <c r="F81" s="9" t="s">
        <v>1243</v>
      </c>
    </row>
    <row r="82" spans="1:20">
      <c r="A82" s="9" t="s">
        <v>731</v>
      </c>
      <c r="B82" s="9" t="s">
        <v>1435</v>
      </c>
      <c r="C82" s="9" t="s">
        <v>1251</v>
      </c>
      <c r="D82" s="9" t="s">
        <v>1236</v>
      </c>
      <c r="E82" s="9" t="s">
        <v>1436</v>
      </c>
      <c r="F82" s="9" t="s">
        <v>1253</v>
      </c>
    </row>
    <row r="83" spans="1:20">
      <c r="A83" s="9" t="s">
        <v>734</v>
      </c>
      <c r="B83" s="9" t="s">
        <v>1437</v>
      </c>
      <c r="C83" s="9" t="s">
        <v>1255</v>
      </c>
      <c r="D83" s="9" t="s">
        <v>1236</v>
      </c>
      <c r="E83" s="9" t="s">
        <v>1438</v>
      </c>
      <c r="F83" s="9" t="s">
        <v>1258</v>
      </c>
    </row>
    <row r="84" spans="1:20">
      <c r="A84" s="9" t="s">
        <v>736</v>
      </c>
      <c r="B84" s="9" t="s">
        <v>1439</v>
      </c>
      <c r="C84" s="9" t="s">
        <v>1260</v>
      </c>
      <c r="D84" s="9" t="s">
        <v>1236</v>
      </c>
      <c r="E84" s="9" t="s">
        <v>1440</v>
      </c>
      <c r="F84" s="9" t="s">
        <v>1262</v>
      </c>
    </row>
    <row r="85" spans="1:20">
      <c r="A85" s="9" t="s">
        <v>738</v>
      </c>
      <c r="B85" s="9" t="s">
        <v>1441</v>
      </c>
      <c r="C85" s="9" t="s">
        <v>1260</v>
      </c>
      <c r="D85" s="9" t="s">
        <v>1236</v>
      </c>
      <c r="E85" s="9" t="s">
        <v>1440</v>
      </c>
      <c r="F85" s="9" t="s">
        <v>1262</v>
      </c>
    </row>
    <row r="86" spans="1:20">
      <c r="A86" s="9" t="s">
        <v>110</v>
      </c>
      <c r="B86" s="2"/>
      <c r="C86" s="2"/>
      <c r="D86" s="2"/>
      <c r="E86" s="2"/>
      <c r="F86" s="2"/>
      <c r="G86" s="2"/>
      <c r="H86" s="2"/>
      <c r="I86" s="2"/>
      <c r="J86" s="2"/>
      <c r="K86" s="2"/>
      <c r="L86" s="2"/>
      <c r="M86" s="2"/>
      <c r="N86" s="2"/>
      <c r="O86" s="2"/>
      <c r="P86" s="2"/>
      <c r="Q86" s="2"/>
      <c r="R86" s="2"/>
      <c r="S86" s="2"/>
      <c r="T86" s="2"/>
    </row>
    <row r="87" spans="1:20">
      <c r="A87" s="2"/>
      <c r="B87" s="2"/>
      <c r="C87" s="2"/>
      <c r="D87" s="2"/>
      <c r="E87" s="2"/>
      <c r="F87" s="2"/>
      <c r="G87" s="2"/>
      <c r="H87" s="2"/>
      <c r="I87" s="2"/>
      <c r="J87" s="2"/>
      <c r="K87" s="2"/>
      <c r="L87" s="2"/>
      <c r="M87" s="2"/>
      <c r="N87" s="2"/>
      <c r="O87" s="2"/>
      <c r="P87" s="2"/>
      <c r="Q87" s="2"/>
      <c r="R87" s="2"/>
      <c r="S87" s="2"/>
      <c r="T87" s="2"/>
    </row>
    <row r="88" ht="15.5" spans="1:20">
      <c r="A88" s="3" t="s">
        <v>1442</v>
      </c>
      <c r="B88" s="9" t="s">
        <v>45</v>
      </c>
      <c r="C88" s="2"/>
      <c r="D88" s="2"/>
      <c r="E88" s="2"/>
      <c r="F88" s="2"/>
      <c r="G88" s="2"/>
      <c r="H88" s="2"/>
      <c r="I88" s="2"/>
      <c r="J88" s="2"/>
      <c r="K88" s="2"/>
      <c r="L88" s="2"/>
      <c r="M88" s="2"/>
      <c r="N88" s="2"/>
      <c r="O88" s="2"/>
      <c r="P88" s="2"/>
      <c r="Q88" s="2"/>
      <c r="R88" s="2"/>
      <c r="S88" s="2"/>
      <c r="T88" s="2"/>
    </row>
    <row r="89" ht="15.5" spans="1:20">
      <c r="A89" s="55" t="s">
        <v>46</v>
      </c>
      <c r="B89" s="55" t="s">
        <v>1443</v>
      </c>
      <c r="C89" s="55" t="s">
        <v>1380</v>
      </c>
      <c r="D89" s="55" t="s">
        <v>1152</v>
      </c>
      <c r="E89" s="55" t="s">
        <v>1381</v>
      </c>
      <c r="F89" s="57" t="s">
        <v>1444</v>
      </c>
      <c r="G89" s="55" t="s">
        <v>1445</v>
      </c>
      <c r="H89" s="55" t="s">
        <v>1446</v>
      </c>
      <c r="I89" s="55" t="s">
        <v>1447</v>
      </c>
      <c r="K89" s="2"/>
      <c r="L89" s="2"/>
      <c r="M89" s="2"/>
      <c r="N89" s="2"/>
      <c r="O89" s="2"/>
      <c r="P89" s="2"/>
      <c r="Q89" s="2"/>
      <c r="R89" s="2"/>
      <c r="S89" s="2"/>
      <c r="T89" s="2"/>
    </row>
    <row r="90" spans="1:20">
      <c r="A90" s="9">
        <v>1</v>
      </c>
      <c r="B90" s="9" t="s">
        <v>1448</v>
      </c>
      <c r="C90" s="9" t="s">
        <v>1400</v>
      </c>
      <c r="D90" s="9" t="s">
        <v>1160</v>
      </c>
      <c r="E90" s="9" t="s">
        <v>1449</v>
      </c>
      <c r="F90" s="9" t="s">
        <v>67</v>
      </c>
      <c r="G90" s="9" t="s">
        <v>1450</v>
      </c>
      <c r="H90" s="9" t="s">
        <v>1451</v>
      </c>
      <c r="I90" s="9" t="s">
        <v>1452</v>
      </c>
      <c r="K90" s="2"/>
      <c r="L90" s="2"/>
      <c r="M90" s="2"/>
      <c r="N90" s="2"/>
      <c r="O90" s="2"/>
      <c r="P90" s="2"/>
      <c r="Q90" s="2"/>
      <c r="R90" s="2"/>
      <c r="S90" s="2"/>
      <c r="T90" s="2"/>
    </row>
    <row r="91" spans="1:20">
      <c r="A91" s="9">
        <v>2</v>
      </c>
      <c r="B91" s="9" t="s">
        <v>1448</v>
      </c>
      <c r="C91" s="9" t="s">
        <v>1411</v>
      </c>
      <c r="D91" s="9" t="s">
        <v>67</v>
      </c>
      <c r="E91" s="9" t="s">
        <v>1453</v>
      </c>
      <c r="F91" s="9" t="s">
        <v>1454</v>
      </c>
      <c r="G91" s="9" t="s">
        <v>1455</v>
      </c>
      <c r="H91" s="9" t="s">
        <v>1456</v>
      </c>
      <c r="I91" s="9" t="s">
        <v>1457</v>
      </c>
    </row>
    <row r="92" spans="1:20">
      <c r="A92" s="9">
        <v>3</v>
      </c>
      <c r="B92" s="9" t="s">
        <v>1458</v>
      </c>
      <c r="C92" s="9" t="s">
        <v>1230</v>
      </c>
      <c r="D92" s="9" t="s">
        <v>1160</v>
      </c>
      <c r="E92" s="9" t="s">
        <v>1422</v>
      </c>
      <c r="F92" s="9" t="s">
        <v>1459</v>
      </c>
      <c r="G92" s="9" t="s">
        <v>1460</v>
      </c>
      <c r="H92" s="9" t="s">
        <v>1232</v>
      </c>
      <c r="I92" s="9" t="s">
        <v>1461</v>
      </c>
    </row>
    <row r="93" spans="1:20">
      <c r="A93" s="9">
        <v>4</v>
      </c>
      <c r="B93" s="9" t="s">
        <v>1462</v>
      </c>
      <c r="C93" s="9" t="s">
        <v>1433</v>
      </c>
      <c r="D93" s="9" t="s">
        <v>1241</v>
      </c>
      <c r="E93" s="9" t="s">
        <v>1463</v>
      </c>
      <c r="F93" s="9" t="s">
        <v>1464</v>
      </c>
      <c r="G93" s="9" t="s">
        <v>1465</v>
      </c>
      <c r="H93" s="9" t="s">
        <v>1466</v>
      </c>
      <c r="I93" s="9" t="s">
        <v>1467</v>
      </c>
    </row>
    <row r="94" spans="1:20">
      <c r="A94" s="9">
        <v>5</v>
      </c>
      <c r="B94" s="9" t="s">
        <v>1468</v>
      </c>
      <c r="C94" s="9" t="s">
        <v>1469</v>
      </c>
      <c r="D94" s="9" t="s">
        <v>1160</v>
      </c>
      <c r="E94" s="9" t="s">
        <v>1470</v>
      </c>
      <c r="F94" s="9" t="s">
        <v>1471</v>
      </c>
      <c r="G94" s="9" t="s">
        <v>1472</v>
      </c>
      <c r="H94" s="9" t="s">
        <v>1248</v>
      </c>
      <c r="I94" s="9" t="s">
        <v>1473</v>
      </c>
    </row>
    <row r="95" spans="1:20">
      <c r="A95" s="9">
        <v>6</v>
      </c>
      <c r="B95" s="9" t="s">
        <v>1448</v>
      </c>
      <c r="C95" s="9" t="s">
        <v>1264</v>
      </c>
      <c r="D95" s="9" t="s">
        <v>1160</v>
      </c>
      <c r="E95" s="9" t="s">
        <v>1474</v>
      </c>
      <c r="F95" s="9" t="s">
        <v>67</v>
      </c>
      <c r="G95" s="9" t="s">
        <v>1475</v>
      </c>
      <c r="H95" s="9" t="s">
        <v>1265</v>
      </c>
      <c r="I95" s="9" t="s">
        <v>1476</v>
      </c>
    </row>
    <row r="96" spans="1:20">
      <c r="A96" s="9">
        <v>7</v>
      </c>
      <c r="B96" s="9" t="s">
        <v>1448</v>
      </c>
      <c r="C96" s="9" t="s">
        <v>1283</v>
      </c>
      <c r="D96" s="9" t="s">
        <v>1160</v>
      </c>
      <c r="E96" s="9" t="s">
        <v>1477</v>
      </c>
      <c r="F96" s="9" t="s">
        <v>67</v>
      </c>
      <c r="G96" s="9" t="s">
        <v>1478</v>
      </c>
      <c r="H96" s="9" t="s">
        <v>1284</v>
      </c>
      <c r="I96" s="9" t="s">
        <v>1479</v>
      </c>
    </row>
    <row r="97" spans="1:20">
      <c r="A97" s="9">
        <v>8</v>
      </c>
      <c r="B97" s="9" t="s">
        <v>1480</v>
      </c>
      <c r="C97" s="9" t="s">
        <v>1481</v>
      </c>
      <c r="D97" s="9" t="s">
        <v>1317</v>
      </c>
      <c r="E97" s="9" t="s">
        <v>1482</v>
      </c>
      <c r="F97" s="9" t="s">
        <v>1483</v>
      </c>
      <c r="G97" s="9" t="s">
        <v>1484</v>
      </c>
      <c r="H97" s="9" t="s">
        <v>1485</v>
      </c>
      <c r="I97" s="9" t="s">
        <v>1265</v>
      </c>
    </row>
    <row r="98" spans="1:20">
      <c r="A98" s="9">
        <v>9</v>
      </c>
      <c r="B98" s="9" t="s">
        <v>1448</v>
      </c>
      <c r="C98" s="9" t="s">
        <v>1486</v>
      </c>
      <c r="D98" s="9" t="s">
        <v>1160</v>
      </c>
      <c r="E98" s="9" t="s">
        <v>1487</v>
      </c>
      <c r="F98" s="9" t="s">
        <v>1488</v>
      </c>
      <c r="G98" s="9" t="s">
        <v>1489</v>
      </c>
      <c r="H98" s="9" t="s">
        <v>1490</v>
      </c>
      <c r="I98" s="9" t="s">
        <v>1491</v>
      </c>
    </row>
    <row r="99" spans="1:20">
      <c r="A99" s="9">
        <v>10</v>
      </c>
      <c r="B99" s="9" t="s">
        <v>1448</v>
      </c>
      <c r="C99" s="9" t="s">
        <v>1492</v>
      </c>
      <c r="D99" s="9" t="s">
        <v>1160</v>
      </c>
      <c r="E99" s="9" t="s">
        <v>1493</v>
      </c>
      <c r="F99" s="9" t="s">
        <v>67</v>
      </c>
      <c r="G99" s="9" t="s">
        <v>1494</v>
      </c>
      <c r="H99" s="9" t="s">
        <v>1495</v>
      </c>
      <c r="I99" s="9" t="s">
        <v>1496</v>
      </c>
    </row>
    <row r="100" spans="1:20">
      <c r="A100" s="9">
        <v>11</v>
      </c>
      <c r="B100" s="9" t="s">
        <v>1468</v>
      </c>
      <c r="C100" s="9" t="s">
        <v>1497</v>
      </c>
      <c r="D100" s="9" t="s">
        <v>1160</v>
      </c>
      <c r="E100" s="9" t="s">
        <v>1498</v>
      </c>
      <c r="F100" s="9" t="s">
        <v>67</v>
      </c>
      <c r="G100" s="9" t="s">
        <v>1499</v>
      </c>
      <c r="H100" s="9" t="s">
        <v>1500</v>
      </c>
      <c r="I100" s="9" t="s">
        <v>1501</v>
      </c>
    </row>
    <row r="101" spans="1:20">
      <c r="A101" s="9">
        <v>12</v>
      </c>
      <c r="B101" s="9" t="s">
        <v>1468</v>
      </c>
      <c r="C101" s="9" t="s">
        <v>1302</v>
      </c>
      <c r="D101" s="9" t="s">
        <v>1160</v>
      </c>
      <c r="E101" s="9" t="s">
        <v>1502</v>
      </c>
      <c r="F101" s="9" t="s">
        <v>67</v>
      </c>
      <c r="G101" s="9" t="s">
        <v>1503</v>
      </c>
      <c r="H101" s="9" t="s">
        <v>1306</v>
      </c>
      <c r="I101" s="9" t="s">
        <v>1504</v>
      </c>
    </row>
    <row r="102" spans="1:20">
      <c r="A102" s="9">
        <v>13</v>
      </c>
      <c r="B102" s="9" t="s">
        <v>1448</v>
      </c>
      <c r="C102" s="9" t="s">
        <v>1505</v>
      </c>
      <c r="D102" s="9" t="s">
        <v>1160</v>
      </c>
      <c r="E102" s="9" t="s">
        <v>1506</v>
      </c>
      <c r="F102" s="9" t="s">
        <v>1507</v>
      </c>
      <c r="G102" s="9" t="s">
        <v>1508</v>
      </c>
      <c r="H102" s="9" t="s">
        <v>1509</v>
      </c>
      <c r="I102" s="9" t="s">
        <v>1510</v>
      </c>
    </row>
    <row r="103" spans="1:20">
      <c r="A103" s="9" t="s">
        <v>110</v>
      </c>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ht="15.5" spans="1:20">
      <c r="A105" s="3" t="s">
        <v>1511</v>
      </c>
      <c r="B105" s="9" t="s">
        <v>168</v>
      </c>
      <c r="C105" s="2"/>
      <c r="D105" s="2"/>
      <c r="E105" s="2"/>
      <c r="F105" s="2"/>
      <c r="G105" s="2"/>
      <c r="H105" s="2"/>
      <c r="I105" s="2"/>
      <c r="J105" s="2"/>
      <c r="K105" s="2"/>
      <c r="L105" s="2"/>
      <c r="M105" s="2"/>
      <c r="N105" s="2"/>
      <c r="O105" s="2"/>
      <c r="P105" s="2"/>
      <c r="Q105" s="2"/>
      <c r="R105" s="2"/>
      <c r="S105" s="2"/>
      <c r="T105" s="2"/>
    </row>
    <row r="106" ht="15.5" spans="1:20">
      <c r="A106" s="55" t="s">
        <v>46</v>
      </c>
      <c r="B106" s="55" t="s">
        <v>1380</v>
      </c>
      <c r="C106" s="55" t="s">
        <v>1152</v>
      </c>
      <c r="D106" s="55" t="s">
        <v>1381</v>
      </c>
      <c r="E106" s="55" t="s">
        <v>1512</v>
      </c>
      <c r="F106" s="58" t="s">
        <v>1513</v>
      </c>
      <c r="G106" s="55" t="s">
        <v>1514</v>
      </c>
      <c r="H106" s="2"/>
      <c r="I106" s="2"/>
      <c r="J106" s="2"/>
      <c r="K106" s="2"/>
      <c r="L106" s="2"/>
      <c r="M106" s="2"/>
      <c r="N106" s="2"/>
      <c r="O106" s="2"/>
      <c r="P106" s="2"/>
      <c r="Q106" s="2"/>
      <c r="R106" s="2"/>
      <c r="S106" s="2"/>
      <c r="T106" s="2"/>
    </row>
    <row r="107" spans="1:20">
      <c r="A107" s="9">
        <v>1</v>
      </c>
      <c r="B107" s="9" t="s">
        <v>1515</v>
      </c>
      <c r="C107" s="9" t="s">
        <v>1209</v>
      </c>
      <c r="D107" s="9" t="s">
        <v>1516</v>
      </c>
      <c r="E107" s="9" t="s">
        <v>1442</v>
      </c>
      <c r="F107" s="9" t="s">
        <v>1517</v>
      </c>
      <c r="G107" s="9" t="s">
        <v>1518</v>
      </c>
      <c r="H107" s="2"/>
      <c r="I107" s="2"/>
      <c r="J107" s="2"/>
      <c r="K107" s="2"/>
      <c r="L107" s="2"/>
      <c r="M107" s="2"/>
      <c r="N107" s="2"/>
      <c r="O107" s="2"/>
      <c r="P107" s="2"/>
      <c r="Q107" s="2"/>
      <c r="R107" s="2"/>
      <c r="S107" s="2"/>
      <c r="T107" s="2"/>
    </row>
    <row r="108" spans="1:20">
      <c r="A108" s="9">
        <v>2</v>
      </c>
      <c r="B108" s="9" t="s">
        <v>1519</v>
      </c>
      <c r="C108" s="9" t="s">
        <v>1209</v>
      </c>
      <c r="D108" s="9" t="s">
        <v>1520</v>
      </c>
      <c r="E108" s="9" t="s">
        <v>1521</v>
      </c>
      <c r="F108" s="9" t="s">
        <v>1314</v>
      </c>
      <c r="G108" s="9" t="s">
        <v>1522</v>
      </c>
    </row>
    <row r="109" spans="1:20">
      <c r="A109" s="9">
        <v>3</v>
      </c>
      <c r="B109" s="9" t="s">
        <v>1519</v>
      </c>
      <c r="C109" s="9" t="s">
        <v>1209</v>
      </c>
      <c r="D109" s="9" t="s">
        <v>1523</v>
      </c>
      <c r="E109" s="9" t="s">
        <v>1442</v>
      </c>
      <c r="F109" s="9" t="s">
        <v>1314</v>
      </c>
      <c r="G109" s="9" t="s">
        <v>1524</v>
      </c>
    </row>
    <row r="110" spans="1:20">
      <c r="A110" s="9">
        <v>4</v>
      </c>
      <c r="B110" s="9" t="s">
        <v>67</v>
      </c>
      <c r="C110" s="9" t="s">
        <v>1209</v>
      </c>
      <c r="D110" s="9" t="s">
        <v>1525</v>
      </c>
      <c r="E110" s="9" t="s">
        <v>1526</v>
      </c>
      <c r="F110" s="9" t="s">
        <v>1314</v>
      </c>
      <c r="G110" s="9" t="s">
        <v>1313</v>
      </c>
    </row>
    <row r="111" spans="1:20">
      <c r="A111" s="9" t="s">
        <v>110</v>
      </c>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ht="15.5" spans="1:20">
      <c r="A113" s="3" t="s">
        <v>1527</v>
      </c>
      <c r="B113" s="9" t="s">
        <v>110</v>
      </c>
      <c r="C113" s="2"/>
      <c r="D113" s="2"/>
      <c r="E113" s="2"/>
      <c r="F113" s="2"/>
      <c r="G113" s="2"/>
      <c r="H113" s="2"/>
      <c r="I113" s="2"/>
      <c r="J113" s="2"/>
      <c r="K113" s="2"/>
      <c r="L113" s="2"/>
      <c r="M113" s="2"/>
      <c r="N113" s="2"/>
      <c r="O113" s="2"/>
      <c r="P113" s="2"/>
      <c r="Q113" s="2"/>
      <c r="R113" s="2"/>
      <c r="S113" s="2"/>
      <c r="T113" s="2"/>
    </row>
    <row r="114" spans="1:20">
      <c r="A114" s="9" t="s">
        <v>110</v>
      </c>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ht="15.5" spans="1:20">
      <c r="A116" s="3" t="s">
        <v>1528</v>
      </c>
      <c r="B116" s="9" t="s">
        <v>110</v>
      </c>
      <c r="C116" s="2"/>
      <c r="D116" s="2"/>
      <c r="E116" s="2"/>
      <c r="F116" s="2"/>
      <c r="G116" s="2"/>
      <c r="H116" s="2"/>
      <c r="I116" s="2"/>
      <c r="J116" s="2"/>
      <c r="K116" s="2"/>
      <c r="L116" s="2"/>
      <c r="M116" s="2"/>
      <c r="N116" s="2"/>
      <c r="O116" s="2"/>
      <c r="P116" s="2"/>
      <c r="Q116" s="2"/>
      <c r="R116" s="2"/>
      <c r="S116" s="2"/>
      <c r="T116" s="2"/>
    </row>
    <row r="117" spans="1:20">
      <c r="A117" s="9" t="s">
        <v>110</v>
      </c>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ht="15.5" spans="1:20">
      <c r="A119" s="3" t="s">
        <v>1529</v>
      </c>
      <c r="B119" s="9" t="s">
        <v>110</v>
      </c>
      <c r="C119" s="9" t="s">
        <v>110</v>
      </c>
      <c r="D119" s="53"/>
      <c r="E119" s="53"/>
      <c r="F119" s="53"/>
      <c r="G119" s="53"/>
      <c r="H119" s="2"/>
      <c r="I119" s="2"/>
      <c r="J119" s="2"/>
      <c r="K119" s="2"/>
      <c r="L119" s="2"/>
      <c r="M119" s="2"/>
      <c r="N119" s="2"/>
      <c r="O119" s="2"/>
      <c r="P119" s="2"/>
      <c r="Q119" s="2"/>
      <c r="R119" s="2"/>
      <c r="S119" s="2"/>
      <c r="T119" s="2"/>
    </row>
    <row r="120" spans="1:20">
      <c r="A120" s="9" t="s">
        <v>110</v>
      </c>
      <c r="B120" s="9"/>
      <c r="C120" s="9"/>
      <c r="D120" s="9"/>
      <c r="E120" s="9"/>
      <c r="F120" s="9"/>
      <c r="G120" s="9"/>
      <c r="H120" s="2"/>
      <c r="I120" s="2"/>
      <c r="J120" s="2"/>
      <c r="K120" s="2"/>
      <c r="L120" s="2"/>
      <c r="M120" s="2"/>
      <c r="N120" s="2"/>
      <c r="O120" s="2"/>
      <c r="P120" s="2"/>
      <c r="Q120" s="2"/>
      <c r="R120" s="2"/>
      <c r="S120" s="2"/>
      <c r="T120" s="2"/>
    </row>
    <row r="121" spans="1:20">
      <c r="A121" s="9"/>
      <c r="B121" s="9"/>
      <c r="C121" s="9"/>
      <c r="D121" s="9"/>
      <c r="E121" s="9"/>
      <c r="F121" s="9"/>
      <c r="G121" s="9"/>
      <c r="H121" s="2"/>
      <c r="I121" s="2"/>
      <c r="J121" s="2"/>
      <c r="K121" s="2"/>
      <c r="L121" s="2"/>
      <c r="M121" s="2"/>
      <c r="N121" s="2"/>
      <c r="O121" s="2"/>
      <c r="P121" s="2"/>
      <c r="Q121" s="2"/>
      <c r="R121" s="2"/>
      <c r="S121" s="2"/>
      <c r="T121" s="2"/>
    </row>
    <row r="122" ht="15.5" spans="1:20">
      <c r="A122" s="3" t="s">
        <v>1530</v>
      </c>
      <c r="B122" s="9" t="s">
        <v>110</v>
      </c>
      <c r="C122" s="2"/>
      <c r="D122" s="2"/>
      <c r="E122" s="2"/>
      <c r="F122" s="2"/>
      <c r="G122" s="2"/>
      <c r="H122" s="2"/>
      <c r="I122" s="2"/>
      <c r="J122" s="2"/>
      <c r="K122" s="2"/>
      <c r="L122" s="2"/>
      <c r="M122" s="2"/>
      <c r="N122" s="2"/>
      <c r="O122" s="2"/>
      <c r="P122" s="2"/>
      <c r="Q122" s="2"/>
      <c r="R122" s="2"/>
      <c r="S122" s="2"/>
      <c r="T122" s="2"/>
    </row>
    <row r="123" spans="1:20">
      <c r="A123" s="9" t="s">
        <v>110</v>
      </c>
      <c r="B123" s="9"/>
      <c r="C123" s="9"/>
      <c r="D123" s="9"/>
      <c r="E123" s="9"/>
      <c r="F123" s="9"/>
      <c r="G123" s="9"/>
      <c r="H123" s="2"/>
      <c r="I123" s="2"/>
      <c r="J123" s="2"/>
      <c r="K123" s="2"/>
      <c r="L123" s="2"/>
      <c r="M123" s="2"/>
      <c r="N123" s="2"/>
      <c r="O123" s="2"/>
      <c r="P123" s="2"/>
      <c r="Q123" s="2"/>
      <c r="R123" s="2"/>
      <c r="S123" s="2"/>
      <c r="T123" s="2"/>
    </row>
    <row r="124" spans="1:20">
      <c r="A124" s="9"/>
      <c r="B124" s="9"/>
      <c r="C124" s="9"/>
      <c r="D124" s="9"/>
      <c r="E124" s="9"/>
      <c r="F124" s="9"/>
      <c r="G124" s="9"/>
      <c r="H124" s="2"/>
      <c r="I124" s="2"/>
      <c r="J124" s="2"/>
      <c r="K124" s="2"/>
      <c r="L124" s="2"/>
      <c r="M124" s="2"/>
      <c r="N124" s="2"/>
      <c r="O124" s="2"/>
      <c r="P124" s="2"/>
      <c r="Q124" s="2"/>
      <c r="R124" s="2"/>
      <c r="S124" s="2"/>
      <c r="T124" s="2"/>
    </row>
    <row r="125" ht="15.5" spans="1:20">
      <c r="A125" s="3" t="s">
        <v>1531</v>
      </c>
      <c r="B125" s="59" t="s">
        <v>110</v>
      </c>
      <c r="C125" s="2"/>
      <c r="D125" s="2"/>
      <c r="E125" s="2"/>
      <c r="F125" s="2"/>
      <c r="G125" s="2"/>
      <c r="H125" s="2"/>
      <c r="I125" s="2"/>
      <c r="J125" s="2"/>
      <c r="K125" s="2"/>
      <c r="L125" s="2"/>
      <c r="M125" s="2"/>
      <c r="N125" s="2"/>
      <c r="O125" s="2"/>
      <c r="P125" s="2"/>
      <c r="Q125" s="2"/>
      <c r="R125" s="2"/>
      <c r="S125" s="2"/>
      <c r="T125" s="2"/>
    </row>
    <row r="126" spans="1:20">
      <c r="A126" s="9" t="s">
        <v>110</v>
      </c>
      <c r="B126" s="9"/>
      <c r="C126" s="9"/>
      <c r="D126" s="9"/>
      <c r="E126" s="9"/>
      <c r="F126" s="9"/>
      <c r="G126" s="9"/>
      <c r="H126" s="9"/>
      <c r="I126" s="9"/>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ht="15.5" spans="1:20">
      <c r="A128" s="3" t="s">
        <v>1532</v>
      </c>
      <c r="B128" s="9" t="s">
        <v>110</v>
      </c>
      <c r="C128" s="2"/>
      <c r="D128" s="2"/>
      <c r="E128" s="2"/>
      <c r="F128" s="2"/>
      <c r="G128" s="2"/>
      <c r="H128" s="2"/>
      <c r="I128" s="2"/>
      <c r="J128" s="2"/>
      <c r="K128" s="2"/>
      <c r="L128" s="2"/>
      <c r="M128" s="2"/>
      <c r="N128" s="2"/>
      <c r="O128" s="2"/>
      <c r="P128" s="2"/>
      <c r="Q128" s="2"/>
      <c r="R128" s="2"/>
      <c r="S128" s="2"/>
      <c r="T128" s="2"/>
    </row>
    <row r="129" spans="1:20">
      <c r="A129" s="9" t="s">
        <v>110</v>
      </c>
      <c r="B129" s="9"/>
      <c r="C129" s="9"/>
      <c r="D129" s="9"/>
      <c r="E129" s="9"/>
      <c r="F129" s="9"/>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ht="15.5" spans="1:20">
      <c r="A131" s="3" t="s">
        <v>1533</v>
      </c>
      <c r="B131" s="9" t="s">
        <v>1534</v>
      </c>
      <c r="C131" s="2"/>
      <c r="D131" s="2"/>
      <c r="E131" s="2"/>
      <c r="F131" s="2"/>
      <c r="G131" s="2"/>
      <c r="H131" s="2"/>
      <c r="I131" s="2"/>
      <c r="J131" s="2"/>
      <c r="K131" s="2"/>
      <c r="L131" s="2"/>
      <c r="M131" s="2"/>
      <c r="N131" s="2"/>
      <c r="O131" s="2"/>
      <c r="P131" s="2"/>
      <c r="Q131" s="2"/>
      <c r="R131" s="2"/>
      <c r="S131" s="2"/>
      <c r="T131" s="2"/>
    </row>
    <row r="132" ht="15.5" spans="1:20">
      <c r="A132" s="55" t="s">
        <v>46</v>
      </c>
      <c r="B132" s="60" t="s">
        <v>1535</v>
      </c>
      <c r="C132" s="55" t="s">
        <v>1380</v>
      </c>
      <c r="D132" s="55" t="s">
        <v>1154</v>
      </c>
      <c r="E132" s="55" t="s">
        <v>1157</v>
      </c>
      <c r="F132" s="23"/>
      <c r="G132" s="2"/>
      <c r="H132" s="2"/>
      <c r="I132" s="2"/>
      <c r="J132" s="2"/>
      <c r="K132" s="2"/>
      <c r="L132" s="2"/>
      <c r="M132" s="2"/>
      <c r="N132" s="2"/>
      <c r="O132" s="2"/>
      <c r="P132" s="2"/>
      <c r="Q132" s="2"/>
      <c r="R132" s="2"/>
      <c r="S132" s="2"/>
      <c r="T132" s="2"/>
    </row>
    <row r="133" spans="1:20">
      <c r="A133" s="9">
        <v>1</v>
      </c>
      <c r="B133" s="9" t="s">
        <v>1536</v>
      </c>
      <c r="C133" s="9" t="s">
        <v>1537</v>
      </c>
      <c r="D133" s="9" t="s">
        <v>1538</v>
      </c>
      <c r="E133" s="9" t="s">
        <v>1182</v>
      </c>
      <c r="F133" s="2"/>
      <c r="G133" s="2"/>
      <c r="H133" s="2"/>
      <c r="I133" s="2"/>
      <c r="J133" s="2"/>
      <c r="K133" s="2"/>
      <c r="L133" s="2"/>
      <c r="M133" s="2"/>
      <c r="N133" s="2"/>
      <c r="O133" s="2"/>
      <c r="P133" s="2"/>
      <c r="Q133" s="2"/>
      <c r="R133" s="2"/>
      <c r="S133" s="2"/>
      <c r="T133" s="2"/>
    </row>
    <row r="134" spans="1:20">
      <c r="A134" s="9">
        <v>2</v>
      </c>
      <c r="B134" s="9" t="s">
        <v>1539</v>
      </c>
      <c r="C134" s="9" t="s">
        <v>1540</v>
      </c>
      <c r="D134" s="9" t="s">
        <v>1541</v>
      </c>
      <c r="E134" s="9" t="s">
        <v>1195</v>
      </c>
    </row>
    <row r="135" spans="1:20">
      <c r="A135" s="9">
        <v>3</v>
      </c>
      <c r="B135" s="9" t="s">
        <v>1539</v>
      </c>
      <c r="C135" s="9" t="s">
        <v>1400</v>
      </c>
      <c r="D135" s="9" t="s">
        <v>1542</v>
      </c>
      <c r="E135" s="9" t="s">
        <v>1190</v>
      </c>
    </row>
    <row r="136" spans="1:20">
      <c r="A136" s="9">
        <v>4</v>
      </c>
      <c r="B136" s="9" t="s">
        <v>1543</v>
      </c>
      <c r="C136" s="9" t="s">
        <v>1544</v>
      </c>
      <c r="D136" s="9" t="s">
        <v>1545</v>
      </c>
      <c r="E136" s="9" t="s">
        <v>1195</v>
      </c>
    </row>
    <row r="137" spans="1:20">
      <c r="A137" s="9">
        <v>5</v>
      </c>
      <c r="B137" s="9" t="s">
        <v>1546</v>
      </c>
      <c r="C137" s="9" t="s">
        <v>1547</v>
      </c>
      <c r="D137" s="9" t="s">
        <v>1538</v>
      </c>
      <c r="E137" s="9" t="s">
        <v>1182</v>
      </c>
    </row>
    <row r="138" spans="1:20">
      <c r="A138" s="9">
        <v>6</v>
      </c>
      <c r="B138" s="9" t="s">
        <v>1548</v>
      </c>
      <c r="C138" s="9" t="s">
        <v>1415</v>
      </c>
      <c r="D138" s="9" t="s">
        <v>1549</v>
      </c>
      <c r="E138" s="9" t="s">
        <v>1198</v>
      </c>
    </row>
    <row r="139" spans="1:20">
      <c r="A139" s="9">
        <v>7</v>
      </c>
      <c r="B139" s="9" t="s">
        <v>901</v>
      </c>
      <c r="C139" s="9" t="s">
        <v>1413</v>
      </c>
      <c r="D139" s="9" t="s">
        <v>1550</v>
      </c>
      <c r="E139" s="9" t="s">
        <v>1195</v>
      </c>
    </row>
    <row r="140" spans="1:20">
      <c r="A140" s="9">
        <v>8</v>
      </c>
      <c r="B140" s="9" t="s">
        <v>1551</v>
      </c>
      <c r="C140" s="9" t="s">
        <v>1230</v>
      </c>
      <c r="D140" s="9" t="s">
        <v>1552</v>
      </c>
      <c r="E140" s="9" t="s">
        <v>1233</v>
      </c>
    </row>
    <row r="141" spans="1:20">
      <c r="A141" s="9">
        <v>9</v>
      </c>
      <c r="B141" s="9" t="s">
        <v>1553</v>
      </c>
      <c r="C141" s="9" t="s">
        <v>1469</v>
      </c>
      <c r="D141" s="9" t="s">
        <v>1554</v>
      </c>
      <c r="E141" s="9" t="s">
        <v>1249</v>
      </c>
    </row>
    <row r="142" spans="1:20">
      <c r="A142" s="9">
        <v>10</v>
      </c>
      <c r="B142" s="9" t="s">
        <v>1273</v>
      </c>
      <c r="C142" s="9" t="s">
        <v>1271</v>
      </c>
      <c r="D142" s="9" t="s">
        <v>1555</v>
      </c>
      <c r="E142" s="9" t="s">
        <v>1274</v>
      </c>
    </row>
    <row r="143" spans="1:20">
      <c r="A143" s="9">
        <v>11</v>
      </c>
      <c r="B143" s="9" t="s">
        <v>1556</v>
      </c>
      <c r="C143" s="9" t="s">
        <v>1557</v>
      </c>
      <c r="D143" s="9" t="s">
        <v>1558</v>
      </c>
      <c r="E143" s="9" t="s">
        <v>1266</v>
      </c>
    </row>
    <row r="144" spans="1:20">
      <c r="A144" s="9">
        <v>12</v>
      </c>
      <c r="B144" s="9" t="s">
        <v>1556</v>
      </c>
      <c r="C144" s="9" t="s">
        <v>1559</v>
      </c>
      <c r="D144" s="9" t="s">
        <v>1560</v>
      </c>
      <c r="E144" s="9" t="s">
        <v>1266</v>
      </c>
    </row>
    <row r="145" spans="1:20">
      <c r="A145" s="9">
        <v>13</v>
      </c>
      <c r="B145" s="9" t="s">
        <v>1561</v>
      </c>
      <c r="C145" s="9" t="s">
        <v>1283</v>
      </c>
      <c r="D145" s="9" t="s">
        <v>1562</v>
      </c>
      <c r="E145" s="9" t="s">
        <v>1285</v>
      </c>
    </row>
    <row r="146" spans="1:20">
      <c r="A146" s="9">
        <v>14</v>
      </c>
      <c r="B146" s="9" t="s">
        <v>1563</v>
      </c>
      <c r="C146" s="9" t="s">
        <v>1486</v>
      </c>
      <c r="D146" s="9" t="s">
        <v>1564</v>
      </c>
      <c r="E146" s="9" t="s">
        <v>1178</v>
      </c>
    </row>
    <row r="147" spans="1:20">
      <c r="A147" s="9">
        <v>15</v>
      </c>
      <c r="B147" s="9" t="s">
        <v>1310</v>
      </c>
      <c r="C147" s="9" t="s">
        <v>1492</v>
      </c>
      <c r="D147" s="9" t="s">
        <v>1562</v>
      </c>
      <c r="E147" s="9" t="s">
        <v>1565</v>
      </c>
    </row>
    <row r="148" spans="1:20">
      <c r="A148" s="9">
        <v>16</v>
      </c>
      <c r="B148" s="9" t="s">
        <v>1566</v>
      </c>
      <c r="C148" s="9" t="s">
        <v>1505</v>
      </c>
      <c r="D148" s="9" t="s">
        <v>1554</v>
      </c>
      <c r="E148" s="9" t="s">
        <v>1178</v>
      </c>
    </row>
    <row r="149" spans="1:20">
      <c r="A149" s="9" t="s">
        <v>110</v>
      </c>
      <c r="B149" s="9"/>
      <c r="C149" s="9"/>
      <c r="D149" s="9"/>
      <c r="E149" s="9"/>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ht="15.5" spans="1:20">
      <c r="A151" s="3" t="s">
        <v>1329</v>
      </c>
      <c r="B151" s="9" t="s">
        <v>110</v>
      </c>
      <c r="C151" s="2"/>
      <c r="D151" s="2"/>
      <c r="E151" s="2"/>
      <c r="F151" s="2"/>
      <c r="G151" s="2"/>
      <c r="H151" s="2"/>
      <c r="I151" s="2"/>
      <c r="J151" s="2"/>
      <c r="K151" s="2"/>
      <c r="L151" s="2"/>
      <c r="M151" s="2"/>
      <c r="N151" s="2"/>
      <c r="O151" s="2"/>
      <c r="P151" s="2"/>
      <c r="Q151" s="2"/>
      <c r="R151" s="2"/>
      <c r="S151" s="2"/>
      <c r="T151" s="2"/>
    </row>
    <row r="152" spans="1:20">
      <c r="A152" s="9" t="s">
        <v>110</v>
      </c>
      <c r="B152" s="9"/>
      <c r="C152" s="9"/>
      <c r="D152" s="9"/>
      <c r="E152" s="9"/>
      <c r="F152" s="9"/>
      <c r="G152" s="9"/>
      <c r="H152" s="2"/>
      <c r="I152" s="2"/>
      <c r="J152" s="2"/>
      <c r="K152" s="2"/>
      <c r="L152" s="2"/>
      <c r="M152" s="2"/>
      <c r="N152" s="2"/>
      <c r="O152" s="2"/>
      <c r="P152" s="2"/>
      <c r="Q152" s="2"/>
      <c r="R152" s="2"/>
      <c r="S152" s="2"/>
      <c r="T152" s="2"/>
    </row>
    <row r="153" spans="1:20">
      <c r="A153" s="9"/>
      <c r="B153" s="9"/>
      <c r="C153" s="9"/>
      <c r="D153" s="9"/>
      <c r="E153" s="9"/>
      <c r="F153" s="9"/>
      <c r="G153" s="9"/>
      <c r="H153" s="2"/>
      <c r="I153" s="2"/>
      <c r="J153" s="2"/>
      <c r="K153" s="2"/>
      <c r="L153" s="2"/>
      <c r="M153" s="2"/>
      <c r="N153" s="2"/>
      <c r="O153" s="2"/>
      <c r="P153" s="2"/>
      <c r="Q153" s="2"/>
      <c r="R153" s="2"/>
      <c r="S153" s="2"/>
      <c r="T153" s="2"/>
    </row>
    <row r="154" ht="15.5" spans="1:20">
      <c r="A154" s="3" t="s">
        <v>1567</v>
      </c>
      <c r="B154" s="19" t="s">
        <v>110</v>
      </c>
      <c r="C154" s="2"/>
      <c r="D154" s="2"/>
      <c r="E154" s="2"/>
      <c r="F154" s="2"/>
      <c r="G154" s="2"/>
      <c r="H154" s="2"/>
      <c r="I154" s="2"/>
      <c r="J154" s="2"/>
      <c r="K154" s="2"/>
      <c r="L154" s="2"/>
      <c r="M154" s="2"/>
      <c r="N154" s="2"/>
      <c r="O154" s="2"/>
      <c r="P154" s="2"/>
      <c r="Q154" s="2"/>
      <c r="R154" s="2"/>
      <c r="S154" s="2"/>
      <c r="T154" s="2"/>
    </row>
    <row r="155" spans="1:20">
      <c r="A155" s="9" t="s">
        <v>110</v>
      </c>
      <c r="B155" s="9"/>
      <c r="C155" s="9"/>
      <c r="D155" s="9"/>
      <c r="E155" s="9"/>
      <c r="F155" s="9"/>
      <c r="G155" s="9"/>
      <c r="H155" s="9"/>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ht="15.5" spans="1:20">
      <c r="A157" s="3" t="s">
        <v>1568</v>
      </c>
      <c r="B157" s="9" t="s">
        <v>110</v>
      </c>
      <c r="C157" s="2"/>
      <c r="D157" s="2"/>
      <c r="E157" s="2"/>
      <c r="F157" s="2"/>
      <c r="G157" s="2"/>
      <c r="H157" s="2"/>
      <c r="I157" s="2"/>
      <c r="J157" s="2"/>
      <c r="K157" s="2"/>
      <c r="L157" s="2"/>
      <c r="M157" s="2"/>
      <c r="N157" s="2"/>
      <c r="O157" s="2"/>
      <c r="P157" s="2"/>
      <c r="Q157" s="2"/>
      <c r="R157" s="2"/>
      <c r="S157" s="2"/>
      <c r="T157" s="2"/>
    </row>
    <row r="158" spans="1:20">
      <c r="A158" s="9" t="s">
        <v>110</v>
      </c>
      <c r="B158" s="9"/>
      <c r="C158" s="9"/>
      <c r="D158" s="9"/>
      <c r="E158" s="9"/>
      <c r="F158" s="9"/>
      <c r="G158" s="9"/>
      <c r="H158" s="9"/>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ht="15.5" spans="1:20">
      <c r="A160" s="3" t="s">
        <v>1569</v>
      </c>
      <c r="B160" s="9" t="s">
        <v>110</v>
      </c>
      <c r="C160" s="2"/>
      <c r="D160" s="2"/>
      <c r="E160" s="2"/>
      <c r="F160" s="2"/>
      <c r="G160" s="2"/>
      <c r="H160" s="2"/>
      <c r="I160" s="2"/>
      <c r="J160" s="2"/>
      <c r="K160" s="2"/>
      <c r="L160" s="2"/>
      <c r="M160" s="2"/>
      <c r="N160" s="2"/>
      <c r="O160" s="2"/>
      <c r="P160" s="2"/>
      <c r="Q160" s="2"/>
      <c r="R160" s="2"/>
      <c r="S160" s="2"/>
      <c r="T160" s="2"/>
    </row>
    <row r="161" spans="1:20">
      <c r="A161" s="9" t="s">
        <v>110</v>
      </c>
      <c r="B161" s="9"/>
      <c r="C161" s="9"/>
      <c r="D161" s="9"/>
      <c r="E161" s="9"/>
      <c r="F161" s="9"/>
      <c r="G161" s="9"/>
      <c r="H161" s="9"/>
      <c r="I161" s="9"/>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ht="15.5" spans="1:20">
      <c r="A163" s="3" t="s">
        <v>1570</v>
      </c>
      <c r="B163" s="9" t="s">
        <v>110</v>
      </c>
      <c r="C163" s="2"/>
      <c r="D163" s="2"/>
      <c r="E163" s="2"/>
      <c r="F163" s="2"/>
      <c r="G163" s="2"/>
      <c r="H163" s="2"/>
      <c r="I163" s="2"/>
      <c r="J163" s="2"/>
      <c r="K163" s="2"/>
      <c r="L163" s="2"/>
      <c r="M163" s="2"/>
      <c r="N163" s="2"/>
      <c r="O163" s="2"/>
      <c r="P163" s="2"/>
      <c r="Q163" s="2"/>
      <c r="R163" s="2"/>
      <c r="S163" s="2"/>
      <c r="T163" s="2"/>
    </row>
    <row r="164" spans="1:20">
      <c r="A164" s="9" t="s">
        <v>110</v>
      </c>
      <c r="B164" s="9"/>
      <c r="C164" s="9"/>
      <c r="D164" s="9"/>
      <c r="E164" s="9"/>
      <c r="F164" s="9"/>
      <c r="G164" s="9"/>
      <c r="H164" s="9"/>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ht="15.5" spans="1:20">
      <c r="A166" s="3" t="s">
        <v>1571</v>
      </c>
      <c r="B166" s="9" t="s">
        <v>110</v>
      </c>
      <c r="H166" s="2"/>
      <c r="I166" s="2"/>
      <c r="J166" s="2"/>
      <c r="K166" s="2"/>
      <c r="L166" s="2"/>
      <c r="M166" s="2"/>
      <c r="N166" s="2"/>
      <c r="O166" s="2"/>
      <c r="P166" s="2"/>
      <c r="Q166" s="2"/>
      <c r="R166" s="2"/>
      <c r="S166" s="2"/>
      <c r="T166" s="2"/>
    </row>
    <row r="167" spans="1:20">
      <c r="A167" s="9" t="s">
        <v>110</v>
      </c>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ht="15.5" spans="1:20">
      <c r="A169" s="3" t="s">
        <v>1217</v>
      </c>
      <c r="B169" s="9" t="s">
        <v>1572</v>
      </c>
      <c r="C169" s="2"/>
      <c r="D169" s="2"/>
      <c r="E169" s="2"/>
      <c r="F169" s="2"/>
      <c r="H169" s="2"/>
      <c r="I169" s="2"/>
      <c r="J169" s="2"/>
      <c r="K169" s="2"/>
      <c r="L169" s="2"/>
      <c r="M169" s="2"/>
      <c r="N169" s="2"/>
      <c r="O169" s="2"/>
      <c r="P169" s="2"/>
      <c r="Q169" s="2"/>
      <c r="R169" s="2"/>
      <c r="S169" s="2"/>
      <c r="T169" s="2"/>
    </row>
    <row r="170" ht="15" spans="1:20">
      <c r="A170" s="61" t="s">
        <v>46</v>
      </c>
      <c r="B170" s="61" t="s">
        <v>1380</v>
      </c>
      <c r="C170" s="61" t="s">
        <v>1152</v>
      </c>
      <c r="D170" s="61" t="s">
        <v>1381</v>
      </c>
      <c r="E170" s="61" t="s">
        <v>1157</v>
      </c>
      <c r="F170" s="62" t="s">
        <v>1535</v>
      </c>
      <c r="H170" s="2"/>
      <c r="I170" s="2"/>
      <c r="J170" s="2"/>
      <c r="K170" s="2"/>
      <c r="L170" s="2"/>
      <c r="M170" s="2"/>
      <c r="N170" s="2"/>
      <c r="O170" s="2"/>
      <c r="P170" s="2"/>
      <c r="Q170" s="2"/>
      <c r="R170" s="2"/>
      <c r="S170" s="2"/>
      <c r="T170" s="2"/>
    </row>
    <row r="171" ht="26" spans="1:20">
      <c r="A171" s="63">
        <v>1</v>
      </c>
      <c r="B171" s="63" t="s">
        <v>1413</v>
      </c>
      <c r="C171" s="63" t="s">
        <v>1160</v>
      </c>
      <c r="D171" s="63" t="s">
        <v>1412</v>
      </c>
      <c r="E171" s="63" t="s">
        <v>1195</v>
      </c>
      <c r="F171" s="63" t="s">
        <v>67</v>
      </c>
      <c r="H171" s="2"/>
      <c r="I171" s="2"/>
      <c r="J171" s="2"/>
      <c r="K171" s="2"/>
      <c r="L171" s="2"/>
      <c r="M171" s="2"/>
      <c r="N171" s="2"/>
      <c r="O171" s="2"/>
      <c r="P171" s="2"/>
      <c r="Q171" s="2"/>
      <c r="R171" s="2"/>
      <c r="S171" s="2"/>
      <c r="T171" s="2"/>
    </row>
    <row r="172" ht="39" spans="1:20">
      <c r="A172" s="63">
        <v>2</v>
      </c>
      <c r="B172" s="63" t="s">
        <v>1431</v>
      </c>
      <c r="C172" s="63" t="s">
        <v>1236</v>
      </c>
      <c r="D172" s="63" t="s">
        <v>1424</v>
      </c>
      <c r="E172" s="63" t="s">
        <v>1238</v>
      </c>
      <c r="F172" s="63" t="s">
        <v>67</v>
      </c>
    </row>
    <row r="173" spans="1:20">
      <c r="A173" s="9" t="s">
        <v>110</v>
      </c>
      <c r="B173" s="2"/>
      <c r="C173" s="2"/>
      <c r="D173" s="2"/>
      <c r="E173" s="2"/>
      <c r="F173" s="2"/>
      <c r="H173" s="2"/>
      <c r="I173" s="2"/>
      <c r="J173" s="2"/>
      <c r="K173" s="2"/>
      <c r="L173" s="2"/>
      <c r="M173" s="2"/>
      <c r="N173" s="2"/>
      <c r="O173" s="2"/>
      <c r="P173" s="2"/>
      <c r="Q173" s="2"/>
      <c r="R173" s="2"/>
      <c r="S173" s="2"/>
      <c r="T173" s="2"/>
    </row>
    <row r="174" spans="1:20">
      <c r="A174" s="2"/>
      <c r="B174" s="2"/>
      <c r="C174" s="2"/>
      <c r="D174" s="2"/>
      <c r="E174" s="2"/>
      <c r="F174" s="2"/>
      <c r="H174" s="2"/>
      <c r="I174" s="2"/>
      <c r="J174" s="2"/>
      <c r="K174" s="2"/>
      <c r="L174" s="2"/>
      <c r="M174" s="2"/>
      <c r="N174" s="2"/>
      <c r="O174" s="2"/>
      <c r="P174" s="2"/>
      <c r="Q174" s="2"/>
      <c r="R174" s="2"/>
      <c r="S174" s="2"/>
      <c r="T174" s="2"/>
    </row>
    <row r="175" spans="1:20">
      <c r="A175" s="2"/>
      <c r="B175" s="2"/>
      <c r="C175" s="2"/>
      <c r="D175" s="2"/>
      <c r="E175" s="2"/>
      <c r="F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spans="1:20">
      <c r="A212" s="2"/>
      <c r="B212" s="2"/>
      <c r="C212" s="2"/>
      <c r="D212" s="2"/>
      <c r="E212" s="2"/>
      <c r="F212" s="2"/>
      <c r="G212" s="2"/>
      <c r="H212" s="2"/>
      <c r="I212" s="2"/>
      <c r="J212" s="2"/>
      <c r="K212" s="2"/>
      <c r="L212" s="2"/>
      <c r="M212" s="2"/>
      <c r="N212" s="2"/>
      <c r="O212" s="2"/>
      <c r="P212" s="2"/>
      <c r="Q212" s="2"/>
      <c r="R212" s="2"/>
      <c r="S212" s="2"/>
      <c r="T212" s="2"/>
    </row>
    <row r="213" spans="1:20">
      <c r="A213" s="2"/>
      <c r="B213" s="2"/>
      <c r="C213" s="2"/>
      <c r="D213" s="2"/>
      <c r="E213" s="2"/>
      <c r="F213" s="2"/>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spans="1:20">
      <c r="A215" s="2"/>
      <c r="B215" s="2"/>
      <c r="C215" s="2"/>
      <c r="D215" s="2"/>
      <c r="E215" s="2"/>
      <c r="F215" s="2"/>
      <c r="G215" s="2"/>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spans="1:20">
      <c r="A217" s="2"/>
      <c r="B217" s="2"/>
      <c r="C217" s="2"/>
      <c r="D217" s="2"/>
      <c r="E217" s="2"/>
      <c r="F217" s="2"/>
      <c r="G217" s="2"/>
      <c r="H217" s="2"/>
      <c r="I217" s="2"/>
      <c r="J217" s="2"/>
      <c r="K217" s="2"/>
      <c r="L217" s="2"/>
      <c r="M217" s="2"/>
      <c r="N217" s="2"/>
      <c r="O217" s="2"/>
      <c r="P217" s="2"/>
      <c r="Q217" s="2"/>
      <c r="R217" s="2"/>
      <c r="S217" s="2"/>
      <c r="T217" s="2"/>
    </row>
    <row r="218" spans="1:20">
      <c r="A218" s="2"/>
      <c r="B218" s="2"/>
      <c r="C218" s="2"/>
      <c r="D218" s="2"/>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spans="1:20">
      <c r="A220" s="2"/>
      <c r="B220" s="2"/>
      <c r="C220" s="2"/>
      <c r="D220" s="2"/>
      <c r="E220" s="2"/>
      <c r="F220" s="2"/>
      <c r="G220" s="2"/>
      <c r="H220" s="2"/>
      <c r="I220" s="2"/>
      <c r="J220" s="2"/>
      <c r="K220" s="2"/>
      <c r="L220" s="2"/>
      <c r="M220" s="2"/>
      <c r="N220" s="2"/>
      <c r="O220" s="2"/>
      <c r="P220" s="2"/>
      <c r="Q220" s="2"/>
      <c r="R220" s="2"/>
      <c r="S220" s="2"/>
      <c r="T220" s="2"/>
    </row>
    <row r="221" spans="1:20">
      <c r="A221" s="2"/>
      <c r="B221" s="2"/>
      <c r="C221" s="2"/>
      <c r="D221" s="2"/>
      <c r="E221" s="2"/>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spans="1:20">
      <c r="A223" s="2"/>
      <c r="B223" s="2"/>
      <c r="C223" s="2"/>
      <c r="D223" s="2"/>
      <c r="E223" s="2"/>
      <c r="F223" s="2"/>
      <c r="G223" s="2"/>
      <c r="H223" s="2"/>
      <c r="I223" s="2"/>
      <c r="J223" s="2"/>
      <c r="K223" s="2"/>
      <c r="L223" s="2"/>
      <c r="M223" s="2"/>
      <c r="N223" s="2"/>
      <c r="O223" s="2"/>
      <c r="P223" s="2"/>
      <c r="Q223" s="2"/>
      <c r="R223" s="2"/>
      <c r="S223" s="2"/>
      <c r="T223" s="2"/>
    </row>
    <row r="224" spans="1:20">
      <c r="A224" s="2"/>
      <c r="B224" s="2"/>
      <c r="C224" s="2"/>
      <c r="D224" s="2"/>
      <c r="E224" s="2"/>
      <c r="F224" s="2"/>
      <c r="G224" s="2"/>
      <c r="H224" s="2"/>
      <c r="I224" s="2"/>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row r="234" spans="1:20">
      <c r="A234" s="2"/>
      <c r="B234" s="2"/>
      <c r="C234" s="2"/>
      <c r="D234" s="2"/>
      <c r="E234" s="2"/>
      <c r="F234" s="2"/>
      <c r="G234" s="2"/>
      <c r="H234" s="2"/>
      <c r="I234" s="2"/>
      <c r="J234" s="2"/>
      <c r="K234" s="2"/>
      <c r="L234" s="2"/>
      <c r="M234" s="2"/>
      <c r="N234" s="2"/>
      <c r="O234" s="2"/>
      <c r="P234" s="2"/>
      <c r="Q234" s="2"/>
      <c r="R234" s="2"/>
      <c r="S234" s="2"/>
      <c r="T234" s="2"/>
    </row>
    <row r="235" spans="1:20">
      <c r="A235" s="2"/>
      <c r="B235" s="2"/>
      <c r="C235" s="2"/>
      <c r="D235" s="2"/>
      <c r="E235" s="2"/>
      <c r="F235" s="2"/>
      <c r="G235" s="2"/>
      <c r="H235" s="2"/>
      <c r="I235" s="2"/>
      <c r="J235" s="2"/>
      <c r="K235" s="2"/>
      <c r="L235" s="2"/>
      <c r="M235" s="2"/>
      <c r="N235" s="2"/>
      <c r="O235" s="2"/>
      <c r="P235" s="2"/>
      <c r="Q235" s="2"/>
      <c r="R235" s="2"/>
      <c r="S235" s="2"/>
      <c r="T235" s="2"/>
    </row>
    <row r="236" spans="1:20">
      <c r="A236" s="2"/>
      <c r="B236" s="2"/>
      <c r="C236" s="2"/>
      <c r="D236" s="2"/>
      <c r="E236" s="2"/>
      <c r="F236" s="2"/>
      <c r="G236" s="2"/>
      <c r="H236" s="2"/>
      <c r="I236" s="2"/>
      <c r="J236" s="2"/>
      <c r="K236" s="2"/>
      <c r="L236" s="2"/>
      <c r="M236" s="2"/>
      <c r="N236" s="2"/>
      <c r="O236" s="2"/>
      <c r="P236" s="2"/>
      <c r="Q236" s="2"/>
      <c r="R236" s="2"/>
      <c r="S236" s="2"/>
      <c r="T236" s="2"/>
    </row>
    <row r="237" spans="1:20">
      <c r="A237" s="2"/>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spans="1:20">
      <c r="A239" s="2"/>
      <c r="B239" s="2"/>
      <c r="C239" s="2"/>
      <c r="D239" s="2"/>
      <c r="E239" s="2"/>
      <c r="F239" s="2"/>
      <c r="G239" s="2"/>
      <c r="H239" s="2"/>
      <c r="I239" s="2"/>
      <c r="J239" s="2"/>
      <c r="K239" s="2"/>
      <c r="L239" s="2"/>
      <c r="M239" s="2"/>
      <c r="N239" s="2"/>
      <c r="O239" s="2"/>
      <c r="P239" s="2"/>
      <c r="Q239" s="2"/>
      <c r="R239" s="2"/>
      <c r="S239" s="2"/>
      <c r="T239" s="2"/>
    </row>
    <row r="240" spans="1:20">
      <c r="A240" s="2"/>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spans="1:20">
      <c r="A242" s="2"/>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spans="1:20">
      <c r="A245" s="2"/>
      <c r="B245" s="2"/>
      <c r="C245" s="2"/>
      <c r="D245" s="2"/>
      <c r="E245" s="2"/>
      <c r="F245" s="2"/>
      <c r="G245" s="2"/>
      <c r="H245" s="2"/>
      <c r="I245" s="2"/>
      <c r="J245" s="2"/>
      <c r="K245" s="2"/>
      <c r="L245" s="2"/>
      <c r="M245" s="2"/>
      <c r="N245" s="2"/>
      <c r="O245" s="2"/>
      <c r="P245" s="2"/>
      <c r="Q245" s="2"/>
      <c r="R245" s="2"/>
      <c r="S245" s="2"/>
      <c r="T245" s="2"/>
    </row>
    <row r="246" spans="1:20">
      <c r="A246" s="2"/>
      <c r="B246" s="2"/>
      <c r="C246" s="2"/>
      <c r="D246" s="2"/>
      <c r="E246" s="2"/>
      <c r="F246" s="2"/>
      <c r="G246" s="2"/>
      <c r="H246" s="2"/>
      <c r="I246" s="2"/>
      <c r="J246" s="2"/>
      <c r="K246" s="2"/>
      <c r="L246" s="2"/>
      <c r="M246" s="2"/>
      <c r="N246" s="2"/>
      <c r="O246" s="2"/>
      <c r="P246" s="2"/>
      <c r="Q246" s="2"/>
      <c r="R246" s="2"/>
      <c r="S246" s="2"/>
      <c r="T246" s="2"/>
    </row>
    <row r="247" spans="1:20">
      <c r="A247" s="2"/>
      <c r="B247" s="2"/>
      <c r="C247" s="2"/>
      <c r="D247" s="2"/>
      <c r="E247" s="2"/>
      <c r="F247" s="2"/>
      <c r="G247" s="2"/>
      <c r="H247" s="2"/>
      <c r="I247" s="2"/>
      <c r="J247" s="2"/>
      <c r="K247" s="2"/>
      <c r="L247" s="2"/>
      <c r="M247" s="2"/>
      <c r="N247" s="2"/>
      <c r="O247" s="2"/>
      <c r="P247" s="2"/>
      <c r="Q247" s="2"/>
      <c r="R247" s="2"/>
      <c r="S247" s="2"/>
      <c r="T247" s="2"/>
    </row>
    <row r="248" spans="1:20">
      <c r="A248" s="2"/>
      <c r="B248" s="2"/>
      <c r="C248" s="2"/>
      <c r="D248" s="2"/>
      <c r="E248" s="2"/>
      <c r="F248" s="2"/>
      <c r="G248" s="2"/>
      <c r="H248" s="2"/>
      <c r="I248" s="2"/>
      <c r="J248" s="2"/>
      <c r="K248" s="2"/>
      <c r="L248" s="2"/>
      <c r="M248" s="2"/>
      <c r="N248" s="2"/>
      <c r="O248" s="2"/>
      <c r="P248" s="2"/>
      <c r="Q248" s="2"/>
      <c r="R248" s="2"/>
      <c r="S248" s="2"/>
      <c r="T248" s="2"/>
    </row>
    <row r="249" spans="1:20">
      <c r="A249" s="2"/>
      <c r="B249" s="2"/>
      <c r="C249" s="2"/>
      <c r="D249" s="2"/>
      <c r="E249" s="2"/>
      <c r="F249" s="2"/>
      <c r="G249" s="2"/>
      <c r="H249" s="2"/>
      <c r="I249" s="2"/>
      <c r="J249" s="2"/>
      <c r="K249" s="2"/>
      <c r="L249" s="2"/>
      <c r="M249" s="2"/>
      <c r="N249" s="2"/>
      <c r="O249" s="2"/>
      <c r="P249" s="2"/>
      <c r="Q249" s="2"/>
      <c r="R249" s="2"/>
      <c r="S249" s="2"/>
      <c r="T249" s="2"/>
    </row>
    <row r="250" spans="1:20">
      <c r="A250" s="2"/>
      <c r="B250" s="2"/>
      <c r="C250" s="2"/>
      <c r="D250" s="2"/>
      <c r="E250" s="2"/>
      <c r="F250" s="2"/>
      <c r="G250" s="2"/>
      <c r="H250" s="2"/>
      <c r="I250" s="2"/>
      <c r="J250" s="2"/>
      <c r="K250" s="2"/>
      <c r="L250" s="2"/>
      <c r="M250" s="2"/>
      <c r="N250" s="2"/>
      <c r="O250" s="2"/>
      <c r="P250" s="2"/>
      <c r="Q250" s="2"/>
      <c r="R250" s="2"/>
      <c r="S250" s="2"/>
      <c r="T250" s="2"/>
    </row>
    <row r="251" spans="1:20">
      <c r="A251" s="2"/>
      <c r="B251" s="2"/>
      <c r="C251" s="2"/>
      <c r="D251" s="2"/>
      <c r="E251" s="2"/>
      <c r="F251" s="2"/>
      <c r="G251" s="2"/>
      <c r="H251" s="2"/>
      <c r="I251" s="2"/>
      <c r="J251" s="2"/>
      <c r="K251" s="2"/>
      <c r="L251" s="2"/>
      <c r="M251" s="2"/>
      <c r="N251" s="2"/>
      <c r="O251" s="2"/>
      <c r="P251" s="2"/>
      <c r="Q251" s="2"/>
      <c r="R251" s="2"/>
      <c r="S251" s="2"/>
      <c r="T251" s="2"/>
    </row>
    <row r="252" spans="1:20">
      <c r="A252" s="2"/>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spans="1:20">
      <c r="A254" s="2"/>
      <c r="B254" s="2"/>
      <c r="C254" s="2"/>
      <c r="D254" s="2"/>
      <c r="E254" s="2"/>
      <c r="F254" s="2"/>
      <c r="G254" s="2"/>
      <c r="H254" s="2"/>
      <c r="I254" s="2"/>
      <c r="J254" s="2"/>
      <c r="K254" s="2"/>
      <c r="L254" s="2"/>
      <c r="M254" s="2"/>
      <c r="N254" s="2"/>
      <c r="O254" s="2"/>
      <c r="P254" s="2"/>
      <c r="Q254" s="2"/>
      <c r="R254" s="2"/>
      <c r="S254" s="2"/>
      <c r="T254" s="2"/>
    </row>
    <row r="255" spans="1:20">
      <c r="A255" s="2"/>
      <c r="B255" s="2"/>
      <c r="C255" s="2"/>
      <c r="D255" s="2"/>
      <c r="E255" s="2"/>
      <c r="F255" s="2"/>
      <c r="G255" s="2"/>
      <c r="H255" s="2"/>
      <c r="I255" s="2"/>
      <c r="J255" s="2"/>
      <c r="K255" s="2"/>
      <c r="L255" s="2"/>
      <c r="M255" s="2"/>
      <c r="N255" s="2"/>
      <c r="O255" s="2"/>
      <c r="P255" s="2"/>
      <c r="Q255" s="2"/>
      <c r="R255" s="2"/>
      <c r="S255" s="2"/>
      <c r="T255" s="2"/>
    </row>
    <row r="256" spans="1:20">
      <c r="A256" s="2"/>
      <c r="B256" s="2"/>
      <c r="C256" s="2"/>
      <c r="D256" s="2"/>
      <c r="E256" s="2"/>
      <c r="F256" s="2"/>
      <c r="G256" s="2"/>
      <c r="H256" s="2"/>
      <c r="I256" s="2"/>
      <c r="J256" s="2"/>
      <c r="K256" s="2"/>
      <c r="L256" s="2"/>
      <c r="M256" s="2"/>
      <c r="N256" s="2"/>
      <c r="O256" s="2"/>
      <c r="P256" s="2"/>
      <c r="Q256" s="2"/>
      <c r="R256" s="2"/>
      <c r="S256" s="2"/>
      <c r="T256" s="2"/>
    </row>
    <row r="257" spans="1:20">
      <c r="A257" s="2"/>
      <c r="B257" s="2"/>
      <c r="C257" s="2"/>
      <c r="D257" s="2"/>
      <c r="E257" s="2"/>
      <c r="F257" s="2"/>
      <c r="G257" s="2"/>
      <c r="H257" s="2"/>
      <c r="I257" s="2"/>
      <c r="J257" s="2"/>
      <c r="K257" s="2"/>
      <c r="L257" s="2"/>
      <c r="M257" s="2"/>
      <c r="N257" s="2"/>
      <c r="O257" s="2"/>
      <c r="P257" s="2"/>
      <c r="Q257" s="2"/>
      <c r="R257" s="2"/>
      <c r="S257" s="2"/>
      <c r="T257" s="2"/>
    </row>
    <row r="258" spans="1:20">
      <c r="A258" s="2"/>
      <c r="B258" s="2"/>
      <c r="C258" s="2"/>
      <c r="D258" s="2"/>
      <c r="E258" s="2"/>
      <c r="F258" s="2"/>
      <c r="G258" s="2"/>
      <c r="H258" s="2"/>
      <c r="I258" s="2"/>
      <c r="J258" s="2"/>
      <c r="K258" s="2"/>
      <c r="L258" s="2"/>
      <c r="M258" s="2"/>
      <c r="N258" s="2"/>
      <c r="O258" s="2"/>
      <c r="P258" s="2"/>
      <c r="Q258" s="2"/>
      <c r="R258" s="2"/>
      <c r="S258" s="2"/>
      <c r="T258" s="2"/>
    </row>
    <row r="259" spans="1:20">
      <c r="A259" s="2"/>
      <c r="B259" s="2"/>
      <c r="C259" s="2"/>
      <c r="D259" s="2"/>
      <c r="E259" s="2"/>
      <c r="F259" s="2"/>
      <c r="G259" s="2"/>
      <c r="H259" s="2"/>
      <c r="I259" s="2"/>
      <c r="J259" s="2"/>
      <c r="K259" s="2"/>
      <c r="L259" s="2"/>
      <c r="M259" s="2"/>
      <c r="N259" s="2"/>
      <c r="O259" s="2"/>
      <c r="P259" s="2"/>
      <c r="Q259" s="2"/>
      <c r="R259" s="2"/>
      <c r="S259" s="2"/>
      <c r="T259" s="2"/>
    </row>
    <row r="260" spans="1:20">
      <c r="A260" s="2"/>
      <c r="B260" s="2"/>
      <c r="C260" s="2"/>
      <c r="D260" s="2"/>
      <c r="E260" s="2"/>
      <c r="F260" s="2"/>
      <c r="G260" s="2"/>
      <c r="H260" s="2"/>
      <c r="I260" s="2"/>
      <c r="J260" s="2"/>
      <c r="K260" s="2"/>
      <c r="L260" s="2"/>
      <c r="M260" s="2"/>
      <c r="N260" s="2"/>
      <c r="O260" s="2"/>
      <c r="P260" s="2"/>
      <c r="Q260" s="2"/>
      <c r="R260" s="2"/>
      <c r="S260" s="2"/>
      <c r="T260" s="2"/>
    </row>
    <row r="261" spans="1:20">
      <c r="A261" s="2"/>
      <c r="B261" s="2"/>
      <c r="C261" s="2"/>
      <c r="D261" s="2"/>
      <c r="E261" s="2"/>
      <c r="F261" s="2"/>
      <c r="G261" s="2"/>
      <c r="H261" s="2"/>
      <c r="I261" s="2"/>
      <c r="J261" s="2"/>
      <c r="K261" s="2"/>
      <c r="L261" s="2"/>
      <c r="M261" s="2"/>
      <c r="N261" s="2"/>
      <c r="O261" s="2"/>
      <c r="P261" s="2"/>
      <c r="Q261" s="2"/>
      <c r="R261" s="2"/>
      <c r="S261" s="2"/>
      <c r="T261" s="2"/>
    </row>
    <row r="262" spans="1:20">
      <c r="A262" s="2"/>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row r="264" spans="1:20">
      <c r="A264" s="2"/>
      <c r="B264" s="2"/>
      <c r="C264" s="2"/>
      <c r="D264" s="2"/>
      <c r="E264" s="2"/>
      <c r="F264" s="2"/>
      <c r="G264" s="2"/>
      <c r="H264" s="2"/>
      <c r="I264" s="2"/>
      <c r="J264" s="2"/>
      <c r="K264" s="2"/>
      <c r="L264" s="2"/>
      <c r="M264" s="2"/>
      <c r="N264" s="2"/>
      <c r="O264" s="2"/>
      <c r="P264" s="2"/>
      <c r="Q264" s="2"/>
      <c r="R264" s="2"/>
      <c r="S264" s="2"/>
      <c r="T264" s="2"/>
    </row>
    <row r="265" spans="1:20">
      <c r="A265" s="2"/>
      <c r="B265" s="2"/>
      <c r="C265" s="2"/>
      <c r="D265" s="2"/>
      <c r="E265" s="2"/>
      <c r="F265" s="2"/>
      <c r="G265" s="2"/>
      <c r="H265" s="2"/>
      <c r="I265" s="2"/>
      <c r="J265" s="2"/>
      <c r="K265" s="2"/>
      <c r="L265" s="2"/>
      <c r="M265" s="2"/>
      <c r="N265" s="2"/>
      <c r="O265" s="2"/>
      <c r="P265" s="2"/>
      <c r="Q265" s="2"/>
      <c r="R265" s="2"/>
      <c r="S265" s="2"/>
      <c r="T265" s="2"/>
    </row>
    <row r="266" spans="1:20">
      <c r="A266" s="2"/>
      <c r="B266" s="2"/>
      <c r="C266" s="2"/>
      <c r="D266" s="2"/>
      <c r="E266" s="2"/>
      <c r="F266" s="2"/>
      <c r="G266" s="2"/>
      <c r="H266" s="2"/>
      <c r="I266" s="2"/>
      <c r="J266" s="2"/>
      <c r="K266" s="2"/>
      <c r="L266" s="2"/>
      <c r="M266" s="2"/>
      <c r="N266" s="2"/>
      <c r="O266" s="2"/>
      <c r="P266" s="2"/>
      <c r="Q266" s="2"/>
      <c r="R266" s="2"/>
      <c r="S266" s="2"/>
      <c r="T266" s="2"/>
    </row>
    <row r="267" spans="1:20">
      <c r="A267" s="2"/>
      <c r="B267" s="2"/>
      <c r="C267" s="2"/>
      <c r="D267" s="2"/>
      <c r="E267" s="2"/>
      <c r="F267" s="2"/>
      <c r="G267" s="2"/>
      <c r="H267" s="2"/>
      <c r="I267" s="2"/>
      <c r="J267" s="2"/>
      <c r="K267" s="2"/>
      <c r="L267" s="2"/>
      <c r="M267" s="2"/>
      <c r="N267" s="2"/>
      <c r="O267" s="2"/>
      <c r="P267" s="2"/>
      <c r="Q267" s="2"/>
      <c r="R267" s="2"/>
      <c r="S267" s="2"/>
      <c r="T267" s="2"/>
    </row>
    <row r="268" spans="1:20">
      <c r="A268" s="2"/>
      <c r="B268" s="2"/>
      <c r="C268" s="2"/>
      <c r="D268" s="2"/>
      <c r="E268" s="2"/>
      <c r="F268" s="2"/>
      <c r="G268" s="2"/>
      <c r="H268" s="2"/>
      <c r="I268" s="2"/>
      <c r="J268" s="2"/>
      <c r="K268" s="2"/>
      <c r="L268" s="2"/>
      <c r="M268" s="2"/>
      <c r="N268" s="2"/>
      <c r="O268" s="2"/>
      <c r="P268" s="2"/>
      <c r="Q268" s="2"/>
      <c r="R268" s="2"/>
      <c r="S268" s="2"/>
      <c r="T268" s="2"/>
    </row>
    <row r="269" spans="1:20">
      <c r="A269" s="2"/>
      <c r="B269" s="2"/>
      <c r="C269" s="2"/>
      <c r="D269" s="2"/>
      <c r="E269" s="2"/>
      <c r="F269" s="2"/>
      <c r="G269" s="2"/>
      <c r="H269" s="2"/>
      <c r="I269" s="2"/>
      <c r="J269" s="2"/>
      <c r="K269" s="2"/>
      <c r="L269" s="2"/>
      <c r="M269" s="2"/>
      <c r="N269" s="2"/>
      <c r="O269" s="2"/>
      <c r="P269" s="2"/>
      <c r="Q269" s="2"/>
      <c r="R269" s="2"/>
      <c r="S269" s="2"/>
      <c r="T269" s="2"/>
    </row>
    <row r="270" spans="1:20">
      <c r="A270" s="2"/>
      <c r="B270" s="2"/>
      <c r="C270" s="2"/>
      <c r="D270" s="2"/>
      <c r="E270" s="2"/>
      <c r="F270" s="2"/>
      <c r="G270" s="2"/>
      <c r="H270" s="2"/>
      <c r="I270" s="2"/>
      <c r="J270" s="2"/>
      <c r="K270" s="2"/>
      <c r="L270" s="2"/>
      <c r="M270" s="2"/>
      <c r="N270" s="2"/>
      <c r="O270" s="2"/>
      <c r="P270" s="2"/>
      <c r="Q270" s="2"/>
      <c r="R270" s="2"/>
      <c r="S270" s="2"/>
      <c r="T270" s="2"/>
    </row>
    <row r="271" spans="1:20">
      <c r="A271" s="2"/>
      <c r="B271" s="2"/>
      <c r="C271" s="2"/>
      <c r="D271" s="2"/>
      <c r="E271" s="2"/>
      <c r="F271" s="2"/>
      <c r="G271" s="2"/>
      <c r="H271" s="2"/>
      <c r="I271" s="2"/>
      <c r="J271" s="2"/>
      <c r="K271" s="2"/>
      <c r="L271" s="2"/>
      <c r="M271" s="2"/>
      <c r="N271" s="2"/>
      <c r="O271" s="2"/>
      <c r="P271" s="2"/>
      <c r="Q271" s="2"/>
      <c r="R271" s="2"/>
      <c r="S271" s="2"/>
      <c r="T271" s="2"/>
    </row>
    <row r="272" spans="1:20">
      <c r="A272" s="2"/>
      <c r="B272" s="2"/>
      <c r="C272" s="2"/>
      <c r="D272" s="2"/>
      <c r="E272" s="2"/>
      <c r="F272" s="2"/>
      <c r="G272" s="2"/>
      <c r="H272" s="2"/>
      <c r="I272" s="2"/>
      <c r="J272" s="2"/>
      <c r="K272" s="2"/>
      <c r="L272" s="2"/>
      <c r="M272" s="2"/>
      <c r="N272" s="2"/>
      <c r="O272" s="2"/>
      <c r="P272" s="2"/>
      <c r="Q272" s="2"/>
      <c r="R272" s="2"/>
      <c r="S272" s="2"/>
      <c r="T272" s="2"/>
    </row>
    <row r="273" spans="1:20">
      <c r="A273" s="2"/>
      <c r="B273" s="2"/>
      <c r="C273" s="2"/>
      <c r="D273" s="2"/>
      <c r="E273" s="2"/>
      <c r="F273" s="2"/>
      <c r="G273" s="2"/>
      <c r="H273" s="2"/>
      <c r="I273" s="2"/>
      <c r="J273" s="2"/>
      <c r="K273" s="2"/>
      <c r="L273" s="2"/>
      <c r="M273" s="2"/>
      <c r="N273" s="2"/>
      <c r="O273" s="2"/>
      <c r="P273" s="2"/>
      <c r="Q273" s="2"/>
      <c r="R273" s="2"/>
      <c r="S273" s="2"/>
      <c r="T273" s="2"/>
    </row>
    <row r="274" spans="1:20">
      <c r="A274" s="2"/>
      <c r="B274" s="2"/>
      <c r="C274" s="2"/>
      <c r="D274" s="2"/>
      <c r="E274" s="2"/>
      <c r="F274" s="2"/>
      <c r="G274" s="2"/>
      <c r="H274" s="2"/>
      <c r="I274" s="2"/>
      <c r="J274" s="2"/>
      <c r="K274" s="2"/>
      <c r="L274" s="2"/>
      <c r="M274" s="2"/>
      <c r="N274" s="2"/>
      <c r="O274" s="2"/>
      <c r="P274" s="2"/>
      <c r="Q274" s="2"/>
      <c r="R274" s="2"/>
      <c r="S274" s="2"/>
      <c r="T274" s="2"/>
    </row>
    <row r="275" spans="1:20">
      <c r="A275" s="2"/>
      <c r="B275" s="2"/>
      <c r="C275" s="2"/>
      <c r="D275" s="2"/>
      <c r="E275" s="2"/>
      <c r="F275" s="2"/>
      <c r="G275" s="2"/>
      <c r="H275" s="2"/>
      <c r="I275" s="2"/>
      <c r="J275" s="2"/>
      <c r="K275" s="2"/>
      <c r="L275" s="2"/>
      <c r="M275" s="2"/>
      <c r="N275" s="2"/>
      <c r="O275" s="2"/>
      <c r="P275" s="2"/>
      <c r="Q275" s="2"/>
      <c r="R275" s="2"/>
      <c r="S275" s="2"/>
      <c r="T275" s="2"/>
    </row>
    <row r="276" spans="1:20">
      <c r="A276" s="2"/>
      <c r="B276" s="2"/>
      <c r="C276" s="2"/>
      <c r="D276" s="2"/>
      <c r="E276" s="2"/>
      <c r="F276" s="2"/>
      <c r="G276" s="2"/>
      <c r="H276" s="2"/>
      <c r="I276" s="2"/>
      <c r="J276" s="2"/>
      <c r="K276" s="2"/>
      <c r="L276" s="2"/>
      <c r="M276" s="2"/>
      <c r="N276" s="2"/>
      <c r="O276" s="2"/>
      <c r="P276" s="2"/>
      <c r="Q276" s="2"/>
      <c r="R276" s="2"/>
      <c r="S276" s="2"/>
      <c r="T276" s="2"/>
    </row>
    <row r="277" spans="1:20">
      <c r="A277" s="2"/>
      <c r="B277" s="2"/>
      <c r="C277" s="2"/>
      <c r="D277" s="2"/>
      <c r="E277" s="2"/>
      <c r="F277" s="2"/>
      <c r="G277" s="2"/>
      <c r="H277" s="2"/>
      <c r="I277" s="2"/>
      <c r="J277" s="2"/>
      <c r="K277" s="2"/>
      <c r="L277" s="2"/>
      <c r="M277" s="2"/>
      <c r="N277" s="2"/>
      <c r="O277" s="2"/>
      <c r="P277" s="2"/>
      <c r="Q277" s="2"/>
      <c r="R277" s="2"/>
      <c r="S277" s="2"/>
      <c r="T277" s="2"/>
    </row>
    <row r="278" spans="1:20">
      <c r="A278" s="2"/>
      <c r="B278" s="2"/>
      <c r="C278" s="2"/>
      <c r="D278" s="2"/>
      <c r="E278" s="2"/>
      <c r="F278" s="2"/>
      <c r="G278" s="2"/>
      <c r="H278" s="2"/>
      <c r="I278" s="2"/>
      <c r="J278" s="2"/>
      <c r="K278" s="2"/>
      <c r="L278" s="2"/>
      <c r="M278" s="2"/>
      <c r="N278" s="2"/>
      <c r="O278" s="2"/>
      <c r="P278" s="2"/>
      <c r="Q278" s="2"/>
      <c r="R278" s="2"/>
      <c r="S278" s="2"/>
      <c r="T278" s="2"/>
    </row>
    <row r="279" spans="1:20">
      <c r="A279" s="2"/>
      <c r="B279" s="2"/>
      <c r="C279" s="2"/>
      <c r="D279" s="2"/>
      <c r="E279" s="2"/>
      <c r="F279" s="2"/>
      <c r="G279" s="2"/>
      <c r="H279" s="2"/>
      <c r="I279" s="2"/>
      <c r="J279" s="2"/>
      <c r="K279" s="2"/>
      <c r="L279" s="2"/>
      <c r="M279" s="2"/>
      <c r="N279" s="2"/>
      <c r="O279" s="2"/>
      <c r="P279" s="2"/>
      <c r="Q279" s="2"/>
      <c r="R279" s="2"/>
      <c r="S279" s="2"/>
      <c r="T279" s="2"/>
    </row>
    <row r="280" spans="1:20">
      <c r="A280" s="2"/>
      <c r="B280" s="2"/>
      <c r="C280" s="2"/>
      <c r="D280" s="2"/>
      <c r="E280" s="2"/>
      <c r="F280" s="2"/>
      <c r="G280" s="2"/>
      <c r="H280" s="2"/>
      <c r="I280" s="2"/>
      <c r="J280" s="2"/>
      <c r="K280" s="2"/>
      <c r="L280" s="2"/>
      <c r="M280" s="2"/>
      <c r="N280" s="2"/>
      <c r="O280" s="2"/>
      <c r="P280" s="2"/>
      <c r="Q280" s="2"/>
      <c r="R280" s="2"/>
      <c r="S280" s="2"/>
      <c r="T280" s="2"/>
    </row>
    <row r="281" spans="1:20">
      <c r="A281" s="2"/>
      <c r="B281" s="2"/>
      <c r="C281" s="2"/>
      <c r="D281" s="2"/>
      <c r="E281" s="2"/>
      <c r="F281" s="2"/>
      <c r="G281" s="2"/>
      <c r="H281" s="2"/>
      <c r="I281" s="2"/>
      <c r="J281" s="2"/>
      <c r="K281" s="2"/>
      <c r="L281" s="2"/>
      <c r="M281" s="2"/>
      <c r="N281" s="2"/>
      <c r="O281" s="2"/>
      <c r="P281" s="2"/>
      <c r="Q281" s="2"/>
      <c r="R281" s="2"/>
      <c r="S281" s="2"/>
      <c r="T281" s="2"/>
    </row>
    <row r="282" spans="1:20">
      <c r="A282" s="2"/>
      <c r="B282" s="2"/>
      <c r="C282" s="2"/>
      <c r="D282" s="2"/>
      <c r="E282" s="2"/>
      <c r="F282" s="2"/>
      <c r="G282" s="2"/>
      <c r="H282" s="2"/>
      <c r="I282" s="2"/>
      <c r="J282" s="2"/>
      <c r="K282" s="2"/>
      <c r="L282" s="2"/>
      <c r="M282" s="2"/>
      <c r="N282" s="2"/>
      <c r="O282" s="2"/>
      <c r="P282" s="2"/>
      <c r="Q282" s="2"/>
      <c r="R282" s="2"/>
      <c r="S282" s="2"/>
      <c r="T282" s="2"/>
    </row>
    <row r="283" spans="1:20">
      <c r="A283" s="2"/>
      <c r="B283" s="2"/>
      <c r="C283" s="2"/>
      <c r="D283" s="2"/>
      <c r="E283" s="2"/>
      <c r="F283" s="2"/>
      <c r="G283" s="2"/>
      <c r="H283" s="2"/>
      <c r="I283" s="2"/>
      <c r="J283" s="2"/>
      <c r="K283" s="2"/>
      <c r="L283" s="2"/>
      <c r="M283" s="2"/>
      <c r="N283" s="2"/>
      <c r="O283" s="2"/>
      <c r="P283" s="2"/>
      <c r="Q283" s="2"/>
      <c r="R283" s="2"/>
      <c r="S283" s="2"/>
      <c r="T283" s="2"/>
    </row>
    <row r="284" spans="1:20">
      <c r="A284" s="2"/>
      <c r="B284" s="2"/>
      <c r="C284" s="2"/>
      <c r="D284" s="2"/>
      <c r="E284" s="2"/>
      <c r="F284" s="2"/>
      <c r="G284" s="2"/>
      <c r="H284" s="2"/>
      <c r="I284" s="2"/>
      <c r="J284" s="2"/>
      <c r="K284" s="2"/>
      <c r="L284" s="2"/>
      <c r="M284" s="2"/>
      <c r="N284" s="2"/>
      <c r="O284" s="2"/>
      <c r="P284" s="2"/>
      <c r="Q284" s="2"/>
      <c r="R284" s="2"/>
      <c r="S284" s="2"/>
      <c r="T284" s="2"/>
    </row>
    <row r="285" spans="1:20">
      <c r="A285" s="2"/>
      <c r="B285" s="2"/>
      <c r="C285" s="2"/>
      <c r="D285" s="2"/>
      <c r="E285" s="2"/>
      <c r="F285" s="2"/>
      <c r="G285" s="2"/>
      <c r="H285" s="2"/>
      <c r="I285" s="2"/>
      <c r="J285" s="2"/>
      <c r="K285" s="2"/>
      <c r="L285" s="2"/>
      <c r="M285" s="2"/>
      <c r="N285" s="2"/>
      <c r="O285" s="2"/>
      <c r="P285" s="2"/>
      <c r="Q285" s="2"/>
      <c r="R285" s="2"/>
      <c r="S285" s="2"/>
      <c r="T285" s="2"/>
    </row>
    <row r="286" spans="1:20">
      <c r="A286" s="2"/>
      <c r="B286" s="2"/>
      <c r="C286" s="2"/>
      <c r="D286" s="2"/>
      <c r="E286" s="2"/>
      <c r="F286" s="2"/>
      <c r="G286" s="2"/>
      <c r="H286" s="2"/>
      <c r="I286" s="2"/>
      <c r="J286" s="2"/>
      <c r="K286" s="2"/>
      <c r="L286" s="2"/>
      <c r="M286" s="2"/>
      <c r="N286" s="2"/>
      <c r="O286" s="2"/>
      <c r="P286" s="2"/>
      <c r="Q286" s="2"/>
      <c r="R286" s="2"/>
      <c r="S286" s="2"/>
      <c r="T286" s="2"/>
    </row>
    <row r="287" spans="1:20">
      <c r="A287" s="2"/>
      <c r="B287" s="2"/>
      <c r="C287" s="2"/>
      <c r="D287" s="2"/>
      <c r="E287" s="2"/>
      <c r="F287" s="2"/>
      <c r="G287" s="2"/>
      <c r="H287" s="2"/>
      <c r="I287" s="2"/>
      <c r="J287" s="2"/>
      <c r="K287" s="2"/>
      <c r="L287" s="2"/>
      <c r="M287" s="2"/>
      <c r="N287" s="2"/>
      <c r="O287" s="2"/>
      <c r="P287" s="2"/>
      <c r="Q287" s="2"/>
      <c r="R287" s="2"/>
      <c r="S287" s="2"/>
      <c r="T287" s="2"/>
    </row>
    <row r="288" spans="1:20">
      <c r="A288" s="2"/>
      <c r="B288" s="2"/>
      <c r="C288" s="2"/>
      <c r="D288" s="2"/>
      <c r="E288" s="2"/>
      <c r="F288" s="2"/>
      <c r="G288" s="2"/>
      <c r="H288" s="2"/>
      <c r="I288" s="2"/>
      <c r="J288" s="2"/>
      <c r="K288" s="2"/>
      <c r="L288" s="2"/>
      <c r="M288" s="2"/>
      <c r="N288" s="2"/>
      <c r="O288" s="2"/>
      <c r="P288" s="2"/>
      <c r="Q288" s="2"/>
      <c r="R288" s="2"/>
      <c r="S288" s="2"/>
      <c r="T288" s="2"/>
    </row>
    <row r="289" spans="1:20">
      <c r="A289" s="2"/>
      <c r="B289" s="2"/>
      <c r="C289" s="2"/>
      <c r="D289" s="2"/>
      <c r="E289" s="2"/>
      <c r="F289" s="2"/>
      <c r="G289" s="2"/>
      <c r="H289" s="2"/>
      <c r="I289" s="2"/>
      <c r="J289" s="2"/>
      <c r="K289" s="2"/>
      <c r="L289" s="2"/>
      <c r="M289" s="2"/>
      <c r="N289" s="2"/>
      <c r="O289" s="2"/>
      <c r="P289" s="2"/>
      <c r="Q289" s="2"/>
      <c r="R289" s="2"/>
      <c r="S289" s="2"/>
      <c r="T289" s="2"/>
    </row>
    <row r="290" spans="1:20">
      <c r="A290" s="2"/>
      <c r="B290" s="2"/>
      <c r="C290" s="2"/>
      <c r="D290" s="2"/>
      <c r="E290" s="2"/>
      <c r="F290" s="2"/>
      <c r="G290" s="2"/>
      <c r="H290" s="2"/>
      <c r="I290" s="2"/>
      <c r="J290" s="2"/>
      <c r="K290" s="2"/>
      <c r="L290" s="2"/>
      <c r="M290" s="2"/>
      <c r="N290" s="2"/>
      <c r="O290" s="2"/>
      <c r="P290" s="2"/>
      <c r="Q290" s="2"/>
      <c r="R290" s="2"/>
      <c r="S290" s="2"/>
      <c r="T290" s="2"/>
    </row>
    <row r="291" spans="1:20">
      <c r="A291" s="2"/>
      <c r="B291" s="2"/>
      <c r="C291" s="2"/>
      <c r="D291" s="2"/>
      <c r="E291" s="2"/>
      <c r="F291" s="2"/>
      <c r="G291" s="2"/>
      <c r="H291" s="2"/>
      <c r="I291" s="2"/>
      <c r="J291" s="2"/>
      <c r="K291" s="2"/>
      <c r="L291" s="2"/>
      <c r="M291" s="2"/>
      <c r="N291" s="2"/>
      <c r="O291" s="2"/>
      <c r="P291" s="2"/>
      <c r="Q291" s="2"/>
      <c r="R291" s="2"/>
      <c r="S291" s="2"/>
      <c r="T291" s="2"/>
    </row>
    <row r="292" spans="1:20">
      <c r="A292" s="2"/>
      <c r="B292" s="2"/>
      <c r="C292" s="2"/>
      <c r="D292" s="2"/>
      <c r="E292" s="2"/>
      <c r="F292" s="2"/>
      <c r="G292" s="2"/>
      <c r="H292" s="2"/>
      <c r="I292" s="2"/>
      <c r="J292" s="2"/>
      <c r="K292" s="2"/>
      <c r="L292" s="2"/>
      <c r="M292" s="2"/>
      <c r="N292" s="2"/>
      <c r="O292" s="2"/>
      <c r="P292" s="2"/>
      <c r="Q292" s="2"/>
      <c r="R292" s="2"/>
      <c r="S292" s="2"/>
      <c r="T292" s="2"/>
    </row>
    <row r="293" spans="1:20">
      <c r="A293" s="2"/>
      <c r="B293" s="2"/>
      <c r="C293" s="2"/>
      <c r="D293" s="2"/>
      <c r="E293" s="2"/>
      <c r="F293" s="2"/>
      <c r="G293" s="2"/>
      <c r="H293" s="2"/>
      <c r="I293" s="2"/>
      <c r="J293" s="2"/>
      <c r="K293" s="2"/>
      <c r="L293" s="2"/>
      <c r="M293" s="2"/>
      <c r="N293" s="2"/>
      <c r="O293" s="2"/>
      <c r="P293" s="2"/>
      <c r="Q293" s="2"/>
      <c r="R293" s="2"/>
      <c r="S293" s="2"/>
      <c r="T293" s="2"/>
    </row>
    <row r="294" spans="1:20">
      <c r="A294" s="2"/>
      <c r="B294" s="2"/>
      <c r="C294" s="2"/>
      <c r="D294" s="2"/>
      <c r="E294" s="2"/>
      <c r="F294" s="2"/>
      <c r="G294" s="2"/>
      <c r="H294" s="2"/>
      <c r="I294" s="2"/>
      <c r="J294" s="2"/>
      <c r="K294" s="2"/>
      <c r="L294" s="2"/>
      <c r="M294" s="2"/>
      <c r="N294" s="2"/>
      <c r="O294" s="2"/>
      <c r="P294" s="2"/>
      <c r="Q294" s="2"/>
      <c r="R294" s="2"/>
      <c r="S294" s="2"/>
      <c r="T294" s="2"/>
    </row>
    <row r="295" spans="1:20">
      <c r="A295" s="2"/>
      <c r="B295" s="2"/>
      <c r="C295" s="2"/>
      <c r="D295" s="2"/>
      <c r="E295" s="2"/>
      <c r="F295" s="2"/>
      <c r="G295" s="2"/>
      <c r="H295" s="2"/>
      <c r="I295" s="2"/>
      <c r="J295" s="2"/>
      <c r="K295" s="2"/>
      <c r="L295" s="2"/>
      <c r="M295" s="2"/>
      <c r="N295" s="2"/>
      <c r="O295" s="2"/>
      <c r="P295" s="2"/>
      <c r="Q295" s="2"/>
      <c r="R295" s="2"/>
      <c r="S295" s="2"/>
      <c r="T295" s="2"/>
    </row>
    <row r="296" spans="1:20">
      <c r="A296" s="2"/>
      <c r="B296" s="2"/>
      <c r="C296" s="2"/>
      <c r="D296" s="2"/>
      <c r="E296" s="2"/>
      <c r="F296" s="2"/>
      <c r="G296" s="2"/>
      <c r="H296" s="2"/>
      <c r="I296" s="2"/>
      <c r="J296" s="2"/>
      <c r="K296" s="2"/>
      <c r="L296" s="2"/>
      <c r="M296" s="2"/>
      <c r="N296" s="2"/>
      <c r="O296" s="2"/>
      <c r="P296" s="2"/>
      <c r="Q296" s="2"/>
      <c r="R296" s="2"/>
      <c r="S296" s="2"/>
      <c r="T296" s="2"/>
    </row>
  </sheetData>
  <sheetProtection formatCells="0" insertHyperlinks="0" autoFilter="0"/>
  <mergeCells count="1">
    <mergeCell ref="B1:H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33"/>
  <sheetViews>
    <sheetView topLeftCell="A90" workbookViewId="0">
      <selection activeCell="A97" sqref="A97:F101"/>
    </sheetView>
  </sheetViews>
  <sheetFormatPr defaultColWidth="14" defaultRowHeight="13"/>
  <cols>
    <col min="1" max="1" width="27" customWidth="1"/>
    <col min="2" max="2" width="28" customWidth="1"/>
    <col min="3" max="20" width="27" customWidth="1"/>
  </cols>
  <sheetData>
    <row r="1" ht="46" customHeight="1" spans="1:20">
      <c r="A1" s="1" t="str">
        <f>_xlfn.DISPIMG("ID_2F737C56D4C3442B88F0172D13AC9073",1)</f>
        <v>=DISPIMG("ID_2F737C56D4C3442B88F0172D13AC9073",1)</v>
      </c>
      <c r="B1" s="1" t="s">
        <v>553</v>
      </c>
      <c r="C1" s="1"/>
      <c r="D1" s="1"/>
      <c r="E1" s="1"/>
      <c r="F1" s="1"/>
      <c r="G1" s="1"/>
      <c r="H1" s="1"/>
      <c r="I1" s="2"/>
      <c r="J1" s="2"/>
      <c r="K1" s="2"/>
      <c r="L1" s="2"/>
      <c r="M1" s="2"/>
      <c r="N1" s="2"/>
      <c r="O1" s="2"/>
      <c r="P1" s="2"/>
      <c r="Q1" s="2"/>
      <c r="R1" s="2"/>
      <c r="S1" s="2"/>
      <c r="T1" s="2"/>
    </row>
    <row r="2" ht="15.5" spans="1:20">
      <c r="A2" s="3" t="s">
        <v>1573</v>
      </c>
      <c r="B2" s="9" t="s">
        <v>110</v>
      </c>
      <c r="C2" s="53"/>
      <c r="D2" s="53"/>
      <c r="E2" s="2"/>
      <c r="F2" s="2"/>
      <c r="G2" s="2"/>
      <c r="H2" s="2"/>
      <c r="I2" s="2"/>
      <c r="J2" s="2"/>
      <c r="K2" s="2"/>
      <c r="L2" s="2"/>
      <c r="M2" s="2"/>
      <c r="N2" s="2"/>
      <c r="O2" s="2"/>
      <c r="P2" s="2"/>
      <c r="Q2" s="2"/>
      <c r="R2" s="2"/>
      <c r="S2" s="2"/>
      <c r="T2" s="2"/>
    </row>
    <row r="3" spans="1:20">
      <c r="A3" s="9" t="s">
        <v>110</v>
      </c>
      <c r="B3" s="53"/>
      <c r="C3" s="53"/>
      <c r="D3" s="53"/>
      <c r="E3" s="2"/>
      <c r="F3" s="2"/>
      <c r="G3" s="2"/>
      <c r="H3" s="2"/>
      <c r="I3" s="2"/>
      <c r="J3" s="2"/>
      <c r="K3" s="2"/>
      <c r="L3" s="2"/>
      <c r="M3" s="2"/>
      <c r="N3" s="2"/>
      <c r="O3" s="2"/>
      <c r="P3" s="2"/>
      <c r="Q3" s="2"/>
      <c r="R3" s="2"/>
      <c r="S3" s="2"/>
      <c r="T3" s="2"/>
    </row>
    <row r="4" spans="1:20">
      <c r="A4" s="2"/>
      <c r="B4" s="2"/>
      <c r="C4" s="2"/>
      <c r="D4" s="2"/>
      <c r="E4" s="2"/>
      <c r="F4" s="2"/>
      <c r="G4" s="2"/>
      <c r="H4" s="2"/>
      <c r="I4" s="2"/>
      <c r="J4" s="2"/>
      <c r="K4" s="2"/>
      <c r="L4" s="2"/>
      <c r="M4" s="2"/>
      <c r="N4" s="2"/>
      <c r="O4" s="2"/>
      <c r="P4" s="2"/>
      <c r="Q4" s="2"/>
      <c r="R4" s="2"/>
      <c r="S4" s="2"/>
      <c r="T4" s="2"/>
    </row>
    <row r="5" ht="15.5" spans="1:20">
      <c r="A5" s="3" t="s">
        <v>1574</v>
      </c>
      <c r="B5" s="9" t="s">
        <v>110</v>
      </c>
      <c r="C5" s="2"/>
      <c r="D5" s="2"/>
      <c r="E5" s="2"/>
      <c r="F5" s="2"/>
      <c r="G5" s="2"/>
      <c r="H5" s="2"/>
      <c r="I5" s="2"/>
      <c r="J5" s="2"/>
      <c r="K5" s="2"/>
      <c r="L5" s="2"/>
      <c r="M5" s="2"/>
      <c r="N5" s="2"/>
      <c r="O5" s="2"/>
      <c r="P5" s="2"/>
      <c r="Q5" s="2"/>
      <c r="R5" s="2"/>
      <c r="S5" s="2"/>
      <c r="T5" s="2"/>
    </row>
    <row r="6" spans="1:20">
      <c r="A6" s="9" t="s">
        <v>110</v>
      </c>
      <c r="B6" s="9"/>
      <c r="C6" s="9"/>
      <c r="D6" s="9"/>
      <c r="E6" s="9"/>
      <c r="F6" s="9"/>
      <c r="G6" s="9"/>
      <c r="H6" s="2"/>
      <c r="I6" s="2"/>
      <c r="J6" s="2"/>
      <c r="K6" s="2"/>
      <c r="L6" s="2"/>
      <c r="M6" s="2"/>
      <c r="N6" s="2"/>
      <c r="O6" s="2"/>
      <c r="P6" s="2"/>
      <c r="Q6" s="2"/>
      <c r="R6" s="2"/>
      <c r="S6" s="2"/>
      <c r="T6" s="2"/>
    </row>
    <row r="7" ht="19" hidden="1" customHeight="1" spans="1:20">
      <c r="A7" s="2"/>
      <c r="B7" s="2"/>
      <c r="C7" s="2"/>
      <c r="D7" s="2"/>
      <c r="E7" s="2"/>
      <c r="F7" s="2"/>
      <c r="G7" s="2"/>
      <c r="H7" s="2"/>
      <c r="I7" s="2"/>
      <c r="J7" s="2"/>
      <c r="K7" s="2"/>
      <c r="L7" s="2"/>
      <c r="M7" s="2"/>
      <c r="N7" s="2"/>
      <c r="O7" s="2"/>
      <c r="P7" s="2"/>
      <c r="Q7" s="2"/>
      <c r="R7" s="2"/>
      <c r="S7" s="2"/>
      <c r="T7" s="2"/>
    </row>
    <row r="8" spans="1:20">
      <c r="A8" s="2"/>
      <c r="B8" s="2"/>
      <c r="C8" s="2"/>
      <c r="D8" s="2"/>
      <c r="E8" s="2"/>
      <c r="F8" s="2"/>
      <c r="G8" s="2"/>
      <c r="H8" s="2"/>
      <c r="I8" s="2"/>
      <c r="J8" s="2"/>
      <c r="K8" s="2"/>
      <c r="L8" s="2"/>
      <c r="M8" s="2"/>
      <c r="N8" s="2"/>
      <c r="O8" s="2"/>
      <c r="P8" s="2"/>
      <c r="Q8" s="2"/>
      <c r="R8" s="2"/>
      <c r="S8" s="2"/>
      <c r="T8" s="2"/>
    </row>
    <row r="9" ht="15.5" spans="1:20">
      <c r="A9" s="3" t="s">
        <v>1575</v>
      </c>
      <c r="B9" s="9" t="s">
        <v>110</v>
      </c>
      <c r="C9" s="2"/>
      <c r="D9" s="2"/>
      <c r="E9" s="2"/>
      <c r="F9" s="2"/>
      <c r="G9" s="2"/>
      <c r="H9" s="2"/>
      <c r="I9" s="2"/>
      <c r="J9" s="2"/>
      <c r="K9" s="2"/>
      <c r="L9" s="2"/>
      <c r="M9" s="2"/>
      <c r="N9" s="2"/>
      <c r="O9" s="2"/>
      <c r="P9" s="2"/>
      <c r="Q9" s="2"/>
      <c r="R9" s="2"/>
      <c r="S9" s="2"/>
      <c r="T9" s="2"/>
    </row>
    <row r="10" spans="1:20">
      <c r="A10" s="9" t="s">
        <v>110</v>
      </c>
      <c r="B10" s="9"/>
      <c r="C10" s="9"/>
      <c r="D10" s="9"/>
      <c r="E10" s="2"/>
      <c r="F10" s="2"/>
      <c r="G10" s="2"/>
      <c r="H10" s="2"/>
      <c r="I10" s="2"/>
      <c r="J10" s="2"/>
      <c r="K10" s="2"/>
      <c r="L10" s="2"/>
      <c r="M10" s="2"/>
      <c r="N10" s="2"/>
      <c r="O10" s="2"/>
      <c r="P10" s="2"/>
      <c r="Q10" s="2"/>
      <c r="R10" s="2"/>
      <c r="S10" s="2"/>
      <c r="T10" s="2"/>
    </row>
    <row r="11" spans="1:20">
      <c r="A11" s="2"/>
      <c r="B11" s="2"/>
      <c r="C11" s="2"/>
      <c r="D11" s="2"/>
      <c r="E11" s="2"/>
      <c r="F11" s="2"/>
      <c r="G11" s="2"/>
      <c r="H11" s="2"/>
      <c r="I11" s="2"/>
      <c r="J11" s="2"/>
      <c r="K11" s="2"/>
      <c r="L11" s="2"/>
      <c r="M11" s="2"/>
      <c r="N11" s="2"/>
      <c r="O11" s="2"/>
      <c r="P11" s="2"/>
      <c r="Q11" s="2"/>
      <c r="R11" s="2"/>
      <c r="S11" s="2"/>
      <c r="T11" s="2"/>
    </row>
    <row r="12" ht="15.5" spans="1:20">
      <c r="A12" s="3" t="s">
        <v>1576</v>
      </c>
      <c r="B12" s="9" t="s">
        <v>110</v>
      </c>
      <c r="C12" s="2"/>
      <c r="D12" s="2"/>
      <c r="E12" s="2"/>
      <c r="F12" s="2"/>
      <c r="G12" s="2"/>
      <c r="H12" s="2"/>
      <c r="I12" s="2"/>
      <c r="J12" s="2"/>
      <c r="K12" s="2"/>
      <c r="L12" s="2"/>
      <c r="M12" s="2"/>
      <c r="N12" s="2"/>
      <c r="O12" s="2"/>
      <c r="P12" s="2"/>
      <c r="Q12" s="2"/>
      <c r="R12" s="2"/>
      <c r="S12" s="2"/>
      <c r="T12" s="2"/>
    </row>
    <row r="13" spans="1:20">
      <c r="A13" s="9" t="s">
        <v>110</v>
      </c>
      <c r="B13" s="9"/>
      <c r="C13" s="9"/>
      <c r="D13" s="9"/>
      <c r="E13" s="9"/>
      <c r="F13" s="9"/>
      <c r="G13" s="9"/>
      <c r="H13" s="9"/>
      <c r="I13" s="2"/>
      <c r="J13" s="2"/>
      <c r="K13" s="2"/>
      <c r="L13" s="2"/>
      <c r="M13" s="2"/>
      <c r="N13" s="2"/>
      <c r="O13" s="2"/>
      <c r="P13" s="2"/>
      <c r="Q13" s="2"/>
      <c r="R13" s="2"/>
      <c r="S13" s="2"/>
      <c r="T13" s="2"/>
    </row>
    <row r="14" spans="1:20">
      <c r="A14" s="2"/>
      <c r="B14" s="2"/>
      <c r="C14" s="2"/>
      <c r="D14" s="2"/>
      <c r="E14" s="2"/>
      <c r="F14" s="2"/>
      <c r="G14" s="2"/>
      <c r="H14" s="2"/>
      <c r="I14" s="2"/>
      <c r="J14" s="2"/>
      <c r="K14" s="2"/>
      <c r="L14" s="2"/>
      <c r="M14" s="2"/>
      <c r="N14" s="2"/>
      <c r="O14" s="2"/>
      <c r="P14" s="2"/>
      <c r="Q14" s="2"/>
      <c r="R14" s="2"/>
      <c r="S14" s="2"/>
      <c r="T14" s="2"/>
    </row>
    <row r="15" ht="15.5" spans="1:20">
      <c r="A15" s="3" t="s">
        <v>1577</v>
      </c>
      <c r="B15" s="9" t="s">
        <v>1578</v>
      </c>
      <c r="C15" s="2"/>
      <c r="D15" s="2"/>
      <c r="E15" s="2"/>
      <c r="F15" s="2"/>
      <c r="G15" s="2"/>
      <c r="H15" s="2"/>
      <c r="I15" s="2"/>
      <c r="J15" s="2"/>
      <c r="K15" s="2"/>
      <c r="L15" s="2"/>
      <c r="M15" s="2"/>
      <c r="N15" s="2"/>
      <c r="O15" s="2"/>
      <c r="P15" s="2"/>
      <c r="Q15" s="2"/>
      <c r="R15" s="2"/>
      <c r="S15" s="2"/>
      <c r="T15" s="2"/>
    </row>
    <row r="16" ht="15.5" spans="1:20">
      <c r="A16" s="11" t="s">
        <v>46</v>
      </c>
      <c r="B16" s="6" t="s">
        <v>55</v>
      </c>
      <c r="C16" s="11" t="s">
        <v>121</v>
      </c>
      <c r="D16" s="11" t="s">
        <v>1579</v>
      </c>
      <c r="E16" s="11" t="s">
        <v>1580</v>
      </c>
      <c r="F16" s="11" t="s">
        <v>192</v>
      </c>
      <c r="G16" s="2"/>
      <c r="H16" s="2"/>
      <c r="I16" s="2"/>
      <c r="J16" s="2"/>
      <c r="K16" s="2"/>
      <c r="L16" s="2"/>
      <c r="M16" s="2"/>
      <c r="N16" s="2"/>
      <c r="O16" s="2"/>
      <c r="P16" s="2"/>
      <c r="Q16" s="2"/>
      <c r="R16" s="2"/>
      <c r="S16" s="2"/>
      <c r="T16" s="2"/>
    </row>
    <row r="17" spans="1:20">
      <c r="A17" s="9" t="s">
        <v>633</v>
      </c>
      <c r="B17" s="9" t="s">
        <v>1581</v>
      </c>
      <c r="C17" s="9" t="s">
        <v>129</v>
      </c>
      <c r="D17" s="9" t="s">
        <v>1582</v>
      </c>
      <c r="E17" s="9" t="s">
        <v>1583</v>
      </c>
      <c r="F17" s="9" t="s">
        <v>1584</v>
      </c>
      <c r="G17" s="2"/>
      <c r="H17" s="2"/>
      <c r="I17" s="2"/>
      <c r="J17" s="2"/>
      <c r="K17" s="2"/>
      <c r="L17" s="2"/>
      <c r="M17" s="2"/>
      <c r="N17" s="2"/>
      <c r="O17" s="2"/>
      <c r="P17" s="2"/>
      <c r="Q17" s="2"/>
      <c r="R17" s="2"/>
      <c r="S17" s="2"/>
      <c r="T17" s="2"/>
    </row>
    <row r="18" spans="1:20">
      <c r="A18" s="9" t="s">
        <v>233</v>
      </c>
      <c r="B18" s="9" t="s">
        <v>1581</v>
      </c>
      <c r="C18" s="9" t="s">
        <v>129</v>
      </c>
      <c r="D18" s="9" t="s">
        <v>1585</v>
      </c>
      <c r="E18" s="9" t="s">
        <v>1586</v>
      </c>
      <c r="F18" s="9" t="s">
        <v>1587</v>
      </c>
    </row>
    <row r="19" spans="1:20">
      <c r="A19" s="9" t="s">
        <v>636</v>
      </c>
      <c r="B19" s="9" t="s">
        <v>1581</v>
      </c>
      <c r="C19" s="9" t="s">
        <v>129</v>
      </c>
      <c r="D19" s="9" t="s">
        <v>1588</v>
      </c>
      <c r="E19" s="9" t="s">
        <v>1589</v>
      </c>
      <c r="F19" s="9" t="s">
        <v>1584</v>
      </c>
    </row>
    <row r="20" spans="1:20">
      <c r="A20" s="9" t="s">
        <v>638</v>
      </c>
      <c r="B20" s="9" t="s">
        <v>1581</v>
      </c>
      <c r="C20" s="9" t="s">
        <v>129</v>
      </c>
      <c r="D20" s="9" t="s">
        <v>1590</v>
      </c>
      <c r="E20" s="9" t="s">
        <v>1591</v>
      </c>
      <c r="F20" s="9" t="s">
        <v>1587</v>
      </c>
    </row>
    <row r="21" spans="1:20">
      <c r="A21" s="9" t="s">
        <v>640</v>
      </c>
      <c r="B21" s="9" t="s">
        <v>1592</v>
      </c>
      <c r="C21" s="9" t="s">
        <v>129</v>
      </c>
      <c r="D21" s="9" t="s">
        <v>1590</v>
      </c>
      <c r="E21" s="9" t="s">
        <v>1593</v>
      </c>
      <c r="F21" s="9" t="s">
        <v>1587</v>
      </c>
    </row>
    <row r="22" spans="1:20">
      <c r="A22" s="9" t="s">
        <v>642</v>
      </c>
      <c r="B22" s="9" t="s">
        <v>1592</v>
      </c>
      <c r="C22" s="9" t="s">
        <v>129</v>
      </c>
      <c r="D22" s="9" t="s">
        <v>1594</v>
      </c>
      <c r="E22" s="9" t="s">
        <v>1595</v>
      </c>
      <c r="F22" s="9" t="s">
        <v>1584</v>
      </c>
    </row>
    <row r="23" spans="1:20">
      <c r="A23" s="9" t="s">
        <v>643</v>
      </c>
      <c r="B23" s="9" t="s">
        <v>1592</v>
      </c>
      <c r="C23" s="9" t="s">
        <v>129</v>
      </c>
      <c r="D23" s="9" t="s">
        <v>1596</v>
      </c>
      <c r="E23" s="9" t="s">
        <v>1597</v>
      </c>
      <c r="F23" s="9" t="s">
        <v>1587</v>
      </c>
    </row>
    <row r="24" spans="1:20">
      <c r="A24" s="9" t="s">
        <v>645</v>
      </c>
      <c r="B24" s="9" t="s">
        <v>1598</v>
      </c>
      <c r="C24" s="9" t="s">
        <v>117</v>
      </c>
      <c r="D24" s="9" t="s">
        <v>1599</v>
      </c>
      <c r="E24" s="9" t="s">
        <v>1600</v>
      </c>
      <c r="F24" s="9" t="s">
        <v>1587</v>
      </c>
    </row>
    <row r="25" spans="1:20">
      <c r="A25" s="9" t="s">
        <v>208</v>
      </c>
      <c r="B25" s="9" t="s">
        <v>1601</v>
      </c>
      <c r="C25" s="9" t="s">
        <v>129</v>
      </c>
      <c r="D25" s="9" t="s">
        <v>1602</v>
      </c>
      <c r="E25" s="9" t="s">
        <v>1603</v>
      </c>
      <c r="F25" s="9" t="s">
        <v>1587</v>
      </c>
    </row>
    <row r="26" spans="1:20">
      <c r="A26" s="9" t="s">
        <v>685</v>
      </c>
      <c r="B26" s="9" t="s">
        <v>1601</v>
      </c>
      <c r="C26" s="9" t="s">
        <v>129</v>
      </c>
      <c r="D26" s="9" t="s">
        <v>1604</v>
      </c>
      <c r="E26" s="9" t="s">
        <v>1605</v>
      </c>
      <c r="F26" s="9" t="s">
        <v>1584</v>
      </c>
    </row>
    <row r="27" spans="1:20">
      <c r="A27" s="9" t="s">
        <v>690</v>
      </c>
      <c r="B27" s="9" t="s">
        <v>1606</v>
      </c>
      <c r="C27" s="9" t="s">
        <v>4</v>
      </c>
      <c r="D27" s="9" t="s">
        <v>1607</v>
      </c>
      <c r="E27" s="9" t="s">
        <v>1608</v>
      </c>
      <c r="F27" s="9" t="s">
        <v>1587</v>
      </c>
    </row>
    <row r="28" spans="1:20">
      <c r="A28" s="9" t="s">
        <v>692</v>
      </c>
      <c r="B28" s="9" t="s">
        <v>1606</v>
      </c>
      <c r="C28" s="9" t="s">
        <v>4</v>
      </c>
      <c r="D28" s="9" t="s">
        <v>1609</v>
      </c>
      <c r="E28" s="9" t="s">
        <v>1610</v>
      </c>
      <c r="F28" s="9" t="s">
        <v>1584</v>
      </c>
    </row>
    <row r="29" spans="1:20">
      <c r="A29" s="9" t="s">
        <v>594</v>
      </c>
      <c r="B29" s="9" t="s">
        <v>1611</v>
      </c>
      <c r="C29" s="9" t="s">
        <v>129</v>
      </c>
      <c r="D29" s="9" t="s">
        <v>1612</v>
      </c>
      <c r="E29" s="9" t="s">
        <v>1613</v>
      </c>
      <c r="F29" s="9" t="s">
        <v>1587</v>
      </c>
    </row>
    <row r="30" spans="1:20">
      <c r="A30" s="9" t="s">
        <v>698</v>
      </c>
      <c r="B30" s="9" t="s">
        <v>1611</v>
      </c>
      <c r="C30" s="9" t="s">
        <v>129</v>
      </c>
      <c r="D30" s="9" t="s">
        <v>1614</v>
      </c>
      <c r="E30" s="9" t="s">
        <v>1615</v>
      </c>
      <c r="F30" s="9" t="s">
        <v>1587</v>
      </c>
    </row>
    <row r="31" spans="1:20">
      <c r="A31" s="9" t="s">
        <v>700</v>
      </c>
      <c r="B31" s="9" t="s">
        <v>1616</v>
      </c>
      <c r="C31" s="9" t="s">
        <v>129</v>
      </c>
      <c r="D31" s="9" t="s">
        <v>1614</v>
      </c>
      <c r="E31" s="9" t="s">
        <v>1617</v>
      </c>
      <c r="F31" s="9" t="s">
        <v>1587</v>
      </c>
    </row>
    <row r="32" spans="1:20">
      <c r="A32" s="9" t="s">
        <v>703</v>
      </c>
      <c r="B32" s="9" t="s">
        <v>1618</v>
      </c>
      <c r="C32" s="9" t="s">
        <v>129</v>
      </c>
      <c r="D32" s="9" t="s">
        <v>1585</v>
      </c>
      <c r="E32" s="9" t="s">
        <v>1619</v>
      </c>
      <c r="F32" s="9" t="s">
        <v>1584</v>
      </c>
    </row>
    <row r="33" spans="1:6">
      <c r="A33" s="9" t="s">
        <v>249</v>
      </c>
      <c r="B33" s="9" t="s">
        <v>1620</v>
      </c>
      <c r="C33" s="9" t="s">
        <v>129</v>
      </c>
      <c r="D33" s="9" t="s">
        <v>1621</v>
      </c>
      <c r="E33" s="9" t="s">
        <v>1622</v>
      </c>
      <c r="F33" s="9" t="s">
        <v>1587</v>
      </c>
    </row>
    <row r="34" spans="1:6">
      <c r="A34" s="9" t="s">
        <v>707</v>
      </c>
      <c r="B34" s="9" t="s">
        <v>1620</v>
      </c>
      <c r="C34" s="9" t="s">
        <v>129</v>
      </c>
      <c r="D34" s="9" t="s">
        <v>1623</v>
      </c>
      <c r="E34" s="9" t="s">
        <v>1624</v>
      </c>
      <c r="F34" s="9" t="s">
        <v>1587</v>
      </c>
    </row>
    <row r="35" spans="1:6">
      <c r="A35" s="9" t="s">
        <v>712</v>
      </c>
      <c r="B35" s="9" t="s">
        <v>1625</v>
      </c>
      <c r="C35" s="9" t="s">
        <v>129</v>
      </c>
      <c r="D35" s="9" t="s">
        <v>1626</v>
      </c>
      <c r="E35" s="9" t="s">
        <v>1627</v>
      </c>
      <c r="F35" s="9" t="s">
        <v>1584</v>
      </c>
    </row>
    <row r="36" spans="1:6">
      <c r="A36" s="9" t="s">
        <v>716</v>
      </c>
      <c r="B36" s="9" t="s">
        <v>1628</v>
      </c>
      <c r="C36" s="9" t="s">
        <v>129</v>
      </c>
      <c r="D36" s="9" t="s">
        <v>1629</v>
      </c>
      <c r="E36" s="9" t="s">
        <v>1630</v>
      </c>
      <c r="F36" s="9" t="s">
        <v>1587</v>
      </c>
    </row>
    <row r="37" spans="1:6">
      <c r="A37" s="9" t="s">
        <v>720</v>
      </c>
      <c r="B37" s="9" t="s">
        <v>1631</v>
      </c>
      <c r="C37" s="9" t="s">
        <v>485</v>
      </c>
      <c r="D37" s="9" t="s">
        <v>1632</v>
      </c>
      <c r="E37" s="9" t="s">
        <v>1633</v>
      </c>
      <c r="F37" s="9" t="s">
        <v>1587</v>
      </c>
    </row>
    <row r="38" spans="1:6">
      <c r="A38" s="9" t="s">
        <v>722</v>
      </c>
      <c r="B38" s="9" t="s">
        <v>1631</v>
      </c>
      <c r="C38" s="9" t="s">
        <v>485</v>
      </c>
      <c r="D38" s="9" t="s">
        <v>1634</v>
      </c>
      <c r="E38" s="9" t="s">
        <v>1635</v>
      </c>
      <c r="F38" s="9" t="s">
        <v>1584</v>
      </c>
    </row>
    <row r="39" spans="1:6">
      <c r="A39" s="9" t="s">
        <v>725</v>
      </c>
      <c r="B39" s="9" t="s">
        <v>1631</v>
      </c>
      <c r="C39" s="9" t="s">
        <v>485</v>
      </c>
      <c r="D39" s="9" t="s">
        <v>1636</v>
      </c>
      <c r="E39" s="9" t="s">
        <v>1637</v>
      </c>
      <c r="F39" s="9" t="s">
        <v>1587</v>
      </c>
    </row>
    <row r="40" spans="1:6">
      <c r="A40" s="9" t="s">
        <v>729</v>
      </c>
      <c r="B40" s="9" t="s">
        <v>1631</v>
      </c>
      <c r="C40" s="9" t="s">
        <v>485</v>
      </c>
      <c r="D40" s="9" t="s">
        <v>1638</v>
      </c>
      <c r="E40" s="9" t="s">
        <v>1639</v>
      </c>
      <c r="F40" s="9" t="s">
        <v>1587</v>
      </c>
    </row>
    <row r="41" spans="1:6">
      <c r="A41" s="9" t="s">
        <v>731</v>
      </c>
      <c r="B41" s="9" t="s">
        <v>1640</v>
      </c>
      <c r="C41" s="9" t="s">
        <v>485</v>
      </c>
      <c r="D41" s="9" t="s">
        <v>1641</v>
      </c>
      <c r="E41" s="9" t="s">
        <v>1642</v>
      </c>
      <c r="F41" s="9" t="s">
        <v>1587</v>
      </c>
    </row>
    <row r="42" spans="1:6">
      <c r="A42" s="9" t="s">
        <v>734</v>
      </c>
      <c r="B42" s="9" t="s">
        <v>1643</v>
      </c>
      <c r="C42" s="9" t="s">
        <v>485</v>
      </c>
      <c r="D42" s="9" t="s">
        <v>1644</v>
      </c>
      <c r="E42" s="9" t="s">
        <v>1645</v>
      </c>
      <c r="F42" s="9" t="s">
        <v>1584</v>
      </c>
    </row>
    <row r="43" spans="1:6">
      <c r="A43" s="9" t="s">
        <v>736</v>
      </c>
      <c r="B43" s="9" t="s">
        <v>1646</v>
      </c>
      <c r="C43" s="9" t="s">
        <v>485</v>
      </c>
      <c r="D43" s="9" t="s">
        <v>1647</v>
      </c>
      <c r="E43" s="9" t="s">
        <v>1648</v>
      </c>
      <c r="F43" s="9" t="s">
        <v>1584</v>
      </c>
    </row>
    <row r="44" spans="1:6">
      <c r="A44" s="9" t="s">
        <v>738</v>
      </c>
      <c r="B44" s="9" t="s">
        <v>1646</v>
      </c>
      <c r="C44" s="9" t="s">
        <v>485</v>
      </c>
      <c r="D44" s="9" t="s">
        <v>1649</v>
      </c>
      <c r="E44" s="9" t="s">
        <v>1650</v>
      </c>
      <c r="F44" s="9" t="s">
        <v>1587</v>
      </c>
    </row>
    <row r="45" spans="1:6">
      <c r="A45" s="9" t="s">
        <v>742</v>
      </c>
      <c r="B45" s="9" t="s">
        <v>1646</v>
      </c>
      <c r="C45" s="9" t="s">
        <v>485</v>
      </c>
      <c r="D45" s="9" t="s">
        <v>1651</v>
      </c>
      <c r="E45" s="9" t="s">
        <v>1652</v>
      </c>
      <c r="F45" s="9" t="s">
        <v>1587</v>
      </c>
    </row>
    <row r="46" spans="1:6">
      <c r="A46" s="9" t="s">
        <v>745</v>
      </c>
      <c r="B46" s="9" t="s">
        <v>1653</v>
      </c>
      <c r="C46" s="9" t="s">
        <v>485</v>
      </c>
      <c r="D46" s="9" t="s">
        <v>1654</v>
      </c>
      <c r="E46" s="9" t="s">
        <v>1655</v>
      </c>
      <c r="F46" s="9" t="s">
        <v>1587</v>
      </c>
    </row>
    <row r="47" spans="1:6">
      <c r="A47" s="9" t="s">
        <v>748</v>
      </c>
      <c r="B47" s="9" t="s">
        <v>1653</v>
      </c>
      <c r="C47" s="9" t="s">
        <v>485</v>
      </c>
      <c r="D47" s="9" t="s">
        <v>1656</v>
      </c>
      <c r="E47" s="9" t="s">
        <v>1657</v>
      </c>
      <c r="F47" s="9" t="s">
        <v>1587</v>
      </c>
    </row>
    <row r="48" spans="1:6">
      <c r="A48" s="9" t="s">
        <v>750</v>
      </c>
      <c r="B48" s="9" t="s">
        <v>1658</v>
      </c>
      <c r="C48" s="9" t="s">
        <v>117</v>
      </c>
      <c r="D48" s="9" t="s">
        <v>1659</v>
      </c>
      <c r="E48" s="9" t="s">
        <v>1660</v>
      </c>
      <c r="F48" s="9" t="s">
        <v>1584</v>
      </c>
    </row>
    <row r="49" spans="1:6">
      <c r="A49" s="9" t="s">
        <v>755</v>
      </c>
      <c r="B49" s="9" t="s">
        <v>1661</v>
      </c>
      <c r="C49" s="9" t="s">
        <v>485</v>
      </c>
      <c r="D49" s="9" t="s">
        <v>1662</v>
      </c>
      <c r="E49" s="9" t="s">
        <v>1663</v>
      </c>
      <c r="F49" s="9" t="s">
        <v>1587</v>
      </c>
    </row>
    <row r="50" spans="1:6">
      <c r="A50" s="9" t="s">
        <v>646</v>
      </c>
      <c r="B50" s="9" t="s">
        <v>1664</v>
      </c>
      <c r="C50" s="9" t="s">
        <v>485</v>
      </c>
      <c r="D50" s="9" t="s">
        <v>1641</v>
      </c>
      <c r="E50" s="9" t="s">
        <v>1665</v>
      </c>
      <c r="F50" s="9" t="s">
        <v>1587</v>
      </c>
    </row>
    <row r="51" spans="1:6">
      <c r="A51" s="9" t="s">
        <v>762</v>
      </c>
      <c r="B51" s="9" t="s">
        <v>1269</v>
      </c>
      <c r="C51" s="9" t="s">
        <v>117</v>
      </c>
      <c r="D51" s="9" t="s">
        <v>1607</v>
      </c>
      <c r="E51" s="9" t="s">
        <v>1666</v>
      </c>
      <c r="F51" s="9" t="s">
        <v>1587</v>
      </c>
    </row>
    <row r="52" spans="1:6">
      <c r="A52" s="9" t="s">
        <v>768</v>
      </c>
      <c r="B52" s="9" t="s">
        <v>1667</v>
      </c>
      <c r="C52" s="9" t="s">
        <v>485</v>
      </c>
      <c r="D52" s="9" t="s">
        <v>1668</v>
      </c>
      <c r="E52" s="9" t="s">
        <v>1669</v>
      </c>
      <c r="F52" s="9" t="s">
        <v>1587</v>
      </c>
    </row>
    <row r="53" spans="1:6">
      <c r="A53" s="9" t="s">
        <v>771</v>
      </c>
      <c r="B53" s="9" t="s">
        <v>1667</v>
      </c>
      <c r="C53" s="9" t="s">
        <v>485</v>
      </c>
      <c r="D53" s="9" t="s">
        <v>1670</v>
      </c>
      <c r="E53" s="9" t="s">
        <v>1671</v>
      </c>
      <c r="F53" s="9" t="s">
        <v>1587</v>
      </c>
    </row>
    <row r="54" spans="1:6">
      <c r="A54" s="9" t="s">
        <v>775</v>
      </c>
      <c r="B54" s="9" t="s">
        <v>1672</v>
      </c>
      <c r="C54" s="9" t="s">
        <v>4</v>
      </c>
      <c r="D54" s="9" t="s">
        <v>1590</v>
      </c>
      <c r="E54" s="9" t="s">
        <v>1673</v>
      </c>
      <c r="F54" s="9" t="s">
        <v>1587</v>
      </c>
    </row>
    <row r="55" spans="1:6">
      <c r="A55" s="9" t="s">
        <v>780</v>
      </c>
      <c r="B55" s="9" t="s">
        <v>261</v>
      </c>
      <c r="C55" s="9" t="s">
        <v>485</v>
      </c>
      <c r="D55" s="9" t="s">
        <v>1629</v>
      </c>
      <c r="E55" s="9" t="s">
        <v>1674</v>
      </c>
      <c r="F55" s="9" t="s">
        <v>1587</v>
      </c>
    </row>
    <row r="56" spans="1:6">
      <c r="A56" s="9" t="s">
        <v>785</v>
      </c>
      <c r="B56" s="9" t="s">
        <v>261</v>
      </c>
      <c r="C56" s="9" t="s">
        <v>485</v>
      </c>
      <c r="D56" s="9" t="s">
        <v>1675</v>
      </c>
      <c r="E56" s="9" t="s">
        <v>1676</v>
      </c>
      <c r="F56" s="9" t="s">
        <v>1587</v>
      </c>
    </row>
    <row r="57" spans="1:6">
      <c r="A57" s="9" t="s">
        <v>789</v>
      </c>
      <c r="B57" s="9" t="s">
        <v>1677</v>
      </c>
      <c r="C57" s="9" t="s">
        <v>485</v>
      </c>
      <c r="D57" s="9" t="s">
        <v>1678</v>
      </c>
      <c r="E57" s="9" t="s">
        <v>1679</v>
      </c>
      <c r="F57" s="9" t="s">
        <v>1587</v>
      </c>
    </row>
    <row r="58" spans="1:6">
      <c r="A58" s="9" t="s">
        <v>793</v>
      </c>
      <c r="B58" s="9" t="s">
        <v>1677</v>
      </c>
      <c r="C58" s="9" t="s">
        <v>485</v>
      </c>
      <c r="D58" s="9" t="s">
        <v>1680</v>
      </c>
      <c r="E58" s="9" t="s">
        <v>1681</v>
      </c>
      <c r="F58" s="9" t="s">
        <v>1587</v>
      </c>
    </row>
    <row r="59" spans="1:6">
      <c r="A59" s="9" t="s">
        <v>796</v>
      </c>
      <c r="B59" s="9" t="s">
        <v>1682</v>
      </c>
      <c r="C59" s="9" t="s">
        <v>485</v>
      </c>
      <c r="D59" s="9" t="s">
        <v>1683</v>
      </c>
      <c r="E59" s="9" t="s">
        <v>1684</v>
      </c>
      <c r="F59" s="9" t="s">
        <v>1587</v>
      </c>
    </row>
    <row r="60" spans="1:6">
      <c r="A60" s="9" t="s">
        <v>651</v>
      </c>
      <c r="B60" s="9" t="s">
        <v>1682</v>
      </c>
      <c r="C60" s="9" t="s">
        <v>485</v>
      </c>
      <c r="D60" s="9" t="s">
        <v>1685</v>
      </c>
      <c r="E60" s="9" t="s">
        <v>1686</v>
      </c>
      <c r="F60" s="9" t="s">
        <v>1587</v>
      </c>
    </row>
    <row r="61" spans="1:6">
      <c r="A61" s="9" t="s">
        <v>800</v>
      </c>
      <c r="B61" s="9" t="s">
        <v>1687</v>
      </c>
      <c r="C61" s="9" t="s">
        <v>485</v>
      </c>
      <c r="D61" s="9" t="s">
        <v>1688</v>
      </c>
      <c r="E61" s="9" t="s">
        <v>1689</v>
      </c>
      <c r="F61" s="9" t="s">
        <v>1587</v>
      </c>
    </row>
    <row r="62" spans="1:6">
      <c r="A62" s="9" t="s">
        <v>803</v>
      </c>
      <c r="B62" s="9" t="s">
        <v>951</v>
      </c>
      <c r="C62" s="9" t="s">
        <v>485</v>
      </c>
      <c r="D62" s="9" t="s">
        <v>1690</v>
      </c>
      <c r="E62" s="9" t="s">
        <v>1691</v>
      </c>
      <c r="F62" s="9" t="s">
        <v>1587</v>
      </c>
    </row>
    <row r="63" spans="1:6">
      <c r="A63" s="9" t="s">
        <v>641</v>
      </c>
      <c r="B63" s="9" t="s">
        <v>951</v>
      </c>
      <c r="C63" s="9" t="s">
        <v>4</v>
      </c>
      <c r="D63" s="9" t="s">
        <v>1692</v>
      </c>
      <c r="E63" s="9" t="s">
        <v>1693</v>
      </c>
      <c r="F63" s="9" t="s">
        <v>1587</v>
      </c>
    </row>
    <row r="64" spans="1:6">
      <c r="A64" s="9" t="s">
        <v>809</v>
      </c>
      <c r="B64" s="9" t="s">
        <v>1694</v>
      </c>
      <c r="C64" s="9" t="s">
        <v>485</v>
      </c>
      <c r="D64" s="9" t="s">
        <v>1695</v>
      </c>
      <c r="E64" s="9" t="s">
        <v>1696</v>
      </c>
      <c r="F64" s="9" t="s">
        <v>1587</v>
      </c>
    </row>
    <row r="65" spans="1:20">
      <c r="A65" s="9" t="s">
        <v>652</v>
      </c>
      <c r="B65" s="9" t="s">
        <v>1694</v>
      </c>
      <c r="C65" s="9" t="s">
        <v>485</v>
      </c>
      <c r="D65" s="9" t="s">
        <v>1697</v>
      </c>
      <c r="E65" s="9" t="s">
        <v>1698</v>
      </c>
      <c r="F65" s="9" t="s">
        <v>1587</v>
      </c>
    </row>
    <row r="66" spans="1:20">
      <c r="A66" s="9" t="s">
        <v>644</v>
      </c>
      <c r="B66" s="9" t="s">
        <v>1694</v>
      </c>
      <c r="C66" s="9" t="s">
        <v>485</v>
      </c>
      <c r="D66" s="9" t="s">
        <v>1699</v>
      </c>
      <c r="E66" s="9" t="s">
        <v>1700</v>
      </c>
      <c r="F66" s="9" t="s">
        <v>1587</v>
      </c>
    </row>
    <row r="67" ht="14.5" spans="1:20">
      <c r="A67" s="24" t="str">
        <f>HYPERLINK("https://www.tianyancha.com/company/441970624","打开天眼查，查看更多[股权质押]")</f>
        <v>打开天眼查，查看更多[股权质押]</v>
      </c>
      <c r="B67" s="9"/>
      <c r="C67" s="9"/>
      <c r="D67" s="9"/>
      <c r="E67" s="9"/>
      <c r="F67" s="9"/>
      <c r="G67" s="2"/>
      <c r="H67" s="2"/>
      <c r="I67" s="2"/>
      <c r="J67" s="2"/>
      <c r="K67" s="2"/>
      <c r="L67" s="2"/>
      <c r="M67" s="2"/>
      <c r="N67" s="2"/>
      <c r="O67" s="2"/>
      <c r="P67" s="2"/>
      <c r="Q67" s="2"/>
      <c r="R67" s="2"/>
      <c r="S67" s="2"/>
      <c r="T67" s="2"/>
    </row>
    <row r="68" spans="1:20">
      <c r="A68" s="2"/>
      <c r="B68" s="2"/>
      <c r="C68" s="2"/>
      <c r="D68" s="2"/>
      <c r="E68" s="2"/>
      <c r="F68" s="2"/>
      <c r="G68" s="2"/>
      <c r="H68" s="2"/>
      <c r="I68" s="2"/>
      <c r="J68" s="2"/>
      <c r="K68" s="2"/>
      <c r="L68" s="2"/>
      <c r="M68" s="2"/>
      <c r="N68" s="2"/>
      <c r="O68" s="2"/>
      <c r="P68" s="2"/>
      <c r="Q68" s="2"/>
      <c r="R68" s="2"/>
      <c r="S68" s="2"/>
      <c r="T68" s="2"/>
    </row>
    <row r="69" ht="15.5" spans="1:20">
      <c r="A69" s="3" t="s">
        <v>1701</v>
      </c>
      <c r="B69" s="9" t="s">
        <v>110</v>
      </c>
      <c r="C69" s="9" t="s">
        <v>110</v>
      </c>
      <c r="D69" s="2"/>
      <c r="E69" s="2"/>
      <c r="F69" s="2"/>
      <c r="G69" s="2"/>
      <c r="H69" s="2"/>
      <c r="I69" s="2"/>
      <c r="J69" s="2"/>
      <c r="K69" s="2"/>
      <c r="L69" s="2"/>
      <c r="M69" s="2"/>
      <c r="N69" s="2"/>
      <c r="O69" s="2"/>
      <c r="P69" s="2"/>
      <c r="Q69" s="2"/>
      <c r="R69" s="2"/>
      <c r="S69" s="2"/>
      <c r="T69" s="2"/>
    </row>
    <row r="70" spans="1:20">
      <c r="A70" s="9" t="s">
        <v>110</v>
      </c>
      <c r="B70" s="9"/>
      <c r="C70" s="9"/>
      <c r="D70" s="9"/>
      <c r="E70" s="9"/>
      <c r="F70" s="9"/>
      <c r="G70" s="2"/>
      <c r="H70" s="2"/>
      <c r="I70" s="2"/>
      <c r="J70" s="2"/>
      <c r="K70" s="2"/>
      <c r="L70" s="2"/>
      <c r="M70" s="2"/>
      <c r="N70" s="2"/>
      <c r="O70" s="2"/>
      <c r="P70" s="2"/>
      <c r="Q70" s="2"/>
      <c r="R70" s="2"/>
      <c r="S70" s="2"/>
      <c r="T70" s="2"/>
    </row>
    <row r="71" spans="1:20">
      <c r="A71" s="2"/>
      <c r="B71" s="2"/>
      <c r="C71" s="2"/>
      <c r="D71" s="2"/>
      <c r="E71" s="2"/>
      <c r="F71" s="2"/>
      <c r="G71" s="2"/>
      <c r="H71" s="2"/>
      <c r="I71" s="2"/>
      <c r="J71" s="2"/>
      <c r="K71" s="2"/>
      <c r="L71" s="2"/>
      <c r="M71" s="2"/>
      <c r="N71" s="2"/>
      <c r="O71" s="2"/>
      <c r="P71" s="2"/>
      <c r="Q71" s="2"/>
      <c r="R71" s="2"/>
      <c r="S71" s="2"/>
      <c r="T71" s="2"/>
    </row>
    <row r="72" ht="15.5" spans="1:20">
      <c r="A72" s="54" t="s">
        <v>1702</v>
      </c>
      <c r="B72" s="9" t="s">
        <v>110</v>
      </c>
      <c r="C72" s="2"/>
      <c r="D72" s="2"/>
      <c r="E72" s="2"/>
      <c r="F72" s="2"/>
      <c r="G72" s="2"/>
      <c r="H72" s="2"/>
      <c r="I72" s="2"/>
      <c r="J72" s="2"/>
      <c r="K72" s="2"/>
      <c r="L72" s="2"/>
      <c r="M72" s="2"/>
      <c r="N72" s="2"/>
      <c r="O72" s="2"/>
      <c r="P72" s="2"/>
      <c r="Q72" s="2"/>
      <c r="R72" s="2"/>
      <c r="S72" s="2"/>
      <c r="T72" s="2"/>
    </row>
    <row r="73" spans="1:20">
      <c r="A73" s="9" t="s">
        <v>110</v>
      </c>
      <c r="B73" s="9"/>
      <c r="C73" s="9"/>
      <c r="D73" s="9"/>
      <c r="E73" s="9"/>
      <c r="F73" s="9"/>
      <c r="G73" s="2"/>
      <c r="H73" s="2"/>
      <c r="I73" s="2"/>
      <c r="J73" s="2"/>
      <c r="K73" s="2"/>
      <c r="L73" s="2"/>
      <c r="M73" s="2"/>
      <c r="N73" s="2"/>
      <c r="O73" s="2"/>
      <c r="P73" s="2"/>
      <c r="Q73" s="2"/>
      <c r="R73" s="2"/>
      <c r="S73" s="2"/>
      <c r="T73" s="2"/>
    </row>
    <row r="74" spans="1:20">
      <c r="A74" s="2"/>
      <c r="B74" s="2"/>
      <c r="C74" s="2"/>
      <c r="D74" s="2"/>
      <c r="E74" s="2"/>
      <c r="F74" s="2"/>
      <c r="G74" s="2"/>
      <c r="H74" s="2"/>
      <c r="I74" s="2"/>
      <c r="J74" s="2"/>
      <c r="K74" s="2"/>
      <c r="L74" s="2"/>
      <c r="M74" s="2"/>
      <c r="N74" s="2"/>
      <c r="O74" s="2"/>
      <c r="P74" s="2"/>
      <c r="Q74" s="2"/>
      <c r="R74" s="2"/>
      <c r="S74" s="2"/>
      <c r="T74" s="2"/>
    </row>
    <row r="75" ht="15.5" spans="1:20">
      <c r="A75" s="54" t="s">
        <v>1703</v>
      </c>
      <c r="B75" s="9" t="s">
        <v>110</v>
      </c>
      <c r="G75" s="2"/>
      <c r="H75" s="2"/>
      <c r="I75" s="2"/>
      <c r="J75" s="2"/>
      <c r="K75" s="2"/>
      <c r="L75" s="2"/>
      <c r="M75" s="2"/>
      <c r="N75" s="2"/>
      <c r="O75" s="2"/>
      <c r="P75" s="2"/>
      <c r="Q75" s="2"/>
      <c r="R75" s="2"/>
      <c r="S75" s="2"/>
      <c r="T75" s="2"/>
    </row>
    <row r="76" spans="1:20">
      <c r="A76" s="9" t="s">
        <v>110</v>
      </c>
      <c r="B76" s="9"/>
      <c r="C76" s="9"/>
      <c r="D76" s="9"/>
      <c r="E76" s="9"/>
      <c r="F76" s="9"/>
      <c r="G76" s="2"/>
      <c r="H76" s="2"/>
      <c r="I76" s="2"/>
      <c r="J76" s="2"/>
      <c r="K76" s="2"/>
      <c r="L76" s="2"/>
      <c r="M76" s="2"/>
      <c r="N76" s="2"/>
      <c r="O76" s="2"/>
      <c r="P76" s="2"/>
      <c r="Q76" s="2"/>
      <c r="R76" s="2"/>
      <c r="S76" s="2"/>
      <c r="T76" s="2"/>
    </row>
    <row r="77" ht="15.5" spans="1:20">
      <c r="A77" s="3"/>
      <c r="B77" s="9"/>
      <c r="C77" s="2"/>
      <c r="D77" s="2"/>
      <c r="E77" s="2"/>
      <c r="F77" s="2"/>
      <c r="G77" s="2"/>
      <c r="H77" s="2"/>
      <c r="I77" s="2"/>
      <c r="J77" s="2"/>
      <c r="K77" s="2"/>
      <c r="L77" s="2"/>
      <c r="M77" s="2"/>
      <c r="N77" s="2"/>
      <c r="O77" s="2"/>
      <c r="P77" s="2"/>
      <c r="Q77" s="2"/>
      <c r="R77" s="2"/>
      <c r="S77" s="2"/>
      <c r="T77" s="2"/>
    </row>
    <row r="78" ht="15.5" spans="1:20">
      <c r="A78" s="3" t="s">
        <v>1704</v>
      </c>
      <c r="B78" s="9" t="s">
        <v>110</v>
      </c>
      <c r="C78" s="2"/>
      <c r="D78" s="2"/>
      <c r="E78" s="2"/>
      <c r="F78" s="2"/>
      <c r="G78" s="2"/>
      <c r="H78" s="2"/>
      <c r="I78" s="2"/>
      <c r="J78" s="2"/>
      <c r="K78" s="2"/>
      <c r="L78" s="2"/>
      <c r="M78" s="2"/>
      <c r="N78" s="2"/>
      <c r="O78" s="2"/>
      <c r="P78" s="2"/>
      <c r="Q78" s="2"/>
      <c r="R78" s="2"/>
      <c r="S78" s="2"/>
      <c r="T78" s="2"/>
    </row>
    <row r="79" spans="1:20">
      <c r="A79" s="9" t="s">
        <v>110</v>
      </c>
      <c r="B79" s="9"/>
      <c r="C79" s="9"/>
      <c r="D79" s="9"/>
      <c r="E79" s="9"/>
      <c r="F79" s="9"/>
      <c r="G79" s="9"/>
      <c r="H79" s="9"/>
      <c r="I79" s="9"/>
      <c r="J79" s="2"/>
      <c r="K79" s="2"/>
      <c r="L79" s="2"/>
      <c r="M79" s="2"/>
      <c r="N79" s="2"/>
      <c r="O79" s="2"/>
      <c r="P79" s="2"/>
      <c r="Q79" s="2"/>
      <c r="R79" s="2"/>
      <c r="S79" s="2"/>
      <c r="T79" s="2"/>
    </row>
    <row r="80" spans="1:20">
      <c r="A80" s="2"/>
      <c r="B80" s="2"/>
      <c r="C80" s="2"/>
      <c r="D80" s="2"/>
      <c r="E80" s="2"/>
      <c r="F80" s="2"/>
      <c r="G80" s="2"/>
      <c r="H80" s="2"/>
      <c r="I80" s="2"/>
      <c r="J80" s="2"/>
      <c r="K80" s="2"/>
      <c r="L80" s="2"/>
      <c r="M80" s="2"/>
      <c r="N80" s="2"/>
      <c r="O80" s="2"/>
      <c r="P80" s="2"/>
      <c r="Q80" s="2"/>
      <c r="R80" s="2"/>
      <c r="S80" s="2"/>
      <c r="T80" s="2"/>
    </row>
    <row r="81" ht="15.5" spans="1:20">
      <c r="A81" s="3" t="s">
        <v>1705</v>
      </c>
      <c r="B81" s="9" t="s">
        <v>110</v>
      </c>
      <c r="C81" s="9" t="s">
        <v>110</v>
      </c>
      <c r="D81" s="2"/>
      <c r="E81" s="2"/>
      <c r="F81" s="2"/>
      <c r="G81" s="2"/>
      <c r="H81" s="2"/>
      <c r="I81" s="2"/>
      <c r="J81" s="2"/>
      <c r="K81" s="2"/>
      <c r="L81" s="2"/>
      <c r="M81" s="2"/>
      <c r="N81" s="2"/>
      <c r="O81" s="2"/>
      <c r="P81" s="2"/>
      <c r="Q81" s="2"/>
      <c r="R81" s="2"/>
      <c r="S81" s="2"/>
      <c r="T81" s="2"/>
    </row>
    <row r="82" spans="1:20">
      <c r="A82" s="9" t="s">
        <v>110</v>
      </c>
      <c r="B82" s="9"/>
      <c r="C82" s="9"/>
      <c r="D82" s="9"/>
      <c r="E82" s="9"/>
      <c r="F82" s="9"/>
      <c r="G82" s="9"/>
      <c r="H82" s="2"/>
      <c r="I82" s="2"/>
      <c r="J82" s="2"/>
      <c r="K82" s="2"/>
      <c r="L82" s="2"/>
      <c r="M82" s="2"/>
      <c r="N82" s="2"/>
      <c r="O82" s="2"/>
      <c r="P82" s="2"/>
      <c r="Q82" s="2"/>
      <c r="R82" s="2"/>
      <c r="S82" s="2"/>
      <c r="T82" s="2"/>
    </row>
    <row r="83" spans="1:20">
      <c r="A83" s="2"/>
      <c r="B83" s="2"/>
      <c r="C83" s="2"/>
      <c r="D83" s="2"/>
      <c r="E83" s="2"/>
      <c r="F83" s="2"/>
      <c r="G83" s="2"/>
      <c r="H83" s="2"/>
      <c r="I83" s="2"/>
      <c r="J83" s="2"/>
      <c r="K83" s="2"/>
      <c r="L83" s="2"/>
      <c r="M83" s="2"/>
      <c r="N83" s="2"/>
      <c r="O83" s="2"/>
      <c r="P83" s="2"/>
      <c r="Q83" s="2"/>
      <c r="R83" s="2"/>
      <c r="S83" s="2"/>
      <c r="T83" s="2"/>
    </row>
    <row r="84" ht="15.5" spans="1:20">
      <c r="A84" s="3" t="s">
        <v>1706</v>
      </c>
      <c r="B84" s="9" t="s">
        <v>110</v>
      </c>
      <c r="C84" s="9" t="s">
        <v>110</v>
      </c>
      <c r="D84" s="2"/>
      <c r="E84" s="2"/>
      <c r="F84" s="2"/>
      <c r="G84" s="2"/>
      <c r="H84" s="2"/>
      <c r="I84" s="2"/>
      <c r="J84" s="2"/>
      <c r="K84" s="2"/>
      <c r="L84" s="2"/>
      <c r="M84" s="2"/>
      <c r="N84" s="2"/>
      <c r="O84" s="2"/>
      <c r="P84" s="2"/>
      <c r="Q84" s="2"/>
      <c r="R84" s="2"/>
      <c r="S84" s="2"/>
      <c r="T84" s="2"/>
    </row>
    <row r="85" spans="1:20">
      <c r="A85" s="9" t="s">
        <v>110</v>
      </c>
      <c r="B85" s="9"/>
      <c r="C85" s="9"/>
      <c r="D85" s="9"/>
      <c r="E85" s="9"/>
      <c r="F85" s="9"/>
      <c r="G85" s="9"/>
      <c r="H85" s="2"/>
      <c r="I85" s="2"/>
      <c r="J85" s="2"/>
      <c r="K85" s="2"/>
      <c r="L85" s="2"/>
      <c r="M85" s="2"/>
      <c r="N85" s="2"/>
      <c r="O85" s="2"/>
      <c r="P85" s="2"/>
      <c r="Q85" s="2"/>
      <c r="R85" s="2"/>
      <c r="S85" s="2"/>
      <c r="T85" s="2"/>
    </row>
    <row r="86" spans="1:20">
      <c r="A86" s="2"/>
      <c r="B86" s="2"/>
      <c r="C86" s="2"/>
      <c r="D86" s="2"/>
      <c r="E86" s="2"/>
      <c r="F86" s="2"/>
      <c r="G86" s="2"/>
      <c r="H86" s="2"/>
      <c r="I86" s="2"/>
      <c r="J86" s="2"/>
      <c r="K86" s="2"/>
      <c r="L86" s="2"/>
      <c r="M86" s="2"/>
      <c r="N86" s="2"/>
      <c r="O86" s="2"/>
      <c r="P86" s="2"/>
      <c r="Q86" s="2"/>
      <c r="R86" s="2"/>
      <c r="S86" s="2"/>
      <c r="T86" s="2"/>
    </row>
    <row r="87" ht="15.5" spans="1:20">
      <c r="A87" s="3" t="s">
        <v>1707</v>
      </c>
      <c r="B87" s="9"/>
      <c r="C87" s="2"/>
      <c r="D87" s="2"/>
      <c r="E87" s="2"/>
      <c r="F87" s="2"/>
      <c r="G87" s="2"/>
      <c r="H87" s="2"/>
      <c r="I87" s="2"/>
      <c r="J87" s="2"/>
      <c r="K87" s="2"/>
      <c r="L87" s="2"/>
      <c r="M87" s="2"/>
      <c r="N87" s="2"/>
      <c r="O87" s="2"/>
      <c r="P87" s="2"/>
      <c r="Q87" s="2"/>
      <c r="R87" s="2"/>
      <c r="S87" s="2"/>
      <c r="T87" s="2"/>
    </row>
    <row r="88" spans="1:20">
      <c r="A88" s="2"/>
      <c r="B88" s="2"/>
      <c r="C88" s="2"/>
      <c r="D88" s="2"/>
      <c r="E88" s="2"/>
      <c r="F88" s="2"/>
      <c r="G88" s="2"/>
      <c r="H88" s="2"/>
      <c r="I88" s="2"/>
      <c r="J88" s="2"/>
      <c r="K88" s="2"/>
      <c r="L88" s="2"/>
      <c r="M88" s="2"/>
      <c r="N88" s="2"/>
      <c r="O88" s="2"/>
      <c r="P88" s="2"/>
      <c r="Q88" s="2"/>
      <c r="R88" s="2"/>
      <c r="S88" s="2"/>
      <c r="T88" s="2"/>
    </row>
    <row r="89" ht="15.5" spans="1:20">
      <c r="A89" s="3" t="s">
        <v>1708</v>
      </c>
      <c r="B89" s="9" t="s">
        <v>1572</v>
      </c>
      <c r="C89" s="9" t="s">
        <v>1709</v>
      </c>
      <c r="D89" s="2"/>
      <c r="E89" s="2"/>
      <c r="F89" s="2"/>
      <c r="G89" s="2"/>
      <c r="H89" s="2"/>
      <c r="I89" s="2"/>
      <c r="J89" s="2"/>
      <c r="K89" s="2"/>
      <c r="L89" s="2"/>
      <c r="M89" s="2"/>
      <c r="N89" s="2"/>
      <c r="O89" s="2"/>
      <c r="P89" s="2"/>
      <c r="Q89" s="2"/>
      <c r="R89" s="2"/>
      <c r="S89" s="2"/>
      <c r="T89" s="2"/>
    </row>
    <row r="90" ht="15.5" spans="1:20">
      <c r="A90" s="11" t="s">
        <v>46</v>
      </c>
      <c r="B90" s="6" t="s">
        <v>55</v>
      </c>
      <c r="C90" s="11" t="s">
        <v>1710</v>
      </c>
      <c r="D90" s="11" t="s">
        <v>1711</v>
      </c>
      <c r="E90" s="11" t="s">
        <v>1712</v>
      </c>
      <c r="F90" s="11" t="s">
        <v>1713</v>
      </c>
      <c r="G90" s="11" t="s">
        <v>1714</v>
      </c>
      <c r="H90" s="11" t="s">
        <v>1715</v>
      </c>
      <c r="I90" s="2"/>
      <c r="J90" s="2"/>
      <c r="K90" s="2"/>
      <c r="L90" s="2"/>
      <c r="M90" s="2"/>
      <c r="N90" s="2"/>
      <c r="O90" s="2"/>
      <c r="P90" s="2"/>
      <c r="Q90" s="2"/>
      <c r="R90" s="2"/>
      <c r="S90" s="2"/>
      <c r="T90" s="2"/>
    </row>
    <row r="91" spans="1:20">
      <c r="A91" s="9" t="s">
        <v>633</v>
      </c>
      <c r="B91" s="9" t="s">
        <v>1716</v>
      </c>
      <c r="C91" s="9" t="s">
        <v>1717</v>
      </c>
      <c r="D91" s="9" t="s">
        <v>2</v>
      </c>
      <c r="E91" s="9" t="s">
        <v>1718</v>
      </c>
      <c r="F91" s="9" t="s">
        <v>1719</v>
      </c>
      <c r="G91" s="9" t="s">
        <v>1720</v>
      </c>
      <c r="H91" s="9" t="s">
        <v>1178</v>
      </c>
      <c r="I91" s="2"/>
      <c r="J91" s="2"/>
      <c r="K91" s="2"/>
      <c r="L91" s="2"/>
      <c r="M91" s="2"/>
      <c r="N91" s="2"/>
      <c r="O91" s="2"/>
      <c r="P91" s="2"/>
      <c r="Q91" s="2"/>
      <c r="R91" s="2"/>
      <c r="S91" s="2"/>
      <c r="T91" s="2"/>
    </row>
    <row r="92" spans="1:20">
      <c r="A92" s="9" t="s">
        <v>233</v>
      </c>
      <c r="B92" s="9" t="s">
        <v>1716</v>
      </c>
      <c r="C92" s="9" t="s">
        <v>1721</v>
      </c>
      <c r="D92" s="9" t="s">
        <v>2</v>
      </c>
      <c r="E92" s="9" t="s">
        <v>1718</v>
      </c>
      <c r="F92" s="9" t="s">
        <v>1722</v>
      </c>
      <c r="G92" s="9" t="s">
        <v>1720</v>
      </c>
      <c r="H92" s="9" t="s">
        <v>1178</v>
      </c>
    </row>
    <row r="93" spans="1:20">
      <c r="A93" s="9" t="s">
        <v>110</v>
      </c>
      <c r="B93" s="9"/>
      <c r="C93" s="9"/>
      <c r="D93" s="9"/>
      <c r="E93" s="9"/>
      <c r="F93" s="9"/>
      <c r="G93" s="9"/>
      <c r="H93" s="9"/>
      <c r="I93" s="2"/>
      <c r="J93" s="2"/>
      <c r="K93" s="2"/>
      <c r="L93" s="2"/>
      <c r="M93" s="2"/>
      <c r="N93" s="2"/>
      <c r="O93" s="2"/>
      <c r="P93" s="2"/>
      <c r="Q93" s="2"/>
      <c r="R93" s="2"/>
      <c r="S93" s="2"/>
      <c r="T93" s="2"/>
    </row>
    <row r="94" spans="1:20">
      <c r="A94" s="2"/>
      <c r="B94" s="2"/>
      <c r="C94" s="2"/>
      <c r="D94" s="2"/>
      <c r="E94" s="2"/>
      <c r="F94" s="2"/>
      <c r="G94" s="2"/>
      <c r="H94" s="2"/>
      <c r="I94" s="2"/>
      <c r="J94" s="2"/>
      <c r="K94" s="2"/>
      <c r="L94" s="2"/>
      <c r="M94" s="2"/>
      <c r="N94" s="2"/>
      <c r="O94" s="2"/>
      <c r="P94" s="2"/>
      <c r="Q94" s="2"/>
      <c r="R94" s="2"/>
      <c r="S94" s="2"/>
      <c r="T94" s="2"/>
    </row>
    <row r="95" ht="15.5" spans="1:20">
      <c r="A95" s="3" t="s">
        <v>1723</v>
      </c>
      <c r="B95" s="9" t="s">
        <v>110</v>
      </c>
      <c r="C95" s="2"/>
      <c r="D95" s="2"/>
      <c r="E95" s="2"/>
      <c r="F95" s="2"/>
      <c r="G95" s="2"/>
      <c r="H95" s="2"/>
      <c r="I95" s="2"/>
      <c r="J95" s="2"/>
      <c r="K95" s="2"/>
      <c r="L95" s="2"/>
      <c r="M95" s="2"/>
      <c r="N95" s="2"/>
      <c r="O95" s="2"/>
      <c r="P95" s="2"/>
      <c r="Q95" s="2"/>
      <c r="R95" s="2"/>
      <c r="S95" s="2"/>
      <c r="T95" s="2"/>
    </row>
    <row r="96" spans="1:20">
      <c r="A96" s="9" t="s">
        <v>110</v>
      </c>
      <c r="B96" s="9"/>
      <c r="C96" s="9"/>
      <c r="D96" s="9"/>
      <c r="E96" s="9"/>
      <c r="F96" s="2"/>
      <c r="G96" s="2"/>
      <c r="H96" s="2"/>
      <c r="I96" s="2"/>
      <c r="J96" s="2"/>
      <c r="K96" s="2"/>
      <c r="L96" s="2"/>
      <c r="M96" s="2"/>
      <c r="N96" s="2"/>
      <c r="O96" s="2"/>
      <c r="P96" s="2"/>
      <c r="Q96" s="2"/>
      <c r="R96" s="2"/>
      <c r="S96" s="2"/>
      <c r="T96" s="2"/>
    </row>
    <row r="97" spans="1:20">
      <c r="A97" s="2"/>
      <c r="B97" s="2"/>
      <c r="C97" s="2"/>
      <c r="D97" s="2"/>
      <c r="E97" s="2"/>
      <c r="F97" s="2"/>
      <c r="G97" s="2"/>
      <c r="H97" s="2"/>
      <c r="I97" s="2"/>
      <c r="J97" s="2"/>
      <c r="K97" s="2"/>
      <c r="L97" s="2"/>
      <c r="M97" s="2"/>
      <c r="N97" s="2"/>
      <c r="O97" s="2"/>
      <c r="P97" s="2"/>
      <c r="Q97" s="2"/>
      <c r="R97" s="2"/>
      <c r="S97" s="2"/>
      <c r="T97" s="2"/>
    </row>
    <row r="98" ht="15.5" spans="1:20">
      <c r="A98" s="3" t="s">
        <v>1724</v>
      </c>
      <c r="B98" s="9" t="s">
        <v>110</v>
      </c>
      <c r="C98" s="9" t="s">
        <v>110</v>
      </c>
      <c r="D98" s="2"/>
      <c r="E98" s="2"/>
      <c r="F98" s="2"/>
      <c r="G98" s="2"/>
      <c r="H98" s="2"/>
      <c r="I98" s="2"/>
      <c r="J98" s="2"/>
      <c r="K98" s="2"/>
      <c r="L98" s="2"/>
      <c r="M98" s="2"/>
      <c r="N98" s="2"/>
      <c r="O98" s="2"/>
      <c r="P98" s="2"/>
      <c r="Q98" s="2"/>
      <c r="R98" s="2"/>
      <c r="S98" s="2"/>
      <c r="T98" s="2"/>
    </row>
    <row r="99" spans="1:20">
      <c r="A99" s="9" t="s">
        <v>110</v>
      </c>
      <c r="B99" s="9"/>
      <c r="C99" s="9"/>
      <c r="D99" s="9"/>
      <c r="E99" s="9"/>
      <c r="F99" s="9"/>
      <c r="G99" s="9"/>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ht="15.5" spans="1:20">
      <c r="A101" s="3" t="s">
        <v>1725</v>
      </c>
      <c r="B101" s="9" t="s">
        <v>110</v>
      </c>
      <c r="C101" s="2"/>
      <c r="D101" s="2"/>
      <c r="E101" s="2"/>
      <c r="F101" s="2"/>
      <c r="G101" s="2"/>
      <c r="H101" s="2"/>
      <c r="I101" s="2"/>
      <c r="J101" s="2"/>
      <c r="K101" s="2"/>
      <c r="L101" s="2"/>
      <c r="M101" s="2"/>
      <c r="N101" s="2"/>
      <c r="O101" s="2"/>
      <c r="P101" s="2"/>
      <c r="Q101" s="2"/>
      <c r="R101" s="2"/>
      <c r="S101" s="2"/>
      <c r="T101" s="2"/>
    </row>
    <row r="102" spans="1:20">
      <c r="A102" s="9" t="s">
        <v>110</v>
      </c>
      <c r="B102" s="9"/>
      <c r="C102" s="9"/>
      <c r="D102" s="9"/>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ht="15.5" spans="1:20">
      <c r="A104" s="3" t="s">
        <v>1726</v>
      </c>
      <c r="B104" s="9" t="s">
        <v>110</v>
      </c>
      <c r="C104" s="2"/>
      <c r="D104" s="2"/>
      <c r="E104" s="2"/>
      <c r="F104" s="2"/>
      <c r="G104" s="2"/>
      <c r="H104" s="2"/>
      <c r="I104" s="2"/>
      <c r="J104" s="2"/>
      <c r="K104" s="2"/>
      <c r="L104" s="2"/>
      <c r="M104" s="2"/>
      <c r="N104" s="2"/>
      <c r="O104" s="2"/>
      <c r="P104" s="2"/>
      <c r="Q104" s="2"/>
      <c r="R104" s="2"/>
      <c r="S104" s="2"/>
      <c r="T104" s="2"/>
    </row>
    <row r="105" spans="1:20">
      <c r="A105" s="9" t="s">
        <v>110</v>
      </c>
      <c r="B105" s="9"/>
      <c r="C105" s="9"/>
      <c r="D105" s="9"/>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ht="15.5" spans="1:20">
      <c r="A107" s="3" t="s">
        <v>1727</v>
      </c>
      <c r="B107" s="9" t="s">
        <v>110</v>
      </c>
      <c r="C107" s="2"/>
      <c r="D107" s="2"/>
      <c r="E107" s="2"/>
      <c r="F107" s="2"/>
      <c r="G107" s="2"/>
      <c r="H107" s="2"/>
      <c r="I107" s="2"/>
      <c r="J107" s="2"/>
      <c r="K107" s="2"/>
      <c r="L107" s="2"/>
      <c r="M107" s="2"/>
      <c r="N107" s="2"/>
      <c r="O107" s="2"/>
      <c r="P107" s="2"/>
      <c r="Q107" s="2"/>
      <c r="R107" s="2"/>
      <c r="S107" s="2"/>
      <c r="T107" s="2"/>
    </row>
    <row r="108" spans="1:20">
      <c r="A108" s="9" t="s">
        <v>110</v>
      </c>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ht="15.5" spans="1:20">
      <c r="A110" s="3" t="s">
        <v>1124</v>
      </c>
      <c r="B110" s="9" t="s">
        <v>1728</v>
      </c>
      <c r="C110" s="2"/>
      <c r="D110" s="2"/>
      <c r="E110" s="2"/>
      <c r="F110" s="2"/>
      <c r="G110" s="2"/>
      <c r="H110" s="2"/>
      <c r="I110" s="2"/>
      <c r="J110" s="2"/>
      <c r="K110" s="2"/>
      <c r="L110" s="2"/>
      <c r="M110" s="2"/>
      <c r="N110" s="2"/>
      <c r="O110" s="2"/>
      <c r="P110" s="2"/>
      <c r="Q110" s="2"/>
      <c r="R110" s="2"/>
      <c r="S110" s="2"/>
      <c r="T110" s="2"/>
    </row>
    <row r="111" ht="15.5" spans="1:20">
      <c r="A111" s="11" t="s">
        <v>46</v>
      </c>
      <c r="B111" s="11" t="s">
        <v>55</v>
      </c>
      <c r="C111" s="11" t="s">
        <v>1125</v>
      </c>
      <c r="D111" s="11" t="s">
        <v>1126</v>
      </c>
      <c r="E111" s="11" t="s">
        <v>1127</v>
      </c>
      <c r="F111" s="11" t="s">
        <v>1128</v>
      </c>
      <c r="G111" s="2"/>
      <c r="H111" s="2"/>
      <c r="I111" s="2"/>
      <c r="J111" s="2"/>
      <c r="K111" s="2"/>
      <c r="L111" s="2"/>
      <c r="M111" s="2"/>
      <c r="N111" s="2"/>
      <c r="O111" s="2"/>
      <c r="P111" s="2"/>
      <c r="Q111" s="2"/>
      <c r="R111" s="2"/>
      <c r="S111" s="2"/>
      <c r="T111" s="2"/>
    </row>
    <row r="112" spans="1:20">
      <c r="A112" s="9" t="s">
        <v>633</v>
      </c>
      <c r="B112" s="9" t="s">
        <v>1129</v>
      </c>
      <c r="C112" s="9" t="s">
        <v>96</v>
      </c>
      <c r="D112" s="9" t="s">
        <v>1130</v>
      </c>
      <c r="E112" s="9" t="s">
        <v>67</v>
      </c>
      <c r="F112" s="9" t="s">
        <v>1131</v>
      </c>
      <c r="G112" s="2"/>
      <c r="H112" s="2"/>
      <c r="I112" s="2"/>
      <c r="J112" s="2"/>
      <c r="K112" s="2"/>
      <c r="L112" s="2"/>
      <c r="M112" s="2"/>
      <c r="N112" s="2"/>
      <c r="O112" s="2"/>
      <c r="P112" s="2"/>
      <c r="Q112" s="2"/>
      <c r="R112" s="2"/>
      <c r="S112" s="2"/>
      <c r="T112" s="2"/>
    </row>
    <row r="113" spans="1:6">
      <c r="A113" s="9" t="s">
        <v>233</v>
      </c>
      <c r="B113" s="9" t="s">
        <v>1129</v>
      </c>
      <c r="C113" s="9" t="s">
        <v>4</v>
      </c>
      <c r="D113" s="9" t="s">
        <v>1130</v>
      </c>
      <c r="E113" s="9" t="s">
        <v>67</v>
      </c>
      <c r="F113" s="9" t="s">
        <v>1131</v>
      </c>
    </row>
    <row r="114" spans="1:6">
      <c r="A114" s="9" t="s">
        <v>636</v>
      </c>
      <c r="B114" s="9" t="s">
        <v>1129</v>
      </c>
      <c r="C114" s="9" t="s">
        <v>2</v>
      </c>
      <c r="D114" s="9" t="s">
        <v>1130</v>
      </c>
      <c r="E114" s="9" t="s">
        <v>67</v>
      </c>
      <c r="F114" s="9" t="s">
        <v>1131</v>
      </c>
    </row>
    <row r="115" spans="1:6">
      <c r="A115" s="9" t="s">
        <v>638</v>
      </c>
      <c r="B115" s="9" t="s">
        <v>1129</v>
      </c>
      <c r="C115" s="9" t="s">
        <v>74</v>
      </c>
      <c r="D115" s="9" t="s">
        <v>1130</v>
      </c>
      <c r="E115" s="9" t="s">
        <v>67</v>
      </c>
      <c r="F115" s="9" t="s">
        <v>1131</v>
      </c>
    </row>
    <row r="116" spans="1:6">
      <c r="A116" s="9" t="s">
        <v>640</v>
      </c>
      <c r="B116" s="9" t="s">
        <v>1132</v>
      </c>
      <c r="C116" s="9" t="s">
        <v>96</v>
      </c>
      <c r="D116" s="9" t="s">
        <v>1133</v>
      </c>
      <c r="E116" s="9" t="s">
        <v>67</v>
      </c>
      <c r="F116" s="9" t="s">
        <v>1134</v>
      </c>
    </row>
    <row r="117" spans="1:6">
      <c r="A117" s="9" t="s">
        <v>642</v>
      </c>
      <c r="B117" s="9" t="s">
        <v>1132</v>
      </c>
      <c r="C117" s="9" t="s">
        <v>74</v>
      </c>
      <c r="D117" s="9" t="s">
        <v>1133</v>
      </c>
      <c r="E117" s="9" t="s">
        <v>67</v>
      </c>
      <c r="F117" s="9" t="s">
        <v>1134</v>
      </c>
    </row>
    <row r="118" spans="1:6">
      <c r="A118" s="9" t="s">
        <v>643</v>
      </c>
      <c r="B118" s="9" t="s">
        <v>1132</v>
      </c>
      <c r="C118" s="9" t="s">
        <v>4</v>
      </c>
      <c r="D118" s="9" t="s">
        <v>1133</v>
      </c>
      <c r="E118" s="9" t="s">
        <v>67</v>
      </c>
      <c r="F118" s="9" t="s">
        <v>1134</v>
      </c>
    </row>
    <row r="119" spans="1:6">
      <c r="A119" s="9" t="s">
        <v>645</v>
      </c>
      <c r="B119" s="9" t="s">
        <v>1132</v>
      </c>
      <c r="C119" s="9" t="s">
        <v>2</v>
      </c>
      <c r="D119" s="9" t="s">
        <v>1133</v>
      </c>
      <c r="E119" s="9" t="s">
        <v>67</v>
      </c>
      <c r="F119" s="9" t="s">
        <v>1134</v>
      </c>
    </row>
    <row r="120" spans="1:6">
      <c r="A120" s="9" t="s">
        <v>208</v>
      </c>
      <c r="B120" s="9" t="s">
        <v>1135</v>
      </c>
      <c r="C120" s="9" t="s">
        <v>2</v>
      </c>
      <c r="D120" s="9" t="s">
        <v>1136</v>
      </c>
      <c r="E120" s="9" t="s">
        <v>67</v>
      </c>
      <c r="F120" s="9" t="s">
        <v>1131</v>
      </c>
    </row>
    <row r="121" spans="1:6">
      <c r="A121" s="9" t="s">
        <v>685</v>
      </c>
      <c r="B121" s="9" t="s">
        <v>1137</v>
      </c>
      <c r="C121" s="9" t="s">
        <v>4</v>
      </c>
      <c r="D121" s="9" t="s">
        <v>1133</v>
      </c>
      <c r="E121" s="9" t="s">
        <v>67</v>
      </c>
      <c r="F121" s="9" t="s">
        <v>1134</v>
      </c>
    </row>
    <row r="122" spans="1:6">
      <c r="A122" s="9" t="s">
        <v>690</v>
      </c>
      <c r="B122" s="9" t="s">
        <v>1137</v>
      </c>
      <c r="C122" s="9" t="s">
        <v>2</v>
      </c>
      <c r="D122" s="9" t="s">
        <v>1138</v>
      </c>
      <c r="E122" s="9" t="s">
        <v>67</v>
      </c>
      <c r="F122" s="9" t="s">
        <v>1134</v>
      </c>
    </row>
    <row r="123" spans="1:6">
      <c r="A123" s="9" t="s">
        <v>692</v>
      </c>
      <c r="B123" s="9" t="s">
        <v>1137</v>
      </c>
      <c r="C123" s="9" t="s">
        <v>96</v>
      </c>
      <c r="D123" s="9" t="s">
        <v>1133</v>
      </c>
      <c r="E123" s="9" t="s">
        <v>67</v>
      </c>
      <c r="F123" s="9" t="s">
        <v>1134</v>
      </c>
    </row>
    <row r="124" spans="1:6">
      <c r="A124" s="9" t="s">
        <v>594</v>
      </c>
      <c r="B124" s="9" t="s">
        <v>1137</v>
      </c>
      <c r="C124" s="9" t="s">
        <v>74</v>
      </c>
      <c r="D124" s="9" t="s">
        <v>1133</v>
      </c>
      <c r="E124" s="9" t="s">
        <v>67</v>
      </c>
      <c r="F124" s="9" t="s">
        <v>1134</v>
      </c>
    </row>
    <row r="125" spans="1:6">
      <c r="A125" s="9" t="s">
        <v>698</v>
      </c>
      <c r="B125" s="9" t="s">
        <v>1139</v>
      </c>
      <c r="C125" s="9" t="s">
        <v>485</v>
      </c>
      <c r="D125" s="9" t="s">
        <v>1133</v>
      </c>
      <c r="E125" s="9" t="s">
        <v>67</v>
      </c>
      <c r="F125" s="9" t="s">
        <v>1134</v>
      </c>
    </row>
    <row r="126" spans="1:6">
      <c r="A126" s="9" t="s">
        <v>700</v>
      </c>
      <c r="B126" s="9" t="s">
        <v>1140</v>
      </c>
      <c r="C126" s="9" t="s">
        <v>485</v>
      </c>
      <c r="D126" s="9" t="s">
        <v>1141</v>
      </c>
      <c r="E126" s="9" t="s">
        <v>67</v>
      </c>
      <c r="F126" s="9" t="s">
        <v>1142</v>
      </c>
    </row>
    <row r="127" spans="1:6">
      <c r="A127" s="9" t="s">
        <v>703</v>
      </c>
      <c r="B127" s="9" t="s">
        <v>1143</v>
      </c>
      <c r="C127" s="9" t="s">
        <v>521</v>
      </c>
      <c r="D127" s="9" t="s">
        <v>1136</v>
      </c>
      <c r="E127" s="9" t="s">
        <v>67</v>
      </c>
      <c r="F127" s="9" t="s">
        <v>1131</v>
      </c>
    </row>
    <row r="128" spans="1:6">
      <c r="A128" s="9" t="s">
        <v>249</v>
      </c>
      <c r="B128" s="9" t="s">
        <v>1144</v>
      </c>
      <c r="C128" s="9" t="s">
        <v>662</v>
      </c>
      <c r="D128" s="9" t="s">
        <v>1145</v>
      </c>
      <c r="E128" s="9" t="s">
        <v>1146</v>
      </c>
      <c r="F128" s="9" t="s">
        <v>1147</v>
      </c>
    </row>
    <row r="129" spans="1:20">
      <c r="A129" s="9" t="s">
        <v>110</v>
      </c>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ht="15.5" spans="1:20">
      <c r="A131" s="3" t="s">
        <v>1729</v>
      </c>
      <c r="B131" s="9" t="s">
        <v>110</v>
      </c>
      <c r="C131" s="2"/>
      <c r="D131" s="2"/>
      <c r="E131" s="2"/>
      <c r="F131" s="2"/>
      <c r="G131" s="2"/>
      <c r="H131" s="2"/>
      <c r="I131" s="2"/>
      <c r="J131" s="2"/>
      <c r="K131" s="2"/>
      <c r="L131" s="2"/>
      <c r="M131" s="2"/>
      <c r="N131" s="2"/>
      <c r="O131" s="2"/>
      <c r="P131" s="2"/>
      <c r="Q131" s="2"/>
      <c r="R131" s="2"/>
      <c r="S131" s="2"/>
      <c r="T131" s="2"/>
    </row>
    <row r="132" spans="1:20">
      <c r="A132" s="9" t="s">
        <v>110</v>
      </c>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spans="1:20">
      <c r="A212" s="2"/>
      <c r="B212" s="2"/>
      <c r="C212" s="2"/>
      <c r="D212" s="2"/>
      <c r="E212" s="2"/>
      <c r="F212" s="2"/>
      <c r="G212" s="2"/>
      <c r="H212" s="2"/>
      <c r="I212" s="2"/>
      <c r="J212" s="2"/>
      <c r="K212" s="2"/>
      <c r="L212" s="2"/>
      <c r="M212" s="2"/>
      <c r="N212" s="2"/>
      <c r="O212" s="2"/>
      <c r="P212" s="2"/>
      <c r="Q212" s="2"/>
      <c r="R212" s="2"/>
      <c r="S212" s="2"/>
      <c r="T212" s="2"/>
    </row>
    <row r="213" spans="1:20">
      <c r="A213" s="2"/>
      <c r="B213" s="2"/>
      <c r="C213" s="2"/>
      <c r="D213" s="2"/>
      <c r="E213" s="2"/>
      <c r="F213" s="2"/>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spans="1:20">
      <c r="A215" s="2"/>
      <c r="B215" s="2"/>
      <c r="C215" s="2"/>
      <c r="D215" s="2"/>
      <c r="E215" s="2"/>
      <c r="F215" s="2"/>
      <c r="G215" s="2"/>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spans="1:20">
      <c r="A217" s="2"/>
      <c r="B217" s="2"/>
      <c r="C217" s="2"/>
      <c r="D217" s="2"/>
      <c r="E217" s="2"/>
      <c r="F217" s="2"/>
      <c r="G217" s="2"/>
      <c r="H217" s="2"/>
      <c r="I217" s="2"/>
      <c r="J217" s="2"/>
      <c r="K217" s="2"/>
      <c r="L217" s="2"/>
      <c r="M217" s="2"/>
      <c r="N217" s="2"/>
      <c r="O217" s="2"/>
      <c r="P217" s="2"/>
      <c r="Q217" s="2"/>
      <c r="R217" s="2"/>
      <c r="S217" s="2"/>
      <c r="T217" s="2"/>
    </row>
    <row r="218" spans="1:20">
      <c r="A218" s="2"/>
      <c r="B218" s="2"/>
      <c r="C218" s="2"/>
      <c r="D218" s="2"/>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spans="1:20">
      <c r="A220" s="2"/>
      <c r="B220" s="2"/>
      <c r="C220" s="2"/>
      <c r="D220" s="2"/>
      <c r="E220" s="2"/>
      <c r="F220" s="2"/>
      <c r="G220" s="2"/>
      <c r="H220" s="2"/>
      <c r="I220" s="2"/>
      <c r="J220" s="2"/>
      <c r="K220" s="2"/>
      <c r="L220" s="2"/>
      <c r="M220" s="2"/>
      <c r="N220" s="2"/>
      <c r="O220" s="2"/>
      <c r="P220" s="2"/>
      <c r="Q220" s="2"/>
      <c r="R220" s="2"/>
      <c r="S220" s="2"/>
      <c r="T220" s="2"/>
    </row>
    <row r="221" spans="1:20">
      <c r="A221" s="2"/>
      <c r="B221" s="2"/>
      <c r="C221" s="2"/>
      <c r="D221" s="2"/>
      <c r="E221" s="2"/>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spans="1:20">
      <c r="A223" s="2"/>
      <c r="B223" s="2"/>
      <c r="C223" s="2"/>
      <c r="D223" s="2"/>
      <c r="E223" s="2"/>
      <c r="F223" s="2"/>
      <c r="G223" s="2"/>
      <c r="H223" s="2"/>
      <c r="I223" s="2"/>
      <c r="J223" s="2"/>
      <c r="K223" s="2"/>
      <c r="L223" s="2"/>
      <c r="M223" s="2"/>
      <c r="N223" s="2"/>
      <c r="O223" s="2"/>
      <c r="P223" s="2"/>
      <c r="Q223" s="2"/>
      <c r="R223" s="2"/>
      <c r="S223" s="2"/>
      <c r="T223" s="2"/>
    </row>
    <row r="224" spans="1:20">
      <c r="A224" s="2"/>
      <c r="B224" s="2"/>
      <c r="C224" s="2"/>
      <c r="D224" s="2"/>
      <c r="E224" s="2"/>
      <c r="F224" s="2"/>
      <c r="G224" s="2"/>
      <c r="H224" s="2"/>
      <c r="I224" s="2"/>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sheetData>
  <sheetProtection formatCells="0" insertHyperlinks="0" autoFilter="0"/>
  <mergeCells count="1">
    <mergeCell ref="B1:H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15"/>
  <sheetViews>
    <sheetView topLeftCell="A19" workbookViewId="0">
      <selection activeCell="A27" sqref="A27:F30"/>
    </sheetView>
  </sheetViews>
  <sheetFormatPr defaultColWidth="14" defaultRowHeight="13"/>
  <cols>
    <col min="1" max="20" width="27" customWidth="1"/>
  </cols>
  <sheetData>
    <row r="1" ht="46" customHeight="1" spans="1:20">
      <c r="A1" s="1" t="str">
        <f>_xlfn.DISPIMG("ID_78B39A8B30174151B10386977A01A00B",1)</f>
        <v>=DISPIMG("ID_78B39A8B30174151B10386977A01A00B",1)</v>
      </c>
      <c r="B1" s="1" t="s">
        <v>553</v>
      </c>
      <c r="C1" s="1"/>
      <c r="D1" s="1"/>
      <c r="E1" s="1"/>
      <c r="F1" s="1"/>
      <c r="G1" s="1"/>
      <c r="H1" s="1"/>
      <c r="I1" s="2"/>
      <c r="J1" s="2"/>
      <c r="K1" s="2"/>
      <c r="L1" s="2"/>
      <c r="M1" s="2"/>
      <c r="N1" s="2"/>
      <c r="O1" s="2"/>
      <c r="P1" s="2"/>
      <c r="Q1" s="2"/>
      <c r="R1" s="2"/>
      <c r="S1" s="2"/>
      <c r="T1" s="2"/>
    </row>
    <row r="2" ht="15.5" spans="1:20">
      <c r="A2" s="3" t="s">
        <v>1730</v>
      </c>
      <c r="B2" s="9" t="s">
        <v>1731</v>
      </c>
      <c r="C2" s="2"/>
      <c r="D2" s="2"/>
      <c r="E2" s="2"/>
      <c r="F2" s="2"/>
      <c r="G2" s="2"/>
      <c r="H2" s="2"/>
      <c r="I2" s="2"/>
      <c r="J2" s="2"/>
      <c r="K2" s="2"/>
      <c r="L2" s="2"/>
      <c r="M2" s="2"/>
      <c r="N2" s="2"/>
      <c r="O2" s="2"/>
      <c r="P2" s="2"/>
      <c r="Q2" s="2"/>
      <c r="R2" s="2"/>
      <c r="S2" s="2"/>
      <c r="T2" s="2"/>
    </row>
    <row r="3" ht="15.5" spans="1:20">
      <c r="A3" s="11" t="s">
        <v>46</v>
      </c>
      <c r="B3" s="6" t="s">
        <v>1447</v>
      </c>
      <c r="C3" s="11" t="s">
        <v>1732</v>
      </c>
      <c r="D3" s="11" t="s">
        <v>1733</v>
      </c>
      <c r="E3" s="11" t="s">
        <v>49</v>
      </c>
      <c r="F3" s="11" t="s">
        <v>1734</v>
      </c>
      <c r="G3" s="11" t="s">
        <v>453</v>
      </c>
      <c r="H3" s="2"/>
      <c r="I3" s="2"/>
      <c r="J3" s="2"/>
      <c r="K3" s="2"/>
      <c r="L3" s="2"/>
      <c r="M3" s="2"/>
      <c r="N3" s="2"/>
      <c r="O3" s="2"/>
      <c r="P3" s="2"/>
      <c r="Q3" s="2"/>
      <c r="R3" s="2"/>
      <c r="S3" s="2"/>
      <c r="T3" s="2"/>
    </row>
    <row r="4" spans="1:20">
      <c r="A4" s="9">
        <v>1</v>
      </c>
      <c r="B4" s="9" t="s">
        <v>1735</v>
      </c>
      <c r="C4" s="9" t="s">
        <v>1736</v>
      </c>
      <c r="D4" s="9" t="s">
        <v>1737</v>
      </c>
      <c r="E4" s="9" t="s">
        <v>57</v>
      </c>
      <c r="F4" s="9" t="s">
        <v>1738</v>
      </c>
      <c r="G4" s="9" t="s">
        <v>1739</v>
      </c>
      <c r="H4" s="2"/>
      <c r="I4" s="2"/>
      <c r="J4" s="2"/>
      <c r="K4" s="2"/>
      <c r="L4" s="2"/>
      <c r="M4" s="2"/>
      <c r="N4" s="2"/>
      <c r="O4" s="2"/>
      <c r="P4" s="2"/>
      <c r="Q4" s="2"/>
      <c r="R4" s="2"/>
      <c r="S4" s="2"/>
      <c r="T4" s="2"/>
    </row>
    <row r="5" spans="1:20">
      <c r="A5" s="9">
        <v>2</v>
      </c>
      <c r="B5" s="9" t="s">
        <v>1740</v>
      </c>
      <c r="C5" s="9" t="s">
        <v>1741</v>
      </c>
      <c r="D5" s="9" t="s">
        <v>1742</v>
      </c>
      <c r="E5" s="9" t="s">
        <v>57</v>
      </c>
      <c r="F5" s="9" t="s">
        <v>1743</v>
      </c>
      <c r="G5" s="9" t="s">
        <v>1744</v>
      </c>
    </row>
    <row r="6" spans="1:20">
      <c r="A6" s="9">
        <v>3</v>
      </c>
      <c r="B6" s="9" t="s">
        <v>1745</v>
      </c>
      <c r="C6" s="9" t="s">
        <v>1746</v>
      </c>
      <c r="D6" s="9" t="s">
        <v>1747</v>
      </c>
      <c r="E6" s="9" t="s">
        <v>1748</v>
      </c>
      <c r="F6" s="9" t="s">
        <v>1738</v>
      </c>
      <c r="G6" s="9" t="s">
        <v>1744</v>
      </c>
    </row>
    <row r="7" spans="1:20">
      <c r="A7" s="9">
        <v>4</v>
      </c>
      <c r="B7" s="9" t="s">
        <v>1749</v>
      </c>
      <c r="C7" s="9" t="s">
        <v>1750</v>
      </c>
      <c r="D7" s="9" t="s">
        <v>1751</v>
      </c>
      <c r="E7" s="9" t="s">
        <v>57</v>
      </c>
      <c r="F7" s="9" t="s">
        <v>1743</v>
      </c>
      <c r="G7" s="9" t="s">
        <v>1744</v>
      </c>
    </row>
    <row r="8" spans="1:20">
      <c r="A8" s="9">
        <v>5</v>
      </c>
      <c r="B8" s="9" t="s">
        <v>1752</v>
      </c>
      <c r="C8" s="9" t="s">
        <v>1753</v>
      </c>
      <c r="D8" s="9" t="s">
        <v>1754</v>
      </c>
      <c r="E8" s="9" t="s">
        <v>1748</v>
      </c>
      <c r="F8" s="9" t="s">
        <v>1755</v>
      </c>
      <c r="G8" s="9" t="s">
        <v>1744</v>
      </c>
    </row>
    <row r="9" spans="1:20">
      <c r="A9" s="9">
        <v>6</v>
      </c>
      <c r="B9" s="9" t="s">
        <v>1756</v>
      </c>
      <c r="C9" s="9" t="s">
        <v>1757</v>
      </c>
      <c r="D9" s="9" t="s">
        <v>1758</v>
      </c>
      <c r="E9" s="9" t="s">
        <v>1748</v>
      </c>
      <c r="F9" s="9" t="s">
        <v>1738</v>
      </c>
      <c r="G9" s="9" t="s">
        <v>1744</v>
      </c>
    </row>
    <row r="10" spans="1:20">
      <c r="A10" s="9">
        <v>7</v>
      </c>
      <c r="B10" s="9" t="s">
        <v>1759</v>
      </c>
      <c r="C10" s="9" t="s">
        <v>1760</v>
      </c>
      <c r="D10" s="9" t="s">
        <v>1754</v>
      </c>
      <c r="E10" s="9" t="s">
        <v>1748</v>
      </c>
      <c r="F10" s="9" t="s">
        <v>1738</v>
      </c>
      <c r="G10" s="9" t="s">
        <v>1744</v>
      </c>
    </row>
    <row r="11" spans="1:20">
      <c r="A11" s="9">
        <v>8</v>
      </c>
      <c r="B11" s="9" t="s">
        <v>1761</v>
      </c>
      <c r="C11" s="9" t="s">
        <v>1762</v>
      </c>
      <c r="D11" s="9" t="s">
        <v>1758</v>
      </c>
      <c r="E11" s="9" t="s">
        <v>1748</v>
      </c>
      <c r="F11" s="9" t="s">
        <v>1763</v>
      </c>
      <c r="G11" s="9" t="s">
        <v>1744</v>
      </c>
    </row>
    <row r="12" spans="1:20">
      <c r="A12" s="9">
        <v>9</v>
      </c>
      <c r="B12" s="9" t="s">
        <v>1764</v>
      </c>
      <c r="C12" s="9" t="s">
        <v>1765</v>
      </c>
      <c r="D12" s="9" t="s">
        <v>1766</v>
      </c>
      <c r="E12" s="9" t="s">
        <v>57</v>
      </c>
      <c r="F12" s="9" t="s">
        <v>1755</v>
      </c>
      <c r="G12" s="9" t="s">
        <v>1744</v>
      </c>
    </row>
    <row r="13" spans="1:20">
      <c r="A13" s="9">
        <v>10</v>
      </c>
      <c r="B13" s="9" t="s">
        <v>1767</v>
      </c>
      <c r="C13" s="9" t="s">
        <v>1768</v>
      </c>
      <c r="D13" s="9" t="s">
        <v>1747</v>
      </c>
      <c r="E13" s="9" t="s">
        <v>57</v>
      </c>
      <c r="F13" s="9" t="s">
        <v>1743</v>
      </c>
      <c r="G13" s="9" t="s">
        <v>1744</v>
      </c>
    </row>
    <row r="14" spans="1:20">
      <c r="A14" s="9">
        <v>11</v>
      </c>
      <c r="B14" s="9" t="s">
        <v>1769</v>
      </c>
      <c r="C14" s="9" t="s">
        <v>1770</v>
      </c>
      <c r="D14" s="9" t="s">
        <v>1771</v>
      </c>
      <c r="E14" s="9" t="s">
        <v>1748</v>
      </c>
      <c r="F14" s="9" t="s">
        <v>1772</v>
      </c>
      <c r="G14" s="9" t="s">
        <v>1744</v>
      </c>
    </row>
    <row r="15" spans="1:20">
      <c r="A15" s="9">
        <v>12</v>
      </c>
      <c r="B15" s="9" t="s">
        <v>1773</v>
      </c>
      <c r="C15" s="9" t="s">
        <v>1774</v>
      </c>
      <c r="D15" s="9" t="s">
        <v>1775</v>
      </c>
      <c r="E15" s="9" t="s">
        <v>1748</v>
      </c>
      <c r="F15" s="9" t="s">
        <v>1738</v>
      </c>
      <c r="G15" s="9" t="s">
        <v>1744</v>
      </c>
    </row>
    <row r="16" spans="1:20">
      <c r="A16" s="9">
        <v>13</v>
      </c>
      <c r="B16" s="9" t="s">
        <v>1776</v>
      </c>
      <c r="C16" s="9" t="s">
        <v>1777</v>
      </c>
      <c r="D16" s="9" t="s">
        <v>1778</v>
      </c>
      <c r="E16" s="9" t="s">
        <v>1748</v>
      </c>
      <c r="F16" s="9" t="s">
        <v>1779</v>
      </c>
      <c r="G16" s="9" t="s">
        <v>1744</v>
      </c>
    </row>
    <row r="17" spans="1:7">
      <c r="A17" s="9">
        <v>14</v>
      </c>
      <c r="B17" s="9" t="s">
        <v>1197</v>
      </c>
      <c r="C17" s="9" t="s">
        <v>1780</v>
      </c>
      <c r="D17" s="9" t="s">
        <v>1775</v>
      </c>
      <c r="E17" s="9" t="s">
        <v>1748</v>
      </c>
      <c r="F17" s="9" t="s">
        <v>1743</v>
      </c>
      <c r="G17" s="9" t="s">
        <v>1744</v>
      </c>
    </row>
    <row r="18" spans="1:7">
      <c r="A18" s="9">
        <v>15</v>
      </c>
      <c r="B18" s="9" t="s">
        <v>1197</v>
      </c>
      <c r="C18" s="9" t="s">
        <v>1781</v>
      </c>
      <c r="D18" s="9" t="s">
        <v>1778</v>
      </c>
      <c r="E18" s="9" t="s">
        <v>1748</v>
      </c>
      <c r="F18" s="9" t="s">
        <v>1779</v>
      </c>
      <c r="G18" s="9" t="s">
        <v>1744</v>
      </c>
    </row>
    <row r="19" spans="1:7">
      <c r="A19" s="9">
        <v>16</v>
      </c>
      <c r="B19" s="9" t="s">
        <v>1782</v>
      </c>
      <c r="C19" s="9" t="s">
        <v>1783</v>
      </c>
      <c r="D19" s="9" t="s">
        <v>1784</v>
      </c>
      <c r="E19" s="9" t="s">
        <v>57</v>
      </c>
      <c r="F19" s="9" t="s">
        <v>1785</v>
      </c>
      <c r="G19" s="9" t="s">
        <v>1744</v>
      </c>
    </row>
    <row r="20" spans="1:7">
      <c r="A20" s="9">
        <v>17</v>
      </c>
      <c r="B20" s="9" t="s">
        <v>1786</v>
      </c>
      <c r="C20" s="9" t="s">
        <v>1787</v>
      </c>
      <c r="D20" s="9" t="s">
        <v>1775</v>
      </c>
      <c r="E20" s="9" t="s">
        <v>57</v>
      </c>
      <c r="F20" s="9" t="s">
        <v>1743</v>
      </c>
      <c r="G20" s="9" t="s">
        <v>1744</v>
      </c>
    </row>
    <row r="21" spans="1:7">
      <c r="A21" s="9">
        <v>18</v>
      </c>
      <c r="B21" s="9" t="s">
        <v>1786</v>
      </c>
      <c r="C21" s="9" t="s">
        <v>1788</v>
      </c>
      <c r="D21" s="9" t="s">
        <v>1775</v>
      </c>
      <c r="E21" s="9" t="s">
        <v>1748</v>
      </c>
      <c r="F21" s="9" t="s">
        <v>1743</v>
      </c>
      <c r="G21" s="9" t="s">
        <v>1744</v>
      </c>
    </row>
    <row r="22" spans="1:7">
      <c r="A22" s="9">
        <v>19</v>
      </c>
      <c r="B22" s="9" t="s">
        <v>1786</v>
      </c>
      <c r="C22" s="9" t="s">
        <v>1789</v>
      </c>
      <c r="D22" s="9" t="s">
        <v>1758</v>
      </c>
      <c r="E22" s="9" t="s">
        <v>57</v>
      </c>
      <c r="F22" s="9" t="s">
        <v>1743</v>
      </c>
      <c r="G22" s="9" t="s">
        <v>1744</v>
      </c>
    </row>
    <row r="23" spans="1:7">
      <c r="A23" s="9">
        <v>20</v>
      </c>
      <c r="B23" s="9" t="s">
        <v>1790</v>
      </c>
      <c r="C23" s="9" t="s">
        <v>1791</v>
      </c>
      <c r="D23" s="9" t="s">
        <v>1784</v>
      </c>
      <c r="E23" s="9" t="s">
        <v>1748</v>
      </c>
      <c r="F23" s="9" t="s">
        <v>1779</v>
      </c>
      <c r="G23" s="9" t="s">
        <v>1744</v>
      </c>
    </row>
    <row r="24" spans="1:7">
      <c r="A24" s="9">
        <v>21</v>
      </c>
      <c r="B24" s="9" t="s">
        <v>1790</v>
      </c>
      <c r="C24" s="9" t="s">
        <v>1792</v>
      </c>
      <c r="D24" s="9" t="s">
        <v>1784</v>
      </c>
      <c r="E24" s="9" t="s">
        <v>1748</v>
      </c>
      <c r="F24" s="9" t="s">
        <v>1779</v>
      </c>
      <c r="G24" s="9" t="s">
        <v>1744</v>
      </c>
    </row>
    <row r="25" spans="1:7">
      <c r="A25" s="9">
        <v>22</v>
      </c>
      <c r="B25" s="9" t="s">
        <v>1790</v>
      </c>
      <c r="C25" s="9" t="s">
        <v>1793</v>
      </c>
      <c r="D25" s="9" t="s">
        <v>1794</v>
      </c>
      <c r="E25" s="9" t="s">
        <v>57</v>
      </c>
      <c r="F25" s="9" t="s">
        <v>1779</v>
      </c>
      <c r="G25" s="9" t="s">
        <v>1744</v>
      </c>
    </row>
    <row r="26" spans="1:7">
      <c r="A26" s="9">
        <v>23</v>
      </c>
      <c r="B26" s="9" t="s">
        <v>1795</v>
      </c>
      <c r="C26" s="9" t="s">
        <v>1796</v>
      </c>
      <c r="D26" s="9" t="s">
        <v>1775</v>
      </c>
      <c r="E26" s="9" t="s">
        <v>1748</v>
      </c>
      <c r="F26" s="9" t="s">
        <v>1738</v>
      </c>
      <c r="G26" s="9" t="s">
        <v>1797</v>
      </c>
    </row>
    <row r="27" spans="1:7">
      <c r="A27" s="9">
        <v>24</v>
      </c>
      <c r="B27" s="9" t="s">
        <v>1798</v>
      </c>
      <c r="C27" s="9" t="s">
        <v>1799</v>
      </c>
      <c r="D27" s="9" t="s">
        <v>1800</v>
      </c>
      <c r="E27" s="9" t="s">
        <v>1772</v>
      </c>
      <c r="F27" s="9" t="s">
        <v>1772</v>
      </c>
      <c r="G27" s="9" t="s">
        <v>1744</v>
      </c>
    </row>
    <row r="28" spans="1:7">
      <c r="A28" s="9">
        <v>25</v>
      </c>
      <c r="B28" s="9" t="s">
        <v>1798</v>
      </c>
      <c r="C28" s="9" t="s">
        <v>1801</v>
      </c>
      <c r="D28" s="9" t="s">
        <v>1802</v>
      </c>
      <c r="E28" s="9" t="s">
        <v>1772</v>
      </c>
      <c r="F28" s="9" t="s">
        <v>1772</v>
      </c>
      <c r="G28" s="9" t="s">
        <v>1744</v>
      </c>
    </row>
    <row r="29" spans="1:7">
      <c r="A29" s="9">
        <v>26</v>
      </c>
      <c r="B29" s="9" t="s">
        <v>1798</v>
      </c>
      <c r="C29" s="9" t="s">
        <v>1803</v>
      </c>
      <c r="D29" s="9" t="s">
        <v>1800</v>
      </c>
      <c r="E29" s="9" t="s">
        <v>1772</v>
      </c>
      <c r="F29" s="9" t="s">
        <v>1772</v>
      </c>
      <c r="G29" s="9" t="s">
        <v>1744</v>
      </c>
    </row>
    <row r="30" spans="1:7">
      <c r="A30" s="9">
        <v>27</v>
      </c>
      <c r="B30" s="9" t="s">
        <v>1798</v>
      </c>
      <c r="C30" s="9" t="s">
        <v>1777</v>
      </c>
      <c r="D30" s="9" t="s">
        <v>1800</v>
      </c>
      <c r="E30" s="9" t="s">
        <v>1748</v>
      </c>
      <c r="F30" s="9" t="s">
        <v>1772</v>
      </c>
      <c r="G30" s="9" t="s">
        <v>1744</v>
      </c>
    </row>
    <row r="31" spans="1:7">
      <c r="A31" s="9">
        <v>28</v>
      </c>
      <c r="B31" s="9" t="s">
        <v>1798</v>
      </c>
      <c r="C31" s="9" t="s">
        <v>1804</v>
      </c>
      <c r="D31" s="9" t="s">
        <v>1800</v>
      </c>
      <c r="E31" s="9" t="s">
        <v>1748</v>
      </c>
      <c r="F31" s="9" t="s">
        <v>1772</v>
      </c>
      <c r="G31" s="9" t="s">
        <v>1744</v>
      </c>
    </row>
    <row r="32" spans="1:7">
      <c r="A32" s="9">
        <v>29</v>
      </c>
      <c r="B32" s="9" t="s">
        <v>1798</v>
      </c>
      <c r="C32" s="9" t="s">
        <v>1805</v>
      </c>
      <c r="D32" s="9" t="s">
        <v>1806</v>
      </c>
      <c r="E32" s="9" t="s">
        <v>57</v>
      </c>
      <c r="F32" s="9" t="s">
        <v>1807</v>
      </c>
      <c r="G32" s="9" t="s">
        <v>1744</v>
      </c>
    </row>
    <row r="33" spans="1:7">
      <c r="A33" s="9">
        <v>30</v>
      </c>
      <c r="B33" s="9" t="s">
        <v>1798</v>
      </c>
      <c r="C33" s="9" t="s">
        <v>1808</v>
      </c>
      <c r="D33" s="9" t="s">
        <v>1809</v>
      </c>
      <c r="E33" s="9" t="s">
        <v>1772</v>
      </c>
      <c r="F33" s="9" t="s">
        <v>67</v>
      </c>
      <c r="G33" s="9" t="s">
        <v>1810</v>
      </c>
    </row>
    <row r="34" spans="1:7">
      <c r="A34" s="9">
        <v>31</v>
      </c>
      <c r="B34" s="9" t="s">
        <v>1798</v>
      </c>
      <c r="C34" s="9" t="s">
        <v>1811</v>
      </c>
      <c r="D34" s="9" t="s">
        <v>1800</v>
      </c>
      <c r="E34" s="9" t="s">
        <v>1748</v>
      </c>
      <c r="F34" s="9" t="s">
        <v>1812</v>
      </c>
      <c r="G34" s="9" t="s">
        <v>1744</v>
      </c>
    </row>
    <row r="35" spans="1:7">
      <c r="A35" s="9">
        <v>32</v>
      </c>
      <c r="B35" s="9" t="s">
        <v>1798</v>
      </c>
      <c r="C35" s="9" t="s">
        <v>1813</v>
      </c>
      <c r="D35" s="9" t="s">
        <v>1814</v>
      </c>
      <c r="E35" s="9" t="s">
        <v>1748</v>
      </c>
      <c r="F35" s="9" t="s">
        <v>1772</v>
      </c>
      <c r="G35" s="9" t="s">
        <v>1744</v>
      </c>
    </row>
    <row r="36" spans="1:7">
      <c r="A36" s="9">
        <v>33</v>
      </c>
      <c r="B36" s="9" t="s">
        <v>1798</v>
      </c>
      <c r="C36" s="9" t="s">
        <v>1815</v>
      </c>
      <c r="D36" s="9" t="s">
        <v>1809</v>
      </c>
      <c r="E36" s="9" t="s">
        <v>1772</v>
      </c>
      <c r="F36" s="9" t="s">
        <v>67</v>
      </c>
      <c r="G36" s="9" t="s">
        <v>1810</v>
      </c>
    </row>
    <row r="37" spans="1:7">
      <c r="A37" s="9">
        <v>34</v>
      </c>
      <c r="B37" s="9" t="s">
        <v>1798</v>
      </c>
      <c r="C37" s="9" t="s">
        <v>1816</v>
      </c>
      <c r="D37" s="9" t="s">
        <v>1809</v>
      </c>
      <c r="E37" s="9" t="s">
        <v>1772</v>
      </c>
      <c r="F37" s="9" t="s">
        <v>67</v>
      </c>
      <c r="G37" s="9" t="s">
        <v>1810</v>
      </c>
    </row>
    <row r="38" spans="1:7">
      <c r="A38" s="9">
        <v>35</v>
      </c>
      <c r="B38" s="9" t="s">
        <v>1798</v>
      </c>
      <c r="C38" s="9" t="s">
        <v>1817</v>
      </c>
      <c r="D38" s="9" t="s">
        <v>1802</v>
      </c>
      <c r="E38" s="9" t="s">
        <v>1748</v>
      </c>
      <c r="F38" s="9" t="s">
        <v>1772</v>
      </c>
      <c r="G38" s="9" t="s">
        <v>1744</v>
      </c>
    </row>
    <row r="39" spans="1:7">
      <c r="A39" s="9">
        <v>36</v>
      </c>
      <c r="B39" s="9" t="s">
        <v>1798</v>
      </c>
      <c r="C39" s="9" t="s">
        <v>1818</v>
      </c>
      <c r="D39" s="9" t="s">
        <v>1802</v>
      </c>
      <c r="E39" s="9" t="s">
        <v>1819</v>
      </c>
      <c r="F39" s="9" t="s">
        <v>1812</v>
      </c>
      <c r="G39" s="9" t="s">
        <v>1744</v>
      </c>
    </row>
    <row r="40" spans="1:7">
      <c r="A40" s="9">
        <v>37</v>
      </c>
      <c r="B40" s="9" t="s">
        <v>1798</v>
      </c>
      <c r="C40" s="9" t="s">
        <v>1820</v>
      </c>
      <c r="D40" s="9" t="s">
        <v>1800</v>
      </c>
      <c r="E40" s="9" t="s">
        <v>1748</v>
      </c>
      <c r="F40" s="9" t="s">
        <v>1821</v>
      </c>
      <c r="G40" s="9" t="s">
        <v>1744</v>
      </c>
    </row>
    <row r="41" spans="1:7">
      <c r="A41" s="9">
        <v>38</v>
      </c>
      <c r="B41" s="9" t="s">
        <v>1798</v>
      </c>
      <c r="C41" s="9" t="s">
        <v>1822</v>
      </c>
      <c r="D41" s="9" t="s">
        <v>1809</v>
      </c>
      <c r="E41" s="9" t="s">
        <v>1772</v>
      </c>
      <c r="F41" s="9" t="s">
        <v>67</v>
      </c>
      <c r="G41" s="9" t="s">
        <v>1810</v>
      </c>
    </row>
    <row r="42" spans="1:7">
      <c r="A42" s="9">
        <v>39</v>
      </c>
      <c r="B42" s="9" t="s">
        <v>1798</v>
      </c>
      <c r="C42" s="9" t="s">
        <v>1803</v>
      </c>
      <c r="D42" s="9" t="s">
        <v>1809</v>
      </c>
      <c r="E42" s="9" t="s">
        <v>1772</v>
      </c>
      <c r="F42" s="9" t="s">
        <v>67</v>
      </c>
      <c r="G42" s="9" t="s">
        <v>1810</v>
      </c>
    </row>
    <row r="43" spans="1:7">
      <c r="A43" s="9">
        <v>40</v>
      </c>
      <c r="B43" s="9" t="s">
        <v>1798</v>
      </c>
      <c r="C43" s="9" t="s">
        <v>1823</v>
      </c>
      <c r="D43" s="9" t="s">
        <v>1809</v>
      </c>
      <c r="E43" s="9" t="s">
        <v>1772</v>
      </c>
      <c r="F43" s="9" t="s">
        <v>67</v>
      </c>
      <c r="G43" s="9" t="s">
        <v>1810</v>
      </c>
    </row>
    <row r="44" spans="1:7">
      <c r="A44" s="9">
        <v>41</v>
      </c>
      <c r="B44" s="9" t="s">
        <v>1798</v>
      </c>
      <c r="C44" s="9" t="s">
        <v>1824</v>
      </c>
      <c r="D44" s="9" t="s">
        <v>1800</v>
      </c>
      <c r="E44" s="9" t="s">
        <v>1748</v>
      </c>
      <c r="F44" s="9" t="s">
        <v>1812</v>
      </c>
      <c r="G44" s="9" t="s">
        <v>1744</v>
      </c>
    </row>
    <row r="45" spans="1:7">
      <c r="A45" s="9">
        <v>42</v>
      </c>
      <c r="B45" s="9" t="s">
        <v>1798</v>
      </c>
      <c r="C45" s="9" t="s">
        <v>1789</v>
      </c>
      <c r="D45" s="9" t="s">
        <v>1800</v>
      </c>
      <c r="E45" s="9" t="s">
        <v>57</v>
      </c>
      <c r="F45" s="9" t="s">
        <v>1807</v>
      </c>
      <c r="G45" s="9" t="s">
        <v>1744</v>
      </c>
    </row>
    <row r="46" spans="1:7">
      <c r="A46" s="9">
        <v>43</v>
      </c>
      <c r="B46" s="9" t="s">
        <v>1798</v>
      </c>
      <c r="C46" s="9" t="s">
        <v>1825</v>
      </c>
      <c r="D46" s="9" t="s">
        <v>1809</v>
      </c>
      <c r="E46" s="9" t="s">
        <v>1772</v>
      </c>
      <c r="F46" s="9" t="s">
        <v>67</v>
      </c>
      <c r="G46" s="9" t="s">
        <v>1744</v>
      </c>
    </row>
    <row r="47" spans="1:7">
      <c r="A47" s="9">
        <v>44</v>
      </c>
      <c r="B47" s="9" t="s">
        <v>1798</v>
      </c>
      <c r="C47" s="9" t="s">
        <v>1826</v>
      </c>
      <c r="D47" s="9" t="s">
        <v>1800</v>
      </c>
      <c r="E47" s="9" t="s">
        <v>1748</v>
      </c>
      <c r="F47" s="9" t="s">
        <v>1807</v>
      </c>
      <c r="G47" s="9" t="s">
        <v>1744</v>
      </c>
    </row>
    <row r="48" spans="1:7">
      <c r="A48" s="9">
        <v>45</v>
      </c>
      <c r="B48" s="9" t="s">
        <v>1798</v>
      </c>
      <c r="C48" s="9" t="s">
        <v>1827</v>
      </c>
      <c r="D48" s="9" t="s">
        <v>1828</v>
      </c>
      <c r="E48" s="9" t="s">
        <v>1748</v>
      </c>
      <c r="F48" s="9" t="s">
        <v>1829</v>
      </c>
      <c r="G48" s="9" t="s">
        <v>1744</v>
      </c>
    </row>
    <row r="49" spans="1:20">
      <c r="A49" s="9">
        <v>46</v>
      </c>
      <c r="B49" s="9" t="s">
        <v>1798</v>
      </c>
      <c r="C49" s="9" t="s">
        <v>1830</v>
      </c>
      <c r="D49" s="9" t="s">
        <v>1809</v>
      </c>
      <c r="E49" s="9" t="s">
        <v>1772</v>
      </c>
      <c r="F49" s="9" t="s">
        <v>67</v>
      </c>
      <c r="G49" s="9" t="s">
        <v>1810</v>
      </c>
    </row>
    <row r="50" spans="1:20">
      <c r="A50" s="9">
        <v>47</v>
      </c>
      <c r="B50" s="9" t="s">
        <v>1798</v>
      </c>
      <c r="C50" s="9" t="s">
        <v>1830</v>
      </c>
      <c r="D50" s="9" t="s">
        <v>1800</v>
      </c>
      <c r="E50" s="9" t="s">
        <v>1748</v>
      </c>
      <c r="F50" s="9" t="s">
        <v>1831</v>
      </c>
      <c r="G50" s="9" t="s">
        <v>1744</v>
      </c>
    </row>
    <row r="51" spans="1:20">
      <c r="A51" s="9">
        <v>48</v>
      </c>
      <c r="B51" s="9" t="s">
        <v>1798</v>
      </c>
      <c r="C51" s="9" t="s">
        <v>1832</v>
      </c>
      <c r="D51" s="9" t="s">
        <v>1809</v>
      </c>
      <c r="E51" s="9" t="s">
        <v>1772</v>
      </c>
      <c r="F51" s="9" t="s">
        <v>67</v>
      </c>
      <c r="G51" s="9" t="s">
        <v>1810</v>
      </c>
    </row>
    <row r="52" spans="1:20">
      <c r="A52" s="9">
        <v>49</v>
      </c>
      <c r="B52" s="9" t="s">
        <v>1798</v>
      </c>
      <c r="C52" s="9" t="s">
        <v>1820</v>
      </c>
      <c r="D52" s="9" t="s">
        <v>1800</v>
      </c>
      <c r="E52" s="9" t="s">
        <v>1772</v>
      </c>
      <c r="F52" s="9" t="s">
        <v>1772</v>
      </c>
      <c r="G52" s="9" t="s">
        <v>1744</v>
      </c>
    </row>
    <row r="53" spans="1:20">
      <c r="A53" s="9">
        <v>50</v>
      </c>
      <c r="B53" s="9" t="s">
        <v>1798</v>
      </c>
      <c r="C53" s="9" t="s">
        <v>1833</v>
      </c>
      <c r="D53" s="9" t="s">
        <v>1800</v>
      </c>
      <c r="E53" s="9" t="s">
        <v>1772</v>
      </c>
      <c r="F53" s="9" t="s">
        <v>1772</v>
      </c>
      <c r="G53" s="9" t="s">
        <v>1744</v>
      </c>
    </row>
    <row r="54" ht="14.5" spans="1:20">
      <c r="A54" s="24" t="str">
        <f>HYPERLINK("https://www.tianyancha.com/company/441970624","打开天眼查，查看更多[招聘信息]")</f>
        <v>打开天眼查，查看更多[招聘信息]</v>
      </c>
      <c r="B54" s="9"/>
      <c r="C54" s="9"/>
      <c r="D54" s="9"/>
      <c r="E54" s="9"/>
      <c r="F54" s="9"/>
      <c r="G54" s="9"/>
      <c r="H54" s="2"/>
      <c r="I54" s="2"/>
      <c r="J54" s="2"/>
      <c r="K54" s="2"/>
      <c r="L54" s="2"/>
      <c r="M54" s="2"/>
      <c r="N54" s="2"/>
      <c r="O54" s="2"/>
      <c r="P54" s="2"/>
      <c r="Q54" s="2"/>
      <c r="R54" s="2"/>
      <c r="S54" s="2"/>
      <c r="T54" s="2"/>
    </row>
    <row r="55" spans="1:20">
      <c r="A55" s="2"/>
      <c r="B55" s="2"/>
      <c r="C55" s="2"/>
      <c r="D55" s="2"/>
      <c r="E55" s="2"/>
      <c r="F55" s="2"/>
      <c r="G55" s="2"/>
      <c r="H55" s="2"/>
      <c r="I55" s="2"/>
      <c r="J55" s="2"/>
      <c r="K55" s="2"/>
      <c r="L55" s="2"/>
      <c r="M55" s="2"/>
      <c r="N55" s="2"/>
      <c r="O55" s="2"/>
      <c r="P55" s="2"/>
      <c r="Q55" s="2"/>
      <c r="R55" s="2"/>
      <c r="S55" s="2"/>
      <c r="T55" s="2"/>
    </row>
    <row r="56" ht="15.5" spans="1:20">
      <c r="A56" s="3" t="s">
        <v>1834</v>
      </c>
      <c r="B56" s="9" t="s">
        <v>120</v>
      </c>
      <c r="C56" s="2"/>
      <c r="D56" s="2"/>
      <c r="E56" s="2"/>
      <c r="F56" s="2"/>
      <c r="G56" s="2"/>
      <c r="H56" s="2"/>
      <c r="I56" s="2"/>
      <c r="J56" s="2"/>
      <c r="K56" s="2"/>
      <c r="L56" s="2"/>
      <c r="M56" s="2"/>
      <c r="N56" s="2"/>
      <c r="O56" s="2"/>
      <c r="P56" s="2"/>
      <c r="Q56" s="2"/>
      <c r="R56" s="2"/>
      <c r="S56" s="2"/>
      <c r="T56" s="2"/>
    </row>
    <row r="57" ht="15.5" spans="1:20">
      <c r="A57" s="11" t="s">
        <v>46</v>
      </c>
      <c r="B57" s="6" t="s">
        <v>1835</v>
      </c>
      <c r="C57" s="6" t="s">
        <v>1836</v>
      </c>
      <c r="D57" s="11" t="s">
        <v>1837</v>
      </c>
      <c r="E57" s="11" t="s">
        <v>1838</v>
      </c>
      <c r="F57" s="11" t="s">
        <v>1839</v>
      </c>
      <c r="G57" s="11" t="s">
        <v>1840</v>
      </c>
      <c r="I57" s="2"/>
      <c r="J57" s="2"/>
      <c r="K57" s="2"/>
      <c r="L57" s="2"/>
      <c r="M57" s="2"/>
      <c r="N57" s="2"/>
      <c r="O57" s="2"/>
      <c r="P57" s="2"/>
      <c r="Q57" s="2"/>
      <c r="R57" s="2"/>
      <c r="S57" s="2"/>
      <c r="T57" s="2"/>
    </row>
    <row r="58" spans="1:20">
      <c r="A58" s="9">
        <v>1</v>
      </c>
      <c r="B58" s="9" t="s">
        <v>1841</v>
      </c>
      <c r="C58" s="9" t="s">
        <v>1842</v>
      </c>
      <c r="D58" s="9" t="s">
        <v>1843</v>
      </c>
      <c r="E58" s="9" t="s">
        <v>1844</v>
      </c>
      <c r="F58" s="9" t="s">
        <v>1845</v>
      </c>
      <c r="G58" s="9" t="s">
        <v>1846</v>
      </c>
      <c r="I58" s="2"/>
      <c r="J58" s="2"/>
      <c r="K58" s="2"/>
      <c r="L58" s="2"/>
      <c r="M58" s="2"/>
      <c r="N58" s="2"/>
      <c r="O58" s="2"/>
      <c r="P58" s="2"/>
      <c r="Q58" s="2"/>
      <c r="R58" s="2"/>
      <c r="S58" s="2"/>
      <c r="T58" s="2"/>
    </row>
    <row r="59" spans="1:20">
      <c r="A59" s="9">
        <v>2</v>
      </c>
      <c r="B59" s="9" t="s">
        <v>1847</v>
      </c>
      <c r="C59" s="9" t="s">
        <v>1092</v>
      </c>
      <c r="D59" s="9" t="s">
        <v>1848</v>
      </c>
      <c r="E59" s="9" t="s">
        <v>1849</v>
      </c>
      <c r="F59" s="9" t="s">
        <v>1850</v>
      </c>
      <c r="G59" s="9" t="s">
        <v>1851</v>
      </c>
    </row>
    <row r="60" spans="1:20">
      <c r="A60" s="9">
        <v>3</v>
      </c>
      <c r="B60" s="9" t="s">
        <v>1852</v>
      </c>
      <c r="C60" s="9" t="s">
        <v>1853</v>
      </c>
      <c r="D60" s="9" t="s">
        <v>1854</v>
      </c>
      <c r="E60" s="9" t="s">
        <v>1855</v>
      </c>
      <c r="F60" s="9" t="s">
        <v>542</v>
      </c>
      <c r="G60" s="9" t="s">
        <v>1856</v>
      </c>
    </row>
    <row r="61" spans="1:20">
      <c r="A61" s="9">
        <v>4</v>
      </c>
      <c r="B61" s="9" t="s">
        <v>1857</v>
      </c>
      <c r="C61" s="9" t="s">
        <v>1858</v>
      </c>
      <c r="D61" s="9" t="s">
        <v>1859</v>
      </c>
      <c r="E61" s="9" t="s">
        <v>1860</v>
      </c>
      <c r="F61" s="9" t="s">
        <v>1861</v>
      </c>
      <c r="G61" s="9" t="s">
        <v>1862</v>
      </c>
    </row>
    <row r="62" spans="1:20">
      <c r="A62" s="9">
        <v>5</v>
      </c>
      <c r="B62" s="9" t="s">
        <v>1857</v>
      </c>
      <c r="C62" s="9" t="s">
        <v>1858</v>
      </c>
      <c r="D62" s="9" t="s">
        <v>1863</v>
      </c>
      <c r="E62" s="9" t="s">
        <v>1860</v>
      </c>
      <c r="F62" s="9" t="s">
        <v>1864</v>
      </c>
      <c r="G62" s="9" t="s">
        <v>1862</v>
      </c>
    </row>
    <row r="63" spans="1:20">
      <c r="A63" s="9">
        <v>6</v>
      </c>
      <c r="B63" s="9" t="s">
        <v>1865</v>
      </c>
      <c r="C63" s="9" t="s">
        <v>1866</v>
      </c>
      <c r="D63" s="9" t="s">
        <v>1867</v>
      </c>
      <c r="E63" s="9" t="s">
        <v>67</v>
      </c>
      <c r="F63" s="9" t="s">
        <v>1868</v>
      </c>
      <c r="G63" s="9" t="s">
        <v>67</v>
      </c>
    </row>
    <row r="64" spans="1:20">
      <c r="A64" s="9">
        <v>7</v>
      </c>
      <c r="B64" s="9" t="s">
        <v>1869</v>
      </c>
      <c r="C64" s="9" t="s">
        <v>1870</v>
      </c>
      <c r="D64" s="9" t="s">
        <v>1871</v>
      </c>
      <c r="E64" s="9" t="s">
        <v>1872</v>
      </c>
      <c r="F64" s="9" t="s">
        <v>1864</v>
      </c>
      <c r="G64" s="9" t="s">
        <v>1873</v>
      </c>
    </row>
    <row r="65" spans="1:20">
      <c r="A65" s="9">
        <v>8</v>
      </c>
      <c r="B65" s="9" t="s">
        <v>1874</v>
      </c>
      <c r="C65" s="9" t="s">
        <v>1870</v>
      </c>
      <c r="D65" s="9" t="s">
        <v>1875</v>
      </c>
      <c r="E65" s="9" t="s">
        <v>1872</v>
      </c>
      <c r="F65" s="9" t="s">
        <v>1864</v>
      </c>
      <c r="G65" s="9" t="s">
        <v>1873</v>
      </c>
    </row>
    <row r="66" spans="1:20">
      <c r="A66" s="9">
        <v>9</v>
      </c>
      <c r="B66" s="9" t="s">
        <v>1876</v>
      </c>
      <c r="C66" s="9" t="s">
        <v>1877</v>
      </c>
      <c r="D66" s="9" t="s">
        <v>1878</v>
      </c>
      <c r="E66" s="9" t="s">
        <v>1844</v>
      </c>
      <c r="F66" s="9" t="s">
        <v>1845</v>
      </c>
      <c r="G66" s="9" t="s">
        <v>1844</v>
      </c>
    </row>
    <row r="67" spans="1:20">
      <c r="A67" s="9">
        <v>10</v>
      </c>
      <c r="B67" s="9" t="s">
        <v>1876</v>
      </c>
      <c r="C67" s="9" t="s">
        <v>1877</v>
      </c>
      <c r="D67" s="9" t="s">
        <v>1879</v>
      </c>
      <c r="E67" s="9" t="s">
        <v>1844</v>
      </c>
      <c r="F67" s="9" t="s">
        <v>1845</v>
      </c>
      <c r="G67" s="9" t="s">
        <v>1844</v>
      </c>
    </row>
    <row r="68" spans="1:20">
      <c r="A68" s="9" t="s">
        <v>110</v>
      </c>
      <c r="B68" s="9"/>
      <c r="C68" s="9"/>
      <c r="D68" s="9"/>
      <c r="E68" s="9"/>
      <c r="F68" s="9"/>
      <c r="G68" s="9"/>
      <c r="H68" s="9"/>
      <c r="I68" s="2"/>
      <c r="J68" s="2"/>
      <c r="K68" s="2"/>
      <c r="L68" s="2"/>
      <c r="M68" s="2"/>
      <c r="N68" s="2"/>
      <c r="O68" s="2"/>
      <c r="P68" s="2"/>
      <c r="Q68" s="2"/>
      <c r="R68" s="2"/>
      <c r="S68" s="2"/>
      <c r="T68" s="2"/>
    </row>
    <row r="69" spans="1:20">
      <c r="A69" s="2"/>
      <c r="B69" s="2"/>
      <c r="C69" s="2"/>
      <c r="D69" s="2"/>
      <c r="E69" s="2"/>
      <c r="F69" s="2"/>
      <c r="G69" s="2"/>
      <c r="H69" s="2"/>
      <c r="I69" s="2"/>
      <c r="J69" s="2"/>
      <c r="K69" s="2"/>
      <c r="L69" s="2"/>
      <c r="M69" s="2"/>
      <c r="N69" s="2"/>
      <c r="O69" s="2"/>
      <c r="P69" s="2"/>
      <c r="Q69" s="2"/>
      <c r="R69" s="2"/>
      <c r="S69" s="2"/>
      <c r="T69" s="2"/>
    </row>
    <row r="70" ht="15.5" spans="1:20">
      <c r="A70" s="3" t="s">
        <v>1880</v>
      </c>
      <c r="B70" s="9" t="s">
        <v>1881</v>
      </c>
      <c r="C70" s="2"/>
      <c r="D70" s="2"/>
      <c r="E70" s="2"/>
      <c r="F70" s="2"/>
      <c r="G70" s="2"/>
      <c r="H70" s="2"/>
      <c r="I70" s="2"/>
      <c r="J70" s="2"/>
      <c r="K70" s="2"/>
      <c r="L70" s="2"/>
      <c r="M70" s="2"/>
      <c r="N70" s="2"/>
      <c r="O70" s="2"/>
      <c r="P70" s="2"/>
      <c r="Q70" s="2"/>
      <c r="R70" s="2"/>
      <c r="S70" s="2"/>
      <c r="T70" s="2"/>
    </row>
    <row r="71" ht="15.5" spans="1:20">
      <c r="A71" s="11" t="s">
        <v>46</v>
      </c>
      <c r="B71" s="11" t="s">
        <v>1882</v>
      </c>
      <c r="C71" s="11" t="s">
        <v>1883</v>
      </c>
      <c r="D71" s="11" t="s">
        <v>395</v>
      </c>
      <c r="E71" s="11" t="s">
        <v>17</v>
      </c>
      <c r="F71" s="11" t="s">
        <v>1884</v>
      </c>
      <c r="G71" s="2"/>
      <c r="H71" s="2"/>
      <c r="I71" s="2"/>
      <c r="J71" s="2"/>
      <c r="K71" s="2"/>
      <c r="L71" s="2"/>
      <c r="M71" s="2"/>
      <c r="N71" s="2"/>
      <c r="O71" s="2"/>
      <c r="P71" s="2"/>
      <c r="Q71" s="2"/>
      <c r="R71" s="2"/>
      <c r="S71" s="2"/>
      <c r="T71" s="2"/>
    </row>
    <row r="72" spans="1:20">
      <c r="A72" s="9">
        <v>1</v>
      </c>
      <c r="B72" s="9" t="s">
        <v>1885</v>
      </c>
      <c r="C72" s="9" t="s">
        <v>1886</v>
      </c>
      <c r="D72" s="9" t="s">
        <v>1887</v>
      </c>
      <c r="E72" s="9" t="s">
        <v>12</v>
      </c>
      <c r="F72" s="9" t="s">
        <v>1888</v>
      </c>
      <c r="G72" s="2"/>
      <c r="H72" s="2"/>
      <c r="I72" s="2"/>
      <c r="J72" s="2"/>
      <c r="K72" s="2"/>
      <c r="L72" s="2"/>
      <c r="M72" s="2"/>
      <c r="N72" s="2"/>
      <c r="O72" s="2"/>
      <c r="P72" s="2"/>
      <c r="Q72" s="2"/>
      <c r="R72" s="2"/>
      <c r="S72" s="2"/>
      <c r="T72" s="2"/>
    </row>
    <row r="73" spans="1:20">
      <c r="A73" s="9">
        <v>2</v>
      </c>
      <c r="B73" s="9" t="s">
        <v>1889</v>
      </c>
      <c r="C73" s="9" t="s">
        <v>1886</v>
      </c>
      <c r="D73" s="9" t="s">
        <v>1887</v>
      </c>
      <c r="E73" s="9" t="s">
        <v>12</v>
      </c>
      <c r="F73" s="9" t="s">
        <v>1888</v>
      </c>
    </row>
    <row r="74" spans="1:20">
      <c r="A74" s="9">
        <v>3</v>
      </c>
      <c r="B74" s="9" t="s">
        <v>1890</v>
      </c>
      <c r="C74" s="9" t="s">
        <v>1886</v>
      </c>
      <c r="D74" s="9" t="s">
        <v>1887</v>
      </c>
      <c r="E74" s="9" t="s">
        <v>12</v>
      </c>
      <c r="F74" s="9" t="s">
        <v>1888</v>
      </c>
    </row>
    <row r="75" spans="1:20">
      <c r="A75" s="9">
        <v>4</v>
      </c>
      <c r="B75" s="9" t="s">
        <v>1891</v>
      </c>
      <c r="C75" s="9" t="s">
        <v>1886</v>
      </c>
      <c r="D75" s="9" t="s">
        <v>1887</v>
      </c>
      <c r="E75" s="9" t="s">
        <v>12</v>
      </c>
      <c r="F75" s="9" t="s">
        <v>1888</v>
      </c>
    </row>
    <row r="76" spans="1:20">
      <c r="A76" s="9">
        <v>5</v>
      </c>
      <c r="B76" s="9" t="s">
        <v>1892</v>
      </c>
      <c r="C76" s="9" t="s">
        <v>1886</v>
      </c>
      <c r="D76" s="9" t="s">
        <v>1887</v>
      </c>
      <c r="E76" s="9" t="s">
        <v>12</v>
      </c>
      <c r="F76" s="9" t="s">
        <v>1888</v>
      </c>
    </row>
    <row r="77" spans="1:20">
      <c r="A77" s="9">
        <v>6</v>
      </c>
      <c r="B77" s="9" t="s">
        <v>1893</v>
      </c>
      <c r="C77" s="9" t="s">
        <v>1886</v>
      </c>
      <c r="D77" s="9" t="s">
        <v>1887</v>
      </c>
      <c r="E77" s="9" t="s">
        <v>12</v>
      </c>
      <c r="F77" s="9" t="s">
        <v>1888</v>
      </c>
    </row>
    <row r="78" spans="1:20">
      <c r="A78" s="9">
        <v>7</v>
      </c>
      <c r="B78" s="9" t="s">
        <v>1894</v>
      </c>
      <c r="C78" s="9" t="s">
        <v>1886</v>
      </c>
      <c r="D78" s="9" t="s">
        <v>1887</v>
      </c>
      <c r="E78" s="9" t="s">
        <v>12</v>
      </c>
      <c r="F78" s="9" t="s">
        <v>1895</v>
      </c>
    </row>
    <row r="79" spans="1:20">
      <c r="A79" s="9">
        <v>8</v>
      </c>
      <c r="B79" s="9" t="s">
        <v>1896</v>
      </c>
      <c r="C79" s="9" t="s">
        <v>1886</v>
      </c>
      <c r="D79" s="9" t="s">
        <v>1887</v>
      </c>
      <c r="E79" s="9" t="s">
        <v>12</v>
      </c>
      <c r="F79" s="9" t="s">
        <v>1895</v>
      </c>
    </row>
    <row r="80" spans="1:20">
      <c r="A80" s="9">
        <v>9</v>
      </c>
      <c r="B80" s="9" t="s">
        <v>1897</v>
      </c>
      <c r="C80" s="9" t="s">
        <v>1886</v>
      </c>
      <c r="D80" s="9" t="s">
        <v>1887</v>
      </c>
      <c r="E80" s="9" t="s">
        <v>12</v>
      </c>
      <c r="F80" s="9" t="s">
        <v>1895</v>
      </c>
    </row>
    <row r="81" spans="1:20">
      <c r="A81" s="9">
        <v>10</v>
      </c>
      <c r="B81" s="9" t="s">
        <v>1898</v>
      </c>
      <c r="C81" s="9" t="s">
        <v>1886</v>
      </c>
      <c r="D81" s="9" t="s">
        <v>1887</v>
      </c>
      <c r="E81" s="9" t="s">
        <v>12</v>
      </c>
      <c r="F81" s="9" t="s">
        <v>1895</v>
      </c>
    </row>
    <row r="82" spans="1:20">
      <c r="A82" s="9">
        <v>11</v>
      </c>
      <c r="B82" s="9" t="s">
        <v>1899</v>
      </c>
      <c r="C82" s="9" t="s">
        <v>1886</v>
      </c>
      <c r="D82" s="9" t="s">
        <v>1887</v>
      </c>
      <c r="E82" s="9" t="s">
        <v>12</v>
      </c>
      <c r="F82" s="9" t="s">
        <v>1895</v>
      </c>
    </row>
    <row r="83" spans="1:20">
      <c r="A83" s="9">
        <v>12</v>
      </c>
      <c r="B83" s="9" t="s">
        <v>1900</v>
      </c>
      <c r="C83" s="9" t="s">
        <v>1886</v>
      </c>
      <c r="D83" s="9" t="s">
        <v>1901</v>
      </c>
      <c r="E83" s="9" t="s">
        <v>12</v>
      </c>
      <c r="F83" s="9" t="s">
        <v>1902</v>
      </c>
    </row>
    <row r="84" spans="1:20">
      <c r="A84" s="9" t="s">
        <v>110</v>
      </c>
      <c r="B84" s="9"/>
      <c r="C84" s="9"/>
      <c r="D84" s="9"/>
      <c r="E84" s="9"/>
      <c r="F84" s="9"/>
      <c r="G84" s="2"/>
      <c r="H84" s="2"/>
      <c r="I84" s="2"/>
      <c r="J84" s="2"/>
      <c r="K84" s="2"/>
      <c r="L84" s="2"/>
      <c r="M84" s="2"/>
      <c r="N84" s="2"/>
      <c r="O84" s="2"/>
      <c r="P84" s="2"/>
      <c r="Q84" s="2"/>
      <c r="R84" s="2"/>
      <c r="S84" s="2"/>
      <c r="T84" s="2"/>
    </row>
    <row r="85" spans="1:20">
      <c r="A85" s="2"/>
      <c r="B85" s="2"/>
      <c r="C85" s="2"/>
      <c r="D85" s="2"/>
      <c r="E85" s="2"/>
      <c r="F85" s="2"/>
      <c r="G85" s="2"/>
      <c r="H85" s="2"/>
      <c r="I85" s="2"/>
      <c r="J85" s="2"/>
      <c r="K85" s="2"/>
      <c r="L85" s="2"/>
      <c r="M85" s="2"/>
      <c r="N85" s="2"/>
      <c r="O85" s="2"/>
      <c r="P85" s="2"/>
      <c r="Q85" s="2"/>
      <c r="R85" s="2"/>
      <c r="S85" s="2"/>
      <c r="T85" s="2"/>
    </row>
    <row r="86" ht="15.5" spans="1:20">
      <c r="A86" s="3" t="s">
        <v>1903</v>
      </c>
      <c r="B86" s="9" t="s">
        <v>451</v>
      </c>
      <c r="C86" s="2"/>
      <c r="D86" s="2"/>
      <c r="E86" s="2"/>
      <c r="F86" s="2"/>
      <c r="G86" s="2"/>
      <c r="H86" s="2"/>
      <c r="I86" s="2"/>
      <c r="J86" s="2"/>
      <c r="K86" s="2"/>
      <c r="L86" s="2"/>
      <c r="M86" s="2"/>
      <c r="N86" s="2"/>
      <c r="O86" s="2"/>
      <c r="P86" s="2"/>
      <c r="Q86" s="2"/>
      <c r="R86" s="2"/>
      <c r="S86" s="2"/>
      <c r="T86" s="2"/>
    </row>
    <row r="87" ht="15.5" spans="1:20">
      <c r="A87" s="11" t="s">
        <v>46</v>
      </c>
      <c r="B87" s="11" t="s">
        <v>1904</v>
      </c>
      <c r="C87" s="11" t="s">
        <v>17</v>
      </c>
      <c r="D87" s="11" t="s">
        <v>1905</v>
      </c>
      <c r="E87" s="11" t="s">
        <v>1906</v>
      </c>
      <c r="F87" s="11" t="s">
        <v>1907</v>
      </c>
      <c r="G87" s="2"/>
      <c r="H87" s="2"/>
      <c r="I87" s="2"/>
      <c r="J87" s="2"/>
      <c r="K87" s="2"/>
      <c r="L87" s="2"/>
      <c r="M87" s="2"/>
      <c r="N87" s="2"/>
      <c r="O87" s="2"/>
      <c r="P87" s="2"/>
      <c r="Q87" s="2"/>
      <c r="R87" s="2"/>
      <c r="S87" s="2"/>
      <c r="T87" s="2"/>
    </row>
    <row r="88" spans="1:20">
      <c r="A88" s="9">
        <v>1</v>
      </c>
      <c r="B88" s="9" t="s">
        <v>2</v>
      </c>
      <c r="C88" s="9" t="s">
        <v>12</v>
      </c>
      <c r="D88" s="9" t="s">
        <v>1908</v>
      </c>
      <c r="E88" s="9" t="s">
        <v>1909</v>
      </c>
      <c r="F88" s="9" t="s">
        <v>67</v>
      </c>
      <c r="G88" s="9"/>
      <c r="H88" s="9"/>
      <c r="I88" s="9"/>
      <c r="J88" s="9"/>
      <c r="K88" s="9"/>
      <c r="L88" s="9"/>
      <c r="M88" s="9"/>
      <c r="N88" s="9"/>
      <c r="O88" s="9"/>
      <c r="P88" s="9"/>
      <c r="Q88" s="9"/>
      <c r="R88" s="9"/>
      <c r="S88" s="9"/>
      <c r="T88" s="9"/>
    </row>
    <row r="89" spans="1:20">
      <c r="A89" s="9">
        <v>2</v>
      </c>
      <c r="B89" s="9" t="s">
        <v>2</v>
      </c>
      <c r="C89" s="9" t="s">
        <v>12</v>
      </c>
      <c r="D89" s="9" t="s">
        <v>1910</v>
      </c>
      <c r="E89" s="9" t="s">
        <v>1909</v>
      </c>
      <c r="F89" s="9" t="s">
        <v>67</v>
      </c>
    </row>
    <row r="90" spans="1:20">
      <c r="A90" s="9">
        <v>3</v>
      </c>
      <c r="B90" s="9" t="s">
        <v>2</v>
      </c>
      <c r="C90" s="9" t="s">
        <v>12</v>
      </c>
      <c r="D90" s="9" t="s">
        <v>41</v>
      </c>
      <c r="E90" s="9" t="s">
        <v>1911</v>
      </c>
      <c r="F90" s="9" t="s">
        <v>1912</v>
      </c>
    </row>
    <row r="91" spans="1:20">
      <c r="A91" s="9" t="s">
        <v>110</v>
      </c>
      <c r="B91" s="9"/>
      <c r="C91" s="9"/>
      <c r="D91" s="9"/>
      <c r="E91" s="9"/>
      <c r="F91" s="9"/>
      <c r="G91" s="2"/>
      <c r="H91" s="2"/>
      <c r="I91" s="2"/>
      <c r="J91" s="2"/>
      <c r="K91" s="2"/>
      <c r="L91" s="2"/>
      <c r="M91" s="2"/>
      <c r="N91" s="2"/>
      <c r="O91" s="2"/>
      <c r="P91" s="2"/>
      <c r="Q91" s="2"/>
      <c r="R91" s="2"/>
      <c r="S91" s="2"/>
      <c r="T91" s="2"/>
    </row>
    <row r="92" spans="1:20">
      <c r="A92" s="2"/>
      <c r="B92" s="2"/>
      <c r="C92" s="2"/>
      <c r="D92" s="2"/>
      <c r="E92" s="2"/>
      <c r="F92" s="2"/>
      <c r="G92" s="2"/>
      <c r="H92" s="2"/>
      <c r="I92" s="2"/>
      <c r="J92" s="2"/>
      <c r="K92" s="2"/>
      <c r="L92" s="2"/>
      <c r="M92" s="2"/>
      <c r="N92" s="2"/>
      <c r="O92" s="2"/>
      <c r="P92" s="2"/>
      <c r="Q92" s="2"/>
      <c r="R92" s="2"/>
      <c r="S92" s="2"/>
      <c r="T92" s="2"/>
    </row>
    <row r="93" ht="15.5" spans="1:20">
      <c r="A93" s="3" t="s">
        <v>1913</v>
      </c>
      <c r="B93" s="9" t="s">
        <v>1914</v>
      </c>
      <c r="C93" s="2"/>
      <c r="D93" s="2"/>
      <c r="E93" s="2"/>
      <c r="F93" s="2"/>
      <c r="G93" s="2"/>
      <c r="H93" s="2"/>
      <c r="I93" s="2"/>
      <c r="J93" s="2"/>
      <c r="K93" s="2"/>
      <c r="L93" s="2"/>
      <c r="M93" s="2"/>
      <c r="N93" s="2"/>
      <c r="O93" s="2"/>
      <c r="P93" s="2"/>
      <c r="Q93" s="2"/>
      <c r="R93" s="2"/>
      <c r="S93" s="2"/>
      <c r="T93" s="2"/>
    </row>
    <row r="94" ht="15.5" spans="1:20">
      <c r="A94" s="11" t="s">
        <v>46</v>
      </c>
      <c r="B94" s="49" t="s">
        <v>1915</v>
      </c>
      <c r="C94" s="49" t="s">
        <v>1916</v>
      </c>
      <c r="D94" s="49" t="s">
        <v>1917</v>
      </c>
      <c r="E94" s="49" t="s">
        <v>1918</v>
      </c>
      <c r="F94" s="49" t="s">
        <v>531</v>
      </c>
      <c r="G94" s="49" t="s">
        <v>1919</v>
      </c>
      <c r="H94" s="49" t="s">
        <v>1920</v>
      </c>
      <c r="I94" s="2"/>
      <c r="J94" s="2"/>
      <c r="K94" s="2"/>
      <c r="L94" s="2"/>
      <c r="M94" s="2"/>
      <c r="N94" s="2"/>
      <c r="O94" s="2"/>
      <c r="P94" s="2"/>
      <c r="Q94" s="2"/>
      <c r="R94" s="2"/>
      <c r="S94" s="2"/>
      <c r="T94" s="2"/>
    </row>
    <row r="95" ht="15" spans="1:20">
      <c r="A95" s="9">
        <v>1</v>
      </c>
      <c r="B95" s="50" t="s">
        <v>1921</v>
      </c>
      <c r="C95" s="50" t="s">
        <v>67</v>
      </c>
      <c r="D95" s="50" t="s">
        <v>1922</v>
      </c>
      <c r="E95" s="50" t="s">
        <v>1923</v>
      </c>
      <c r="F95" s="50" t="s">
        <v>1924</v>
      </c>
      <c r="G95" s="50" t="s">
        <v>1925</v>
      </c>
      <c r="H95" s="50" t="s">
        <v>1926</v>
      </c>
      <c r="I95" s="2"/>
      <c r="J95" s="2"/>
      <c r="K95" s="2"/>
      <c r="L95" s="2"/>
      <c r="M95" s="2"/>
      <c r="N95" s="2"/>
      <c r="O95" s="2"/>
      <c r="P95" s="2"/>
      <c r="Q95" s="2"/>
      <c r="R95" s="2"/>
      <c r="S95" s="2"/>
      <c r="T95" s="2"/>
    </row>
    <row r="96" ht="15" spans="1:20">
      <c r="A96" s="9">
        <v>2</v>
      </c>
      <c r="B96" s="50" t="s">
        <v>1927</v>
      </c>
      <c r="C96" s="50" t="s">
        <v>67</v>
      </c>
      <c r="D96" s="50" t="s">
        <v>1928</v>
      </c>
      <c r="E96" s="50" t="s">
        <v>1923</v>
      </c>
      <c r="F96" s="50" t="s">
        <v>1929</v>
      </c>
      <c r="G96" s="50" t="s">
        <v>1930</v>
      </c>
      <c r="H96" s="50" t="s">
        <v>1926</v>
      </c>
    </row>
    <row r="97" ht="15" spans="1:8">
      <c r="A97" s="9">
        <v>3</v>
      </c>
      <c r="B97" s="50" t="s">
        <v>1931</v>
      </c>
      <c r="C97" s="50" t="s">
        <v>67</v>
      </c>
      <c r="D97" s="50" t="s">
        <v>1932</v>
      </c>
      <c r="E97" s="50" t="s">
        <v>1923</v>
      </c>
      <c r="F97" s="50" t="s">
        <v>1929</v>
      </c>
      <c r="G97" s="50" t="s">
        <v>1933</v>
      </c>
      <c r="H97" s="50" t="s">
        <v>1926</v>
      </c>
    </row>
    <row r="98" ht="30" spans="1:8">
      <c r="A98" s="9">
        <v>4</v>
      </c>
      <c r="B98" s="50" t="s">
        <v>1934</v>
      </c>
      <c r="C98" s="50" t="s">
        <v>67</v>
      </c>
      <c r="D98" s="50" t="s">
        <v>1935</v>
      </c>
      <c r="E98" s="50" t="s">
        <v>1936</v>
      </c>
      <c r="F98" s="50" t="s">
        <v>1011</v>
      </c>
      <c r="G98" s="50" t="s">
        <v>1937</v>
      </c>
      <c r="H98" s="50" t="s">
        <v>1926</v>
      </c>
    </row>
    <row r="99" ht="15" spans="1:8">
      <c r="A99" s="9">
        <v>5</v>
      </c>
      <c r="B99" s="50" t="s">
        <v>1938</v>
      </c>
      <c r="C99" s="50" t="s">
        <v>67</v>
      </c>
      <c r="D99" s="50" t="s">
        <v>540</v>
      </c>
      <c r="E99" s="50" t="s">
        <v>542</v>
      </c>
      <c r="F99" s="50" t="s">
        <v>537</v>
      </c>
      <c r="G99" s="50" t="s">
        <v>538</v>
      </c>
      <c r="H99" s="50" t="s">
        <v>1926</v>
      </c>
    </row>
    <row r="100" ht="15" spans="1:8">
      <c r="A100" s="9">
        <v>6</v>
      </c>
      <c r="B100" s="50" t="s">
        <v>1939</v>
      </c>
      <c r="C100" s="50" t="s">
        <v>1940</v>
      </c>
      <c r="D100" s="50" t="s">
        <v>1941</v>
      </c>
      <c r="E100" s="50" t="s">
        <v>1942</v>
      </c>
      <c r="F100" s="50" t="s">
        <v>1943</v>
      </c>
      <c r="G100" s="50" t="s">
        <v>1944</v>
      </c>
      <c r="H100" s="50" t="s">
        <v>1926</v>
      </c>
    </row>
    <row r="101" ht="15" spans="1:8">
      <c r="A101" s="9">
        <v>7</v>
      </c>
      <c r="B101" s="50" t="s">
        <v>1945</v>
      </c>
      <c r="C101" s="50" t="s">
        <v>1946</v>
      </c>
      <c r="D101" s="50" t="s">
        <v>1947</v>
      </c>
      <c r="E101" s="50" t="s">
        <v>67</v>
      </c>
      <c r="F101" s="50" t="s">
        <v>1948</v>
      </c>
      <c r="G101" s="50" t="s">
        <v>1949</v>
      </c>
      <c r="H101" s="50" t="s">
        <v>1926</v>
      </c>
    </row>
    <row r="102" ht="30" spans="1:8">
      <c r="A102" s="9">
        <v>8</v>
      </c>
      <c r="B102" s="50" t="s">
        <v>1945</v>
      </c>
      <c r="C102" s="50" t="s">
        <v>1950</v>
      </c>
      <c r="D102" s="50" t="s">
        <v>1951</v>
      </c>
      <c r="E102" s="50" t="s">
        <v>67</v>
      </c>
      <c r="F102" s="50" t="s">
        <v>1948</v>
      </c>
      <c r="G102" s="50" t="s">
        <v>1949</v>
      </c>
      <c r="H102" s="50" t="s">
        <v>1926</v>
      </c>
    </row>
    <row r="103" ht="30" spans="1:8">
      <c r="A103" s="9">
        <v>9</v>
      </c>
      <c r="B103" s="50" t="s">
        <v>1939</v>
      </c>
      <c r="C103" s="50" t="s">
        <v>1952</v>
      </c>
      <c r="D103" s="50" t="s">
        <v>1953</v>
      </c>
      <c r="E103" s="50" t="s">
        <v>1954</v>
      </c>
      <c r="F103" s="50" t="s">
        <v>1955</v>
      </c>
      <c r="G103" s="50" t="s">
        <v>67</v>
      </c>
      <c r="H103" s="50" t="s">
        <v>1926</v>
      </c>
    </row>
    <row r="104" ht="30" spans="1:8">
      <c r="A104" s="9">
        <v>10</v>
      </c>
      <c r="B104" s="50" t="s">
        <v>1939</v>
      </c>
      <c r="C104" s="50" t="s">
        <v>1956</v>
      </c>
      <c r="D104" s="50" t="s">
        <v>1957</v>
      </c>
      <c r="E104" s="50" t="s">
        <v>1954</v>
      </c>
      <c r="F104" s="50" t="s">
        <v>1955</v>
      </c>
      <c r="G104" s="50" t="s">
        <v>67</v>
      </c>
      <c r="H104" s="50" t="s">
        <v>1926</v>
      </c>
    </row>
    <row r="105" ht="15" spans="1:8">
      <c r="A105" s="9">
        <v>11</v>
      </c>
      <c r="B105" s="50" t="s">
        <v>1958</v>
      </c>
      <c r="C105" s="50" t="s">
        <v>67</v>
      </c>
      <c r="D105" s="50" t="s">
        <v>1959</v>
      </c>
      <c r="E105" s="50" t="s">
        <v>1960</v>
      </c>
      <c r="F105" s="50" t="s">
        <v>543</v>
      </c>
      <c r="G105" s="50" t="s">
        <v>1961</v>
      </c>
      <c r="H105" s="50" t="s">
        <v>1926</v>
      </c>
    </row>
    <row r="106" ht="30" spans="1:8">
      <c r="A106" s="9">
        <v>12</v>
      </c>
      <c r="B106" s="50" t="s">
        <v>1938</v>
      </c>
      <c r="C106" s="50" t="s">
        <v>67</v>
      </c>
      <c r="D106" s="50" t="s">
        <v>545</v>
      </c>
      <c r="E106" s="50" t="s">
        <v>1962</v>
      </c>
      <c r="F106" s="50" t="s">
        <v>543</v>
      </c>
      <c r="G106" s="50" t="s">
        <v>544</v>
      </c>
      <c r="H106" s="50" t="s">
        <v>1926</v>
      </c>
    </row>
    <row r="107" ht="30" spans="1:8">
      <c r="A107" s="9">
        <v>13</v>
      </c>
      <c r="B107" s="50" t="s">
        <v>1939</v>
      </c>
      <c r="C107" s="50" t="s">
        <v>1963</v>
      </c>
      <c r="D107" s="50" t="s">
        <v>1964</v>
      </c>
      <c r="E107" s="50" t="s">
        <v>1965</v>
      </c>
      <c r="F107" s="50" t="s">
        <v>1966</v>
      </c>
      <c r="G107" s="50" t="s">
        <v>67</v>
      </c>
      <c r="H107" s="50" t="s">
        <v>1926</v>
      </c>
    </row>
    <row r="108" ht="30" spans="1:8">
      <c r="A108" s="9">
        <v>14</v>
      </c>
      <c r="B108" s="50" t="s">
        <v>1939</v>
      </c>
      <c r="C108" s="50" t="s">
        <v>1963</v>
      </c>
      <c r="D108" s="50" t="s">
        <v>1967</v>
      </c>
      <c r="E108" s="50" t="s">
        <v>1965</v>
      </c>
      <c r="F108" s="50" t="s">
        <v>1966</v>
      </c>
      <c r="G108" s="50" t="s">
        <v>67</v>
      </c>
      <c r="H108" s="50" t="s">
        <v>1926</v>
      </c>
    </row>
    <row r="109" ht="30" spans="1:8">
      <c r="A109" s="9">
        <v>15</v>
      </c>
      <c r="B109" s="50" t="s">
        <v>1968</v>
      </c>
      <c r="C109" s="50" t="s">
        <v>67</v>
      </c>
      <c r="D109" s="50" t="s">
        <v>1969</v>
      </c>
      <c r="E109" s="50" t="s">
        <v>1970</v>
      </c>
      <c r="F109" s="50" t="s">
        <v>1971</v>
      </c>
      <c r="G109" s="50" t="s">
        <v>1972</v>
      </c>
      <c r="H109" s="50" t="s">
        <v>1926</v>
      </c>
    </row>
    <row r="110" ht="30" spans="1:8">
      <c r="A110" s="9">
        <v>16</v>
      </c>
      <c r="B110" s="50" t="s">
        <v>1968</v>
      </c>
      <c r="C110" s="50" t="s">
        <v>67</v>
      </c>
      <c r="D110" s="50" t="s">
        <v>1973</v>
      </c>
      <c r="E110" s="50" t="s">
        <v>1970</v>
      </c>
      <c r="F110" s="50" t="s">
        <v>1971</v>
      </c>
      <c r="G110" s="50" t="s">
        <v>1972</v>
      </c>
      <c r="H110" s="50" t="s">
        <v>1926</v>
      </c>
    </row>
    <row r="111" ht="30" spans="1:8">
      <c r="A111" s="9">
        <v>17</v>
      </c>
      <c r="B111" s="50" t="s">
        <v>1974</v>
      </c>
      <c r="C111" s="50" t="s">
        <v>1975</v>
      </c>
      <c r="D111" s="50" t="s">
        <v>1976</v>
      </c>
      <c r="E111" s="50" t="s">
        <v>67</v>
      </c>
      <c r="F111" s="50" t="s">
        <v>1606</v>
      </c>
      <c r="G111" s="50" t="s">
        <v>1977</v>
      </c>
      <c r="H111" s="50" t="s">
        <v>1978</v>
      </c>
    </row>
    <row r="112" ht="15" spans="1:8">
      <c r="A112" s="9">
        <v>18</v>
      </c>
      <c r="B112" s="50" t="s">
        <v>1921</v>
      </c>
      <c r="C112" s="50" t="s">
        <v>67</v>
      </c>
      <c r="D112" s="50" t="s">
        <v>1979</v>
      </c>
      <c r="E112" s="50" t="s">
        <v>1923</v>
      </c>
      <c r="F112" s="50" t="s">
        <v>1980</v>
      </c>
      <c r="G112" s="50" t="s">
        <v>1925</v>
      </c>
      <c r="H112" s="50" t="s">
        <v>251</v>
      </c>
    </row>
    <row r="113" ht="15" spans="1:8">
      <c r="A113" s="9">
        <v>19</v>
      </c>
      <c r="B113" s="50" t="s">
        <v>1931</v>
      </c>
      <c r="C113" s="50" t="s">
        <v>67</v>
      </c>
      <c r="D113" s="50" t="s">
        <v>1981</v>
      </c>
      <c r="E113" s="50" t="s">
        <v>1923</v>
      </c>
      <c r="F113" s="50" t="s">
        <v>1982</v>
      </c>
      <c r="G113" s="50" t="s">
        <v>1933</v>
      </c>
      <c r="H113" s="50" t="s">
        <v>251</v>
      </c>
    </row>
    <row r="114" ht="15" spans="1:8">
      <c r="A114" s="9">
        <v>20</v>
      </c>
      <c r="B114" s="50" t="s">
        <v>1927</v>
      </c>
      <c r="C114" s="50" t="s">
        <v>67</v>
      </c>
      <c r="D114" s="50" t="s">
        <v>1983</v>
      </c>
      <c r="E114" s="50" t="s">
        <v>1923</v>
      </c>
      <c r="F114" s="50" t="s">
        <v>1982</v>
      </c>
      <c r="G114" s="50" t="s">
        <v>1930</v>
      </c>
      <c r="H114" s="50" t="s">
        <v>251</v>
      </c>
    </row>
    <row r="115" ht="30" spans="1:8">
      <c r="A115" s="9">
        <v>21</v>
      </c>
      <c r="B115" s="50" t="s">
        <v>1939</v>
      </c>
      <c r="C115" s="50" t="s">
        <v>1984</v>
      </c>
      <c r="D115" s="50" t="s">
        <v>1985</v>
      </c>
      <c r="E115" s="50" t="s">
        <v>1923</v>
      </c>
      <c r="F115" s="50" t="s">
        <v>1201</v>
      </c>
      <c r="G115" s="50" t="s">
        <v>1986</v>
      </c>
      <c r="H115" s="50" t="s">
        <v>1926</v>
      </c>
    </row>
    <row r="116" ht="30" spans="1:8">
      <c r="A116" s="9">
        <v>22</v>
      </c>
      <c r="B116" s="50" t="s">
        <v>1939</v>
      </c>
      <c r="C116" s="50" t="s">
        <v>1987</v>
      </c>
      <c r="D116" s="50" t="s">
        <v>1988</v>
      </c>
      <c r="E116" s="50" t="s">
        <v>1923</v>
      </c>
      <c r="F116" s="50" t="s">
        <v>1989</v>
      </c>
      <c r="G116" s="50" t="s">
        <v>1986</v>
      </c>
      <c r="H116" s="50" t="s">
        <v>1926</v>
      </c>
    </row>
    <row r="117" ht="30" spans="1:8">
      <c r="A117" s="9">
        <v>23</v>
      </c>
      <c r="B117" s="50" t="s">
        <v>1939</v>
      </c>
      <c r="C117" s="50" t="s">
        <v>1984</v>
      </c>
      <c r="D117" s="50" t="s">
        <v>1990</v>
      </c>
      <c r="E117" s="50" t="s">
        <v>1923</v>
      </c>
      <c r="F117" s="50" t="s">
        <v>1991</v>
      </c>
      <c r="G117" s="50" t="s">
        <v>1986</v>
      </c>
      <c r="H117" s="50" t="s">
        <v>1926</v>
      </c>
    </row>
    <row r="118" ht="30" spans="1:8">
      <c r="A118" s="9">
        <v>24</v>
      </c>
      <c r="B118" s="50" t="s">
        <v>1939</v>
      </c>
      <c r="C118" s="50" t="s">
        <v>1984</v>
      </c>
      <c r="D118" s="50" t="s">
        <v>1992</v>
      </c>
      <c r="E118" s="50" t="s">
        <v>1923</v>
      </c>
      <c r="F118" s="50" t="s">
        <v>1993</v>
      </c>
      <c r="G118" s="50" t="s">
        <v>1986</v>
      </c>
      <c r="H118" s="50" t="s">
        <v>1926</v>
      </c>
    </row>
    <row r="119" ht="30" spans="1:8">
      <c r="A119" s="9">
        <v>25</v>
      </c>
      <c r="B119" s="50" t="s">
        <v>1939</v>
      </c>
      <c r="C119" s="50" t="s">
        <v>1984</v>
      </c>
      <c r="D119" s="50" t="s">
        <v>1994</v>
      </c>
      <c r="E119" s="50" t="s">
        <v>1923</v>
      </c>
      <c r="F119" s="50" t="s">
        <v>1993</v>
      </c>
      <c r="G119" s="50" t="s">
        <v>1986</v>
      </c>
      <c r="H119" s="50" t="s">
        <v>1926</v>
      </c>
    </row>
    <row r="120" ht="30" spans="1:8">
      <c r="A120" s="9">
        <v>26</v>
      </c>
      <c r="B120" s="50" t="s">
        <v>1939</v>
      </c>
      <c r="C120" s="50" t="s">
        <v>1995</v>
      </c>
      <c r="D120" s="50" t="s">
        <v>1996</v>
      </c>
      <c r="E120" s="50" t="s">
        <v>1923</v>
      </c>
      <c r="F120" s="50" t="s">
        <v>1993</v>
      </c>
      <c r="G120" s="50" t="s">
        <v>1986</v>
      </c>
      <c r="H120" s="50" t="s">
        <v>1926</v>
      </c>
    </row>
    <row r="121" ht="30" spans="1:8">
      <c r="A121" s="9">
        <v>27</v>
      </c>
      <c r="B121" s="50" t="s">
        <v>1939</v>
      </c>
      <c r="C121" s="50" t="s">
        <v>1984</v>
      </c>
      <c r="D121" s="50" t="s">
        <v>1997</v>
      </c>
      <c r="E121" s="50" t="s">
        <v>1923</v>
      </c>
      <c r="F121" s="50" t="s">
        <v>1993</v>
      </c>
      <c r="G121" s="50" t="s">
        <v>1986</v>
      </c>
      <c r="H121" s="50" t="s">
        <v>1926</v>
      </c>
    </row>
    <row r="122" ht="30" spans="1:8">
      <c r="A122" s="9">
        <v>28</v>
      </c>
      <c r="B122" s="50" t="s">
        <v>1939</v>
      </c>
      <c r="C122" s="50" t="s">
        <v>1984</v>
      </c>
      <c r="D122" s="50" t="s">
        <v>1998</v>
      </c>
      <c r="E122" s="50" t="s">
        <v>1923</v>
      </c>
      <c r="F122" s="50" t="s">
        <v>1993</v>
      </c>
      <c r="G122" s="50" t="s">
        <v>1986</v>
      </c>
      <c r="H122" s="50" t="s">
        <v>1926</v>
      </c>
    </row>
    <row r="123" ht="30" spans="1:8">
      <c r="A123" s="9">
        <v>29</v>
      </c>
      <c r="B123" s="50" t="s">
        <v>1939</v>
      </c>
      <c r="C123" s="50" t="s">
        <v>1984</v>
      </c>
      <c r="D123" s="50" t="s">
        <v>1999</v>
      </c>
      <c r="E123" s="50" t="s">
        <v>1923</v>
      </c>
      <c r="F123" s="50" t="s">
        <v>1993</v>
      </c>
      <c r="G123" s="50" t="s">
        <v>1986</v>
      </c>
      <c r="H123" s="50" t="s">
        <v>1926</v>
      </c>
    </row>
    <row r="124" ht="30" spans="1:8">
      <c r="A124" s="9">
        <v>30</v>
      </c>
      <c r="B124" s="50" t="s">
        <v>1939</v>
      </c>
      <c r="C124" s="50" t="s">
        <v>1984</v>
      </c>
      <c r="D124" s="50" t="s">
        <v>2000</v>
      </c>
      <c r="E124" s="50" t="s">
        <v>1923</v>
      </c>
      <c r="F124" s="50" t="s">
        <v>1993</v>
      </c>
      <c r="G124" s="50" t="s">
        <v>1986</v>
      </c>
      <c r="H124" s="50" t="s">
        <v>1926</v>
      </c>
    </row>
    <row r="125" ht="30" spans="1:8">
      <c r="A125" s="9">
        <v>31</v>
      </c>
      <c r="B125" s="50" t="s">
        <v>1939</v>
      </c>
      <c r="C125" s="50" t="s">
        <v>1995</v>
      </c>
      <c r="D125" s="50" t="s">
        <v>2001</v>
      </c>
      <c r="E125" s="50" t="s">
        <v>1923</v>
      </c>
      <c r="F125" s="50" t="s">
        <v>1993</v>
      </c>
      <c r="G125" s="50" t="s">
        <v>1986</v>
      </c>
      <c r="H125" s="50" t="s">
        <v>1926</v>
      </c>
    </row>
    <row r="126" ht="30" spans="1:8">
      <c r="A126" s="9">
        <v>32</v>
      </c>
      <c r="B126" s="50" t="s">
        <v>1939</v>
      </c>
      <c r="C126" s="50" t="s">
        <v>1984</v>
      </c>
      <c r="D126" s="50" t="s">
        <v>2002</v>
      </c>
      <c r="E126" s="50" t="s">
        <v>1923</v>
      </c>
      <c r="F126" s="50" t="s">
        <v>1993</v>
      </c>
      <c r="G126" s="50" t="s">
        <v>1986</v>
      </c>
      <c r="H126" s="50" t="s">
        <v>1926</v>
      </c>
    </row>
    <row r="127" ht="30" spans="1:8">
      <c r="A127" s="9">
        <v>33</v>
      </c>
      <c r="B127" s="50" t="s">
        <v>1939</v>
      </c>
      <c r="C127" s="50" t="s">
        <v>1984</v>
      </c>
      <c r="D127" s="50" t="s">
        <v>2003</v>
      </c>
      <c r="E127" s="50" t="s">
        <v>1923</v>
      </c>
      <c r="F127" s="50" t="s">
        <v>2004</v>
      </c>
      <c r="G127" s="50" t="s">
        <v>1986</v>
      </c>
      <c r="H127" s="50" t="s">
        <v>1926</v>
      </c>
    </row>
    <row r="128" ht="30" spans="1:8">
      <c r="A128" s="9">
        <v>34</v>
      </c>
      <c r="B128" s="50" t="s">
        <v>1939</v>
      </c>
      <c r="C128" s="50" t="s">
        <v>1987</v>
      </c>
      <c r="D128" s="50" t="s">
        <v>2005</v>
      </c>
      <c r="E128" s="50" t="s">
        <v>1923</v>
      </c>
      <c r="F128" s="50" t="s">
        <v>2004</v>
      </c>
      <c r="G128" s="50" t="s">
        <v>1986</v>
      </c>
      <c r="H128" s="50" t="s">
        <v>1926</v>
      </c>
    </row>
    <row r="129" ht="30" spans="1:8">
      <c r="A129" s="9">
        <v>35</v>
      </c>
      <c r="B129" s="50" t="s">
        <v>1939</v>
      </c>
      <c r="C129" s="50" t="s">
        <v>2006</v>
      </c>
      <c r="D129" s="50" t="s">
        <v>2007</v>
      </c>
      <c r="E129" s="50" t="s">
        <v>1923</v>
      </c>
      <c r="F129" s="50" t="s">
        <v>2004</v>
      </c>
      <c r="G129" s="50" t="s">
        <v>2008</v>
      </c>
      <c r="H129" s="50" t="s">
        <v>1926</v>
      </c>
    </row>
    <row r="130" ht="30" spans="1:8">
      <c r="A130" s="9">
        <v>36</v>
      </c>
      <c r="B130" s="50" t="s">
        <v>1939</v>
      </c>
      <c r="C130" s="50" t="s">
        <v>1995</v>
      </c>
      <c r="D130" s="50" t="s">
        <v>2009</v>
      </c>
      <c r="E130" s="50" t="s">
        <v>1923</v>
      </c>
      <c r="F130" s="50" t="s">
        <v>2004</v>
      </c>
      <c r="G130" s="50" t="s">
        <v>1986</v>
      </c>
      <c r="H130" s="50" t="s">
        <v>1926</v>
      </c>
    </row>
    <row r="131" ht="30" spans="1:8">
      <c r="A131" s="9">
        <v>37</v>
      </c>
      <c r="B131" s="50" t="s">
        <v>1939</v>
      </c>
      <c r="C131" s="50" t="s">
        <v>1995</v>
      </c>
      <c r="D131" s="50" t="s">
        <v>2010</v>
      </c>
      <c r="E131" s="50" t="s">
        <v>1923</v>
      </c>
      <c r="F131" s="50" t="s">
        <v>2004</v>
      </c>
      <c r="G131" s="50" t="s">
        <v>1986</v>
      </c>
      <c r="H131" s="50" t="s">
        <v>1926</v>
      </c>
    </row>
    <row r="132" ht="30" spans="1:8">
      <c r="A132" s="9">
        <v>38</v>
      </c>
      <c r="B132" s="50" t="s">
        <v>1939</v>
      </c>
      <c r="C132" s="50" t="s">
        <v>1984</v>
      </c>
      <c r="D132" s="50" t="s">
        <v>2011</v>
      </c>
      <c r="E132" s="50" t="s">
        <v>1923</v>
      </c>
      <c r="F132" s="50" t="s">
        <v>2004</v>
      </c>
      <c r="G132" s="50" t="s">
        <v>1986</v>
      </c>
      <c r="H132" s="50" t="s">
        <v>1926</v>
      </c>
    </row>
    <row r="133" ht="30" spans="1:8">
      <c r="A133" s="9">
        <v>39</v>
      </c>
      <c r="B133" s="50" t="s">
        <v>1939</v>
      </c>
      <c r="C133" s="50" t="s">
        <v>1984</v>
      </c>
      <c r="D133" s="50" t="s">
        <v>2012</v>
      </c>
      <c r="E133" s="50" t="s">
        <v>1923</v>
      </c>
      <c r="F133" s="50" t="s">
        <v>2004</v>
      </c>
      <c r="G133" s="50" t="s">
        <v>1986</v>
      </c>
      <c r="H133" s="50" t="s">
        <v>1926</v>
      </c>
    </row>
    <row r="134" ht="30" spans="1:8">
      <c r="A134" s="9">
        <v>40</v>
      </c>
      <c r="B134" s="50" t="s">
        <v>1939</v>
      </c>
      <c r="C134" s="50" t="s">
        <v>2013</v>
      </c>
      <c r="D134" s="50" t="s">
        <v>2014</v>
      </c>
      <c r="E134" s="50" t="s">
        <v>1923</v>
      </c>
      <c r="F134" s="50" t="s">
        <v>2004</v>
      </c>
      <c r="G134" s="50" t="s">
        <v>1986</v>
      </c>
      <c r="H134" s="50" t="s">
        <v>1926</v>
      </c>
    </row>
    <row r="135" ht="30" spans="1:8">
      <c r="A135" s="9">
        <v>41</v>
      </c>
      <c r="B135" s="50" t="s">
        <v>1939</v>
      </c>
      <c r="C135" s="50" t="s">
        <v>1984</v>
      </c>
      <c r="D135" s="50" t="s">
        <v>2015</v>
      </c>
      <c r="E135" s="50" t="s">
        <v>1923</v>
      </c>
      <c r="F135" s="50" t="s">
        <v>2004</v>
      </c>
      <c r="G135" s="50" t="s">
        <v>1986</v>
      </c>
      <c r="H135" s="50" t="s">
        <v>1926</v>
      </c>
    </row>
    <row r="136" ht="30" spans="1:8">
      <c r="A136" s="9">
        <v>42</v>
      </c>
      <c r="B136" s="50" t="s">
        <v>1939</v>
      </c>
      <c r="C136" s="50" t="s">
        <v>1984</v>
      </c>
      <c r="D136" s="50" t="s">
        <v>2016</v>
      </c>
      <c r="E136" s="50" t="s">
        <v>1923</v>
      </c>
      <c r="F136" s="50" t="s">
        <v>2004</v>
      </c>
      <c r="G136" s="50" t="s">
        <v>1986</v>
      </c>
      <c r="H136" s="50" t="s">
        <v>1926</v>
      </c>
    </row>
    <row r="137" ht="30" spans="1:8">
      <c r="A137" s="9">
        <v>43</v>
      </c>
      <c r="B137" s="50" t="s">
        <v>1939</v>
      </c>
      <c r="C137" s="50" t="s">
        <v>1984</v>
      </c>
      <c r="D137" s="50" t="s">
        <v>2017</v>
      </c>
      <c r="E137" s="50" t="s">
        <v>1923</v>
      </c>
      <c r="F137" s="50" t="s">
        <v>2004</v>
      </c>
      <c r="G137" s="50" t="s">
        <v>1986</v>
      </c>
      <c r="H137" s="50" t="s">
        <v>1926</v>
      </c>
    </row>
    <row r="138" ht="30" spans="1:8">
      <c r="A138" s="9">
        <v>44</v>
      </c>
      <c r="B138" s="50" t="s">
        <v>1939</v>
      </c>
      <c r="C138" s="50" t="s">
        <v>1984</v>
      </c>
      <c r="D138" s="50" t="s">
        <v>2018</v>
      </c>
      <c r="E138" s="50" t="s">
        <v>1923</v>
      </c>
      <c r="F138" s="50" t="s">
        <v>2004</v>
      </c>
      <c r="G138" s="50" t="s">
        <v>1986</v>
      </c>
      <c r="H138" s="50" t="s">
        <v>1926</v>
      </c>
    </row>
    <row r="139" ht="30" spans="1:8">
      <c r="A139" s="9">
        <v>45</v>
      </c>
      <c r="B139" s="50" t="s">
        <v>1939</v>
      </c>
      <c r="C139" s="50" t="s">
        <v>1984</v>
      </c>
      <c r="D139" s="50" t="s">
        <v>2019</v>
      </c>
      <c r="E139" s="50" t="s">
        <v>1923</v>
      </c>
      <c r="F139" s="50" t="s">
        <v>2004</v>
      </c>
      <c r="G139" s="50" t="s">
        <v>1986</v>
      </c>
      <c r="H139" s="50" t="s">
        <v>1926</v>
      </c>
    </row>
    <row r="140" ht="30" spans="1:8">
      <c r="A140" s="9">
        <v>46</v>
      </c>
      <c r="B140" s="50" t="s">
        <v>1939</v>
      </c>
      <c r="C140" s="50" t="s">
        <v>1984</v>
      </c>
      <c r="D140" s="50" t="s">
        <v>2020</v>
      </c>
      <c r="E140" s="50" t="s">
        <v>1923</v>
      </c>
      <c r="F140" s="50" t="s">
        <v>2004</v>
      </c>
      <c r="G140" s="50" t="s">
        <v>1986</v>
      </c>
      <c r="H140" s="50" t="s">
        <v>1926</v>
      </c>
    </row>
    <row r="141" ht="15" spans="1:8">
      <c r="A141" s="9">
        <v>47</v>
      </c>
      <c r="B141" s="50" t="s">
        <v>2021</v>
      </c>
      <c r="C141" s="50" t="s">
        <v>67</v>
      </c>
      <c r="D141" s="50" t="s">
        <v>2022</v>
      </c>
      <c r="E141" s="50" t="s">
        <v>67</v>
      </c>
      <c r="F141" s="50" t="s">
        <v>2023</v>
      </c>
      <c r="G141" s="50" t="s">
        <v>2024</v>
      </c>
      <c r="H141" s="50" t="s">
        <v>1926</v>
      </c>
    </row>
    <row r="142" ht="15" spans="1:8">
      <c r="A142" s="9">
        <v>48</v>
      </c>
      <c r="B142" s="50" t="s">
        <v>2021</v>
      </c>
      <c r="C142" s="50" t="s">
        <v>67</v>
      </c>
      <c r="D142" s="50" t="s">
        <v>2025</v>
      </c>
      <c r="E142" s="50" t="s">
        <v>67</v>
      </c>
      <c r="F142" s="50" t="s">
        <v>2023</v>
      </c>
      <c r="G142" s="50" t="s">
        <v>2024</v>
      </c>
      <c r="H142" s="50" t="s">
        <v>1926</v>
      </c>
    </row>
    <row r="143" ht="15" spans="1:8">
      <c r="A143" s="9">
        <v>49</v>
      </c>
      <c r="B143" s="50" t="s">
        <v>2021</v>
      </c>
      <c r="C143" s="50" t="s">
        <v>67</v>
      </c>
      <c r="D143" s="50" t="s">
        <v>2026</v>
      </c>
      <c r="E143" s="50" t="s">
        <v>67</v>
      </c>
      <c r="F143" s="50" t="s">
        <v>2023</v>
      </c>
      <c r="G143" s="50" t="s">
        <v>2024</v>
      </c>
      <c r="H143" s="50" t="s">
        <v>1926</v>
      </c>
    </row>
    <row r="144" ht="15" spans="1:8">
      <c r="A144" s="9">
        <v>50</v>
      </c>
      <c r="B144" s="50" t="s">
        <v>2027</v>
      </c>
      <c r="C144" s="50" t="s">
        <v>67</v>
      </c>
      <c r="D144" s="50" t="s">
        <v>551</v>
      </c>
      <c r="E144" s="50" t="s">
        <v>542</v>
      </c>
      <c r="F144" s="50" t="s">
        <v>548</v>
      </c>
      <c r="G144" s="50" t="s">
        <v>549</v>
      </c>
      <c r="H144" s="50" t="s">
        <v>1926</v>
      </c>
    </row>
    <row r="145" ht="14.5" spans="1:20">
      <c r="A145" s="24" t="str">
        <f>HYPERLINK("https://www.tianyancha.com/company/441970624","打开天眼查，查看更多[资质证书]")</f>
        <v>打开天眼查，查看更多[资质证书]</v>
      </c>
      <c r="B145" s="9"/>
      <c r="C145" s="9"/>
      <c r="D145" s="9"/>
      <c r="E145" s="9"/>
      <c r="F145" s="9"/>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ht="16.25" spans="1:20">
      <c r="A147" s="3" t="s">
        <v>2028</v>
      </c>
      <c r="B147" s="9" t="s">
        <v>2029</v>
      </c>
      <c r="G147" s="2"/>
      <c r="H147" s="2"/>
      <c r="I147" s="2"/>
      <c r="J147" s="2"/>
      <c r="K147" s="2"/>
      <c r="L147" s="2"/>
      <c r="M147" s="2"/>
      <c r="N147" s="2"/>
      <c r="O147" s="2"/>
      <c r="P147" s="2"/>
      <c r="Q147" s="2"/>
      <c r="R147" s="2"/>
      <c r="S147" s="2"/>
      <c r="T147" s="2"/>
    </row>
    <row r="148" ht="17.25" spans="1:20">
      <c r="A148" s="51" t="s">
        <v>46</v>
      </c>
      <c r="B148" s="52" t="s">
        <v>2030</v>
      </c>
      <c r="C148" s="52" t="s">
        <v>1447</v>
      </c>
      <c r="D148" s="52" t="s">
        <v>2031</v>
      </c>
      <c r="E148" s="52" t="s">
        <v>2032</v>
      </c>
      <c r="F148" s="52" t="s">
        <v>2033</v>
      </c>
      <c r="I148" s="2"/>
      <c r="J148" s="2"/>
      <c r="K148" s="2"/>
      <c r="L148" s="2"/>
      <c r="M148" s="2"/>
      <c r="N148" s="2"/>
      <c r="O148" s="2"/>
      <c r="P148" s="2"/>
      <c r="Q148" s="2"/>
      <c r="R148" s="2"/>
      <c r="S148" s="2"/>
      <c r="T148" s="2"/>
    </row>
    <row r="149" spans="1:20">
      <c r="A149" s="9">
        <v>1</v>
      </c>
      <c r="B149" s="9" t="s">
        <v>2034</v>
      </c>
      <c r="C149" s="9" t="s">
        <v>2035</v>
      </c>
      <c r="D149" s="9" t="s">
        <v>2036</v>
      </c>
      <c r="E149" s="9" t="s">
        <v>2</v>
      </c>
      <c r="F149" s="9" t="s">
        <v>67</v>
      </c>
      <c r="G149" s="9"/>
      <c r="H149" s="9"/>
      <c r="I149" s="2"/>
      <c r="J149" s="2"/>
      <c r="K149" s="2"/>
      <c r="L149" s="2"/>
      <c r="M149" s="2"/>
      <c r="N149" s="2"/>
      <c r="O149" s="2"/>
      <c r="P149" s="2"/>
      <c r="Q149" s="2"/>
      <c r="R149" s="2"/>
      <c r="S149" s="2"/>
      <c r="T149" s="2"/>
    </row>
    <row r="150" spans="1:20">
      <c r="A150" s="9">
        <v>2</v>
      </c>
      <c r="B150" s="9" t="s">
        <v>2037</v>
      </c>
      <c r="C150" s="9" t="s">
        <v>2035</v>
      </c>
      <c r="D150" s="9" t="s">
        <v>2038</v>
      </c>
      <c r="E150" s="9" t="s">
        <v>2</v>
      </c>
      <c r="F150" s="9" t="s">
        <v>2039</v>
      </c>
    </row>
    <row r="151" spans="1:20">
      <c r="A151" s="9">
        <v>3</v>
      </c>
      <c r="B151" s="9" t="s">
        <v>2037</v>
      </c>
      <c r="C151" s="9" t="s">
        <v>2035</v>
      </c>
      <c r="D151" s="9" t="s">
        <v>2038</v>
      </c>
      <c r="E151" s="9" t="s">
        <v>2</v>
      </c>
      <c r="F151" s="9" t="s">
        <v>2039</v>
      </c>
    </row>
    <row r="152" spans="1:20">
      <c r="A152" s="9">
        <v>4</v>
      </c>
      <c r="B152" s="9" t="s">
        <v>2040</v>
      </c>
      <c r="C152" s="9" t="s">
        <v>2041</v>
      </c>
      <c r="D152" s="9" t="s">
        <v>2042</v>
      </c>
      <c r="E152" s="9" t="s">
        <v>2</v>
      </c>
      <c r="F152" s="9" t="s">
        <v>2043</v>
      </c>
    </row>
    <row r="153" spans="1:20">
      <c r="A153" s="9">
        <v>5</v>
      </c>
      <c r="B153" s="9" t="s">
        <v>2040</v>
      </c>
      <c r="C153" s="9" t="s">
        <v>2041</v>
      </c>
      <c r="D153" s="9" t="s">
        <v>2042</v>
      </c>
      <c r="E153" s="9" t="s">
        <v>2</v>
      </c>
      <c r="F153" s="9" t="s">
        <v>2043</v>
      </c>
    </row>
    <row r="154" spans="1:20">
      <c r="A154" s="9">
        <v>6</v>
      </c>
      <c r="B154" s="9" t="s">
        <v>2044</v>
      </c>
      <c r="C154" s="9" t="s">
        <v>2045</v>
      </c>
      <c r="D154" s="9" t="s">
        <v>2046</v>
      </c>
      <c r="E154" s="9" t="s">
        <v>2047</v>
      </c>
      <c r="F154" s="9" t="s">
        <v>2048</v>
      </c>
    </row>
    <row r="155" spans="1:20">
      <c r="A155" s="9">
        <v>7</v>
      </c>
      <c r="B155" s="9" t="s">
        <v>2049</v>
      </c>
      <c r="C155" s="9" t="s">
        <v>2045</v>
      </c>
      <c r="D155" s="9" t="s">
        <v>2046</v>
      </c>
      <c r="E155" s="9" t="s">
        <v>2047</v>
      </c>
      <c r="F155" s="9" t="s">
        <v>2048</v>
      </c>
    </row>
    <row r="156" spans="1:20">
      <c r="A156" s="9">
        <v>8</v>
      </c>
      <c r="B156" s="9" t="s">
        <v>2050</v>
      </c>
      <c r="C156" s="9" t="s">
        <v>2051</v>
      </c>
      <c r="D156" s="9" t="s">
        <v>2052</v>
      </c>
      <c r="E156" s="9" t="s">
        <v>67</v>
      </c>
      <c r="F156" s="9" t="s">
        <v>67</v>
      </c>
    </row>
    <row r="157" spans="1:20">
      <c r="A157" s="9">
        <v>9</v>
      </c>
      <c r="B157" s="9" t="s">
        <v>2053</v>
      </c>
      <c r="C157" s="9" t="s">
        <v>2051</v>
      </c>
      <c r="D157" s="9" t="s">
        <v>2054</v>
      </c>
      <c r="E157" s="9" t="s">
        <v>2055</v>
      </c>
      <c r="F157" s="9" t="s">
        <v>2056</v>
      </c>
    </row>
    <row r="158" spans="1:20">
      <c r="A158" s="9">
        <v>10</v>
      </c>
      <c r="B158" s="9" t="s">
        <v>2050</v>
      </c>
      <c r="C158" s="9" t="s">
        <v>2051</v>
      </c>
      <c r="D158" s="9" t="s">
        <v>2052</v>
      </c>
      <c r="E158" s="9" t="s">
        <v>67</v>
      </c>
      <c r="F158" s="9" t="s">
        <v>67</v>
      </c>
    </row>
    <row r="159" spans="1:20">
      <c r="A159" s="9">
        <v>11</v>
      </c>
      <c r="B159" s="9" t="s">
        <v>2057</v>
      </c>
      <c r="C159" s="9" t="s">
        <v>2058</v>
      </c>
      <c r="D159" s="9" t="s">
        <v>2059</v>
      </c>
      <c r="E159" s="9" t="s">
        <v>67</v>
      </c>
      <c r="F159" s="9" t="s">
        <v>67</v>
      </c>
    </row>
    <row r="160" spans="1:20">
      <c r="A160" s="9">
        <v>12</v>
      </c>
      <c r="B160" s="9" t="s">
        <v>2060</v>
      </c>
      <c r="C160" s="9" t="s">
        <v>2061</v>
      </c>
      <c r="D160" s="9" t="s">
        <v>2062</v>
      </c>
      <c r="E160" s="9" t="s">
        <v>2</v>
      </c>
      <c r="F160" s="9" t="s">
        <v>2063</v>
      </c>
    </row>
    <row r="161" spans="1:20">
      <c r="A161" s="9">
        <v>13</v>
      </c>
      <c r="B161" s="9" t="s">
        <v>2064</v>
      </c>
      <c r="C161" s="9" t="s">
        <v>2061</v>
      </c>
      <c r="D161" s="9" t="s">
        <v>2065</v>
      </c>
      <c r="E161" s="9" t="s">
        <v>67</v>
      </c>
      <c r="F161" s="9" t="s">
        <v>67</v>
      </c>
    </row>
    <row r="162" spans="1:20">
      <c r="A162" s="9">
        <v>14</v>
      </c>
      <c r="B162" s="9" t="s">
        <v>2066</v>
      </c>
      <c r="C162" s="9" t="s">
        <v>2067</v>
      </c>
      <c r="D162" s="9" t="s">
        <v>2068</v>
      </c>
      <c r="E162" s="9" t="s">
        <v>2</v>
      </c>
      <c r="F162" s="9" t="s">
        <v>2069</v>
      </c>
    </row>
    <row r="163" spans="1:20">
      <c r="A163" s="9">
        <v>15</v>
      </c>
      <c r="B163" s="9" t="s">
        <v>2070</v>
      </c>
      <c r="C163" s="9" t="s">
        <v>2067</v>
      </c>
      <c r="D163" s="9" t="s">
        <v>2071</v>
      </c>
      <c r="E163" s="9" t="s">
        <v>2</v>
      </c>
      <c r="F163" s="9" t="s">
        <v>2069</v>
      </c>
    </row>
    <row r="164" spans="1:20">
      <c r="A164" s="9">
        <v>16</v>
      </c>
      <c r="B164" s="9" t="s">
        <v>2072</v>
      </c>
      <c r="C164" s="9" t="s">
        <v>2073</v>
      </c>
      <c r="D164" s="9" t="s">
        <v>2</v>
      </c>
      <c r="E164" s="9" t="s">
        <v>67</v>
      </c>
      <c r="F164" s="9" t="s">
        <v>67</v>
      </c>
    </row>
    <row r="165" spans="1:20">
      <c r="A165" s="9">
        <v>17</v>
      </c>
      <c r="B165" s="9" t="s">
        <v>2053</v>
      </c>
      <c r="C165" s="9" t="s">
        <v>2073</v>
      </c>
      <c r="D165" s="9" t="s">
        <v>2054</v>
      </c>
      <c r="E165" s="9" t="s">
        <v>2055</v>
      </c>
      <c r="F165" s="9" t="s">
        <v>2056</v>
      </c>
    </row>
    <row r="166" spans="1:20">
      <c r="A166" s="9">
        <v>18</v>
      </c>
      <c r="B166" s="9" t="s">
        <v>2074</v>
      </c>
      <c r="C166" s="9" t="s">
        <v>2075</v>
      </c>
      <c r="D166" s="9" t="s">
        <v>2071</v>
      </c>
      <c r="E166" s="9" t="s">
        <v>2</v>
      </c>
      <c r="F166" s="9" t="s">
        <v>2069</v>
      </c>
    </row>
    <row r="167" spans="1:20">
      <c r="A167" s="9">
        <v>19</v>
      </c>
      <c r="B167" s="9" t="s">
        <v>2076</v>
      </c>
      <c r="C167" s="9" t="s">
        <v>2075</v>
      </c>
      <c r="D167" s="9" t="s">
        <v>2071</v>
      </c>
      <c r="E167" s="9" t="s">
        <v>2</v>
      </c>
      <c r="F167" s="9" t="s">
        <v>2069</v>
      </c>
    </row>
    <row r="168" spans="1:20">
      <c r="A168" s="9">
        <v>20</v>
      </c>
      <c r="B168" s="9" t="s">
        <v>2077</v>
      </c>
      <c r="C168" s="9" t="s">
        <v>2078</v>
      </c>
      <c r="D168" s="9" t="s">
        <v>2054</v>
      </c>
      <c r="E168" s="9" t="s">
        <v>67</v>
      </c>
      <c r="F168" s="9" t="s">
        <v>67</v>
      </c>
    </row>
    <row r="169" ht="14.5" spans="1:20">
      <c r="A169" s="24" t="str">
        <f>HYPERLINK("https://www.tianyancha.com/company/441970624","打开天眼查，查看更多[招投标]")</f>
        <v>打开天眼查，查看更多[招投标]</v>
      </c>
      <c r="B169" s="9"/>
      <c r="C169" s="9"/>
      <c r="D169" s="9"/>
      <c r="E169" s="9"/>
      <c r="F169" s="9"/>
      <c r="G169" s="9"/>
      <c r="H169" s="9"/>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ht="15.5" spans="1:20">
      <c r="A171" s="3" t="s">
        <v>2079</v>
      </c>
      <c r="B171" s="9" t="s">
        <v>267</v>
      </c>
      <c r="C171" s="2"/>
      <c r="D171" s="2"/>
      <c r="E171" s="2"/>
      <c r="F171" s="2"/>
      <c r="G171" s="2"/>
      <c r="H171" s="2"/>
      <c r="I171" s="2"/>
      <c r="J171" s="2"/>
      <c r="K171" s="2"/>
      <c r="L171" s="2"/>
      <c r="M171" s="2"/>
      <c r="N171" s="2"/>
      <c r="O171" s="2"/>
      <c r="P171" s="2"/>
      <c r="Q171" s="2"/>
      <c r="R171" s="2"/>
      <c r="S171" s="2"/>
      <c r="T171" s="2"/>
    </row>
    <row r="172" ht="15.5" spans="1:20">
      <c r="A172" s="11" t="s">
        <v>46</v>
      </c>
      <c r="B172" s="11" t="s">
        <v>2080</v>
      </c>
      <c r="C172" s="11" t="s">
        <v>2081</v>
      </c>
      <c r="D172" s="11" t="s">
        <v>2082</v>
      </c>
      <c r="E172" s="11" t="s">
        <v>2083</v>
      </c>
      <c r="F172" s="6" t="s">
        <v>2084</v>
      </c>
      <c r="G172" s="2"/>
      <c r="H172" s="2"/>
      <c r="I172" s="2"/>
      <c r="J172" s="2"/>
      <c r="K172" s="2"/>
      <c r="L172" s="2"/>
      <c r="M172" s="2"/>
      <c r="N172" s="2"/>
      <c r="O172" s="2"/>
      <c r="P172" s="2"/>
      <c r="Q172" s="2"/>
      <c r="R172" s="2"/>
      <c r="S172" s="2"/>
      <c r="T172" s="2"/>
    </row>
    <row r="173" spans="1:20">
      <c r="A173" s="9">
        <v>1</v>
      </c>
      <c r="B173" s="9" t="s">
        <v>2085</v>
      </c>
      <c r="C173" s="9" t="s">
        <v>2086</v>
      </c>
      <c r="D173" s="9" t="s">
        <v>67</v>
      </c>
      <c r="E173" s="9" t="s">
        <v>67</v>
      </c>
      <c r="F173" s="9" t="s">
        <v>2087</v>
      </c>
      <c r="G173" s="2"/>
      <c r="H173" s="2"/>
      <c r="I173" s="2"/>
      <c r="J173" s="2"/>
      <c r="K173" s="2"/>
      <c r="L173" s="2"/>
      <c r="M173" s="2"/>
      <c r="N173" s="2"/>
      <c r="O173" s="2"/>
      <c r="P173" s="2"/>
      <c r="Q173" s="2"/>
      <c r="R173" s="2"/>
      <c r="S173" s="2"/>
      <c r="T173" s="2"/>
    </row>
    <row r="174" spans="1:20">
      <c r="A174" s="9" t="s">
        <v>110</v>
      </c>
      <c r="B174" s="9"/>
      <c r="C174" s="9"/>
      <c r="D174" s="9"/>
      <c r="E174" s="9"/>
      <c r="F174" s="9"/>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ht="15.5" spans="1:20">
      <c r="A176" s="3" t="s">
        <v>2088</v>
      </c>
      <c r="B176" s="9" t="s">
        <v>110</v>
      </c>
      <c r="C176" s="2"/>
      <c r="D176" s="2"/>
      <c r="E176" s="2"/>
      <c r="F176" s="2"/>
      <c r="G176" s="2"/>
      <c r="H176" s="2"/>
      <c r="I176" s="2"/>
      <c r="J176" s="2"/>
      <c r="K176" s="2"/>
      <c r="L176" s="2"/>
      <c r="M176" s="2"/>
      <c r="N176" s="2"/>
      <c r="O176" s="2"/>
      <c r="P176" s="2"/>
      <c r="Q176" s="2"/>
      <c r="R176" s="2"/>
      <c r="S176" s="2"/>
      <c r="T176" s="2"/>
    </row>
    <row r="177" spans="1:20">
      <c r="A177" s="9" t="s">
        <v>110</v>
      </c>
      <c r="B177" s="9"/>
      <c r="C177" s="9"/>
      <c r="D177" s="9"/>
      <c r="E177" s="9"/>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ht="15.5" spans="1:20">
      <c r="A179" s="3" t="s">
        <v>2089</v>
      </c>
      <c r="B179" s="9" t="s">
        <v>110</v>
      </c>
      <c r="C179" s="2"/>
      <c r="D179" s="2"/>
      <c r="E179" s="2"/>
      <c r="F179" s="2"/>
      <c r="G179" s="2"/>
      <c r="H179" s="2"/>
      <c r="I179" s="2"/>
      <c r="J179" s="2"/>
      <c r="K179" s="2"/>
      <c r="L179" s="2"/>
      <c r="M179" s="2"/>
      <c r="N179" s="2"/>
      <c r="O179" s="2"/>
      <c r="P179" s="2"/>
      <c r="Q179" s="2"/>
      <c r="R179" s="2"/>
      <c r="S179" s="2"/>
      <c r="T179" s="2"/>
    </row>
    <row r="180" spans="1:20">
      <c r="A180" s="9" t="s">
        <v>110</v>
      </c>
      <c r="B180" s="9"/>
      <c r="C180" s="9"/>
      <c r="D180" s="9"/>
      <c r="E180" s="9"/>
      <c r="F180" s="9"/>
      <c r="G180" s="9"/>
      <c r="H180" s="9"/>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ht="15.5" spans="1:20">
      <c r="A182" s="3" t="s">
        <v>2090</v>
      </c>
      <c r="B182" s="9" t="s">
        <v>110</v>
      </c>
      <c r="C182" s="2"/>
      <c r="D182" s="2"/>
      <c r="E182" s="2"/>
      <c r="F182" s="2"/>
      <c r="G182" s="2"/>
      <c r="H182" s="2"/>
      <c r="I182" s="2"/>
      <c r="J182" s="2"/>
      <c r="K182" s="2"/>
      <c r="L182" s="2"/>
      <c r="M182" s="2"/>
      <c r="N182" s="2"/>
      <c r="O182" s="2"/>
      <c r="P182" s="2"/>
      <c r="Q182" s="2"/>
      <c r="R182" s="2"/>
      <c r="S182" s="2"/>
      <c r="T182" s="2"/>
    </row>
    <row r="183" spans="1:20">
      <c r="A183" s="9" t="s">
        <v>110</v>
      </c>
      <c r="B183" s="9"/>
      <c r="C183" s="9"/>
      <c r="D183" s="9"/>
      <c r="E183" s="9"/>
      <c r="F183" s="9"/>
      <c r="G183" s="9"/>
      <c r="H183" s="9"/>
      <c r="I183" s="2"/>
      <c r="J183" s="2"/>
      <c r="K183" s="2"/>
      <c r="L183" s="2"/>
      <c r="M183" s="2"/>
      <c r="N183" s="2"/>
      <c r="O183" s="2"/>
      <c r="P183" s="2"/>
      <c r="Q183" s="2"/>
      <c r="R183" s="2"/>
      <c r="S183" s="2"/>
      <c r="T183" s="2"/>
    </row>
    <row r="184" ht="15.5" spans="1:20">
      <c r="A184" s="3"/>
      <c r="B184" s="9"/>
      <c r="C184" s="2"/>
      <c r="D184" s="2"/>
      <c r="E184" s="2"/>
      <c r="F184" s="2"/>
      <c r="G184" s="2"/>
      <c r="H184" s="2"/>
      <c r="I184" s="2"/>
      <c r="J184" s="2"/>
      <c r="K184" s="2"/>
      <c r="L184" s="2"/>
      <c r="M184" s="2"/>
      <c r="N184" s="2"/>
      <c r="O184" s="2"/>
      <c r="P184" s="2"/>
      <c r="Q184" s="2"/>
      <c r="R184" s="2"/>
      <c r="S184" s="2"/>
      <c r="T184" s="2"/>
    </row>
    <row r="185" ht="15.5" spans="1:20">
      <c r="A185" s="3" t="s">
        <v>2091</v>
      </c>
      <c r="B185" s="9" t="s">
        <v>267</v>
      </c>
      <c r="C185" s="2"/>
      <c r="D185" s="2"/>
      <c r="E185" s="2"/>
      <c r="F185" s="2"/>
      <c r="G185" s="2"/>
      <c r="H185" s="2"/>
      <c r="I185" s="2"/>
      <c r="J185" s="2"/>
      <c r="K185" s="2"/>
      <c r="L185" s="2"/>
      <c r="M185" s="2"/>
      <c r="N185" s="2"/>
      <c r="O185" s="2"/>
      <c r="P185" s="2"/>
      <c r="Q185" s="2"/>
      <c r="R185" s="2"/>
      <c r="S185" s="2"/>
      <c r="T185" s="2"/>
    </row>
    <row r="186" ht="15.5" spans="1:20">
      <c r="A186" s="11" t="s">
        <v>46</v>
      </c>
      <c r="B186" s="11" t="s">
        <v>2092</v>
      </c>
      <c r="C186" s="11" t="s">
        <v>2093</v>
      </c>
      <c r="D186" s="11" t="s">
        <v>2094</v>
      </c>
      <c r="E186" s="11" t="s">
        <v>2095</v>
      </c>
      <c r="F186" s="11" t="s">
        <v>2096</v>
      </c>
      <c r="G186" s="11" t="s">
        <v>2097</v>
      </c>
      <c r="H186" s="6" t="s">
        <v>2098</v>
      </c>
      <c r="I186" s="2"/>
      <c r="J186" s="2"/>
      <c r="K186" s="2"/>
      <c r="L186" s="2"/>
      <c r="M186" s="2"/>
      <c r="N186" s="2"/>
      <c r="O186" s="2"/>
      <c r="P186" s="2"/>
      <c r="Q186" s="2"/>
      <c r="R186" s="2"/>
      <c r="S186" s="2"/>
      <c r="T186" s="2"/>
    </row>
    <row r="187" spans="1:20">
      <c r="A187" s="9">
        <v>1</v>
      </c>
      <c r="B187" s="9" t="s">
        <v>2099</v>
      </c>
      <c r="C187" s="9" t="s">
        <v>2100</v>
      </c>
      <c r="D187" s="9" t="s">
        <v>2101</v>
      </c>
      <c r="E187" s="9" t="s">
        <v>2102</v>
      </c>
      <c r="F187" s="9" t="s">
        <v>2103</v>
      </c>
      <c r="G187" s="9" t="s">
        <v>2104</v>
      </c>
      <c r="H187" s="9" t="s">
        <v>2105</v>
      </c>
      <c r="I187" s="2"/>
      <c r="J187" s="2"/>
      <c r="K187" s="2"/>
      <c r="L187" s="2"/>
      <c r="M187" s="2"/>
      <c r="N187" s="2"/>
      <c r="O187" s="2"/>
      <c r="P187" s="2"/>
      <c r="Q187" s="2"/>
      <c r="R187" s="2"/>
      <c r="S187" s="2"/>
      <c r="T187" s="2"/>
    </row>
    <row r="188" spans="1:20">
      <c r="A188" s="9" t="s">
        <v>110</v>
      </c>
      <c r="B188" s="9"/>
      <c r="C188" s="9"/>
      <c r="D188" s="9"/>
      <c r="E188" s="9"/>
      <c r="F188" s="9"/>
      <c r="G188" s="9"/>
      <c r="H188" s="9"/>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ht="15.5" spans="1:20">
      <c r="A190" s="3" t="s">
        <v>2106</v>
      </c>
      <c r="B190" s="9" t="s">
        <v>110</v>
      </c>
      <c r="C190" s="2"/>
      <c r="D190" s="2"/>
      <c r="E190" s="2"/>
      <c r="F190" s="2"/>
      <c r="G190" s="2"/>
      <c r="H190" s="2"/>
      <c r="I190" s="2"/>
      <c r="J190" s="2"/>
      <c r="K190" s="2"/>
      <c r="L190" s="2"/>
      <c r="M190" s="2"/>
      <c r="N190" s="2"/>
      <c r="O190" s="2"/>
      <c r="P190" s="2"/>
      <c r="Q190" s="2"/>
      <c r="R190" s="2"/>
      <c r="S190" s="2"/>
      <c r="T190" s="2"/>
    </row>
    <row r="191" spans="1:20">
      <c r="A191" s="9" t="s">
        <v>110</v>
      </c>
      <c r="B191" s="9"/>
      <c r="C191" s="9"/>
      <c r="D191" s="9"/>
      <c r="E191" s="9"/>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ht="15.5" spans="1:20">
      <c r="A193" s="3" t="s">
        <v>2107</v>
      </c>
      <c r="B193" s="9" t="s">
        <v>110</v>
      </c>
      <c r="C193" s="2"/>
      <c r="D193" s="2"/>
      <c r="E193" s="2"/>
      <c r="F193" s="2"/>
      <c r="G193" s="2"/>
      <c r="H193" s="2"/>
      <c r="I193" s="2"/>
      <c r="J193" s="2"/>
      <c r="K193" s="2"/>
      <c r="L193" s="2"/>
      <c r="M193" s="2"/>
      <c r="N193" s="2"/>
      <c r="O193" s="2"/>
      <c r="P193" s="2"/>
      <c r="Q193" s="2"/>
      <c r="R193" s="2"/>
      <c r="S193" s="2"/>
      <c r="T193" s="2"/>
    </row>
    <row r="194" spans="1:20">
      <c r="A194" s="9" t="s">
        <v>110</v>
      </c>
      <c r="B194" s="9"/>
      <c r="C194" s="9"/>
      <c r="D194" s="9"/>
      <c r="E194" s="9"/>
      <c r="F194" s="9"/>
      <c r="G194" s="9"/>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ht="15.5" spans="1:20">
      <c r="A196" s="3" t="s">
        <v>2108</v>
      </c>
      <c r="B196" s="9" t="s">
        <v>267</v>
      </c>
      <c r="C196" s="2"/>
      <c r="D196" s="2"/>
      <c r="E196" s="2"/>
      <c r="F196" s="2"/>
      <c r="G196" s="2"/>
      <c r="H196" s="2"/>
      <c r="I196" s="2"/>
      <c r="J196" s="2"/>
      <c r="K196" s="2"/>
      <c r="L196" s="2"/>
      <c r="M196" s="2"/>
      <c r="N196" s="2"/>
      <c r="O196" s="2"/>
      <c r="P196" s="2"/>
      <c r="Q196" s="2"/>
      <c r="R196" s="2"/>
      <c r="S196" s="2"/>
      <c r="T196" s="2"/>
    </row>
    <row r="197" ht="15.5" spans="1:20">
      <c r="A197" s="11" t="s">
        <v>46</v>
      </c>
      <c r="B197" s="6" t="s">
        <v>1447</v>
      </c>
      <c r="C197" s="11" t="s">
        <v>2109</v>
      </c>
      <c r="D197" s="11" t="s">
        <v>2110</v>
      </c>
      <c r="E197" s="11" t="s">
        <v>2111</v>
      </c>
      <c r="F197" s="11" t="s">
        <v>2112</v>
      </c>
      <c r="G197" s="11" t="s">
        <v>2113</v>
      </c>
      <c r="H197" s="2"/>
      <c r="I197" s="2"/>
      <c r="J197" s="2"/>
      <c r="K197" s="2"/>
      <c r="L197" s="2"/>
      <c r="M197" s="2"/>
      <c r="N197" s="2"/>
      <c r="O197" s="2"/>
      <c r="P197" s="2"/>
      <c r="Q197" s="2"/>
      <c r="R197" s="2"/>
      <c r="S197" s="2"/>
      <c r="T197" s="2"/>
    </row>
    <row r="198" spans="1:20">
      <c r="A198" s="9">
        <v>1</v>
      </c>
      <c r="B198" s="9" t="s">
        <v>2114</v>
      </c>
      <c r="C198" s="9" t="s">
        <v>2115</v>
      </c>
      <c r="D198" s="9" t="s">
        <v>2116</v>
      </c>
      <c r="E198" s="9" t="s">
        <v>2117</v>
      </c>
      <c r="F198" s="9" t="s">
        <v>2118</v>
      </c>
      <c r="G198" s="9" t="s">
        <v>2119</v>
      </c>
      <c r="H198" s="2"/>
      <c r="I198" s="2"/>
      <c r="J198" s="2"/>
      <c r="K198" s="2"/>
      <c r="L198" s="2"/>
      <c r="M198" s="2"/>
      <c r="N198" s="2"/>
      <c r="O198" s="2"/>
      <c r="P198" s="2"/>
      <c r="Q198" s="2"/>
      <c r="R198" s="2"/>
      <c r="S198" s="2"/>
      <c r="T198" s="2"/>
    </row>
    <row r="199" spans="1:20">
      <c r="A199" s="9" t="s">
        <v>110</v>
      </c>
      <c r="B199" s="9"/>
      <c r="C199" s="9"/>
      <c r="D199" s="9"/>
      <c r="E199" s="9"/>
      <c r="F199" s="9"/>
      <c r="G199" s="9"/>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ht="15.5" spans="1:20">
      <c r="A201" s="3" t="s">
        <v>2120</v>
      </c>
      <c r="B201" s="9" t="s">
        <v>110</v>
      </c>
      <c r="C201" s="2"/>
      <c r="D201" s="2"/>
      <c r="E201" s="2"/>
      <c r="F201" s="2"/>
      <c r="G201" s="2"/>
      <c r="H201" s="2"/>
      <c r="I201" s="2"/>
      <c r="J201" s="2"/>
      <c r="K201" s="2"/>
      <c r="L201" s="2"/>
      <c r="M201" s="2"/>
      <c r="N201" s="2"/>
      <c r="O201" s="2"/>
      <c r="P201" s="2"/>
      <c r="Q201" s="2"/>
      <c r="R201" s="2"/>
      <c r="S201" s="2"/>
      <c r="T201" s="2"/>
    </row>
    <row r="202" spans="1:20">
      <c r="A202" s="9" t="s">
        <v>110</v>
      </c>
      <c r="B202" s="9"/>
      <c r="C202" s="9"/>
      <c r="D202" s="9"/>
      <c r="E202" s="9"/>
      <c r="F202" s="9"/>
      <c r="G202" s="9"/>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ht="15.5" spans="1:20">
      <c r="A204" s="3" t="s">
        <v>2121</v>
      </c>
      <c r="B204" s="19" t="s">
        <v>267</v>
      </c>
      <c r="C204" s="2"/>
      <c r="D204" s="2"/>
      <c r="E204" s="2"/>
      <c r="F204" s="2"/>
      <c r="G204" s="2"/>
      <c r="H204" s="2"/>
      <c r="I204" s="2"/>
      <c r="J204" s="2"/>
      <c r="K204" s="2"/>
      <c r="L204" s="2"/>
      <c r="M204" s="2"/>
      <c r="N204" s="2"/>
      <c r="O204" s="2"/>
      <c r="P204" s="2"/>
      <c r="Q204" s="2"/>
      <c r="R204" s="2"/>
      <c r="S204" s="2"/>
      <c r="T204" s="2"/>
    </row>
    <row r="205" ht="15.5" spans="1:20">
      <c r="A205" s="11" t="s">
        <v>46</v>
      </c>
      <c r="B205" s="6" t="s">
        <v>2122</v>
      </c>
      <c r="C205" s="11" t="s">
        <v>2123</v>
      </c>
      <c r="D205" s="11" t="s">
        <v>2124</v>
      </c>
      <c r="E205" s="11" t="s">
        <v>2125</v>
      </c>
      <c r="F205" s="11" t="s">
        <v>2126</v>
      </c>
      <c r="G205" s="2"/>
      <c r="H205" s="2"/>
      <c r="I205" s="2"/>
      <c r="J205" s="2"/>
      <c r="K205" s="2"/>
      <c r="L205" s="2"/>
      <c r="M205" s="2"/>
      <c r="N205" s="2"/>
      <c r="O205" s="2"/>
      <c r="P205" s="2"/>
      <c r="Q205" s="2"/>
      <c r="R205" s="2"/>
      <c r="S205" s="2"/>
      <c r="T205" s="2"/>
    </row>
    <row r="206" spans="1:20">
      <c r="A206" s="9">
        <v>1</v>
      </c>
      <c r="B206" s="9" t="s">
        <v>67</v>
      </c>
      <c r="C206" s="9" t="s">
        <v>2127</v>
      </c>
      <c r="D206" s="9" t="s">
        <v>2128</v>
      </c>
      <c r="E206" s="9" t="s">
        <v>2129</v>
      </c>
      <c r="F206" s="9" t="s">
        <v>2130</v>
      </c>
      <c r="G206" s="2"/>
      <c r="H206" s="2"/>
      <c r="I206" s="2"/>
      <c r="J206" s="2"/>
      <c r="K206" s="2"/>
      <c r="L206" s="2"/>
      <c r="M206" s="2"/>
      <c r="N206" s="2"/>
      <c r="O206" s="2"/>
      <c r="P206" s="2"/>
      <c r="Q206" s="2"/>
      <c r="R206" s="2"/>
      <c r="S206" s="2"/>
      <c r="T206" s="2"/>
    </row>
    <row r="207" spans="1:20">
      <c r="A207" s="19" t="s">
        <v>110</v>
      </c>
      <c r="B207" s="9"/>
      <c r="C207" s="9"/>
      <c r="D207" s="9"/>
      <c r="E207" s="9"/>
      <c r="F207" s="9"/>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ht="15.5" spans="1:20">
      <c r="A209" s="3" t="s">
        <v>2131</v>
      </c>
      <c r="B209" s="9" t="s">
        <v>110</v>
      </c>
      <c r="C209" s="2"/>
      <c r="D209" s="2"/>
      <c r="E209" s="2"/>
      <c r="F209" s="2"/>
      <c r="G209" s="2"/>
      <c r="H209" s="2"/>
      <c r="I209" s="2"/>
      <c r="J209" s="2"/>
      <c r="K209" s="2"/>
      <c r="L209" s="2"/>
      <c r="M209" s="2"/>
      <c r="N209" s="2"/>
      <c r="O209" s="2"/>
      <c r="P209" s="2"/>
      <c r="Q209" s="2"/>
      <c r="R209" s="2"/>
      <c r="S209" s="2"/>
      <c r="T209" s="2"/>
    </row>
    <row r="210" spans="1:20">
      <c r="A210" s="9" t="s">
        <v>110</v>
      </c>
      <c r="B210" s="9"/>
      <c r="C210" s="9"/>
      <c r="D210" s="9"/>
      <c r="E210" s="9"/>
      <c r="F210" s="9"/>
      <c r="G210" s="9"/>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ht="15.5" spans="1:20">
      <c r="A212" s="3" t="s">
        <v>2132</v>
      </c>
      <c r="B212" s="9" t="s">
        <v>267</v>
      </c>
      <c r="C212" s="2"/>
      <c r="D212" s="2"/>
      <c r="E212" s="2"/>
      <c r="F212" s="2"/>
      <c r="G212" s="2"/>
      <c r="H212" s="2"/>
      <c r="I212" s="2"/>
      <c r="J212" s="2"/>
      <c r="K212" s="2"/>
      <c r="L212" s="2"/>
      <c r="M212" s="2"/>
      <c r="N212" s="2"/>
      <c r="O212" s="2"/>
      <c r="P212" s="2"/>
      <c r="Q212" s="2"/>
      <c r="R212" s="2"/>
      <c r="S212" s="2"/>
      <c r="T212" s="2"/>
    </row>
    <row r="213" ht="15.5" spans="1:20">
      <c r="A213" s="11" t="s">
        <v>46</v>
      </c>
      <c r="B213" s="11" t="s">
        <v>2133</v>
      </c>
      <c r="C213" s="11" t="s">
        <v>2112</v>
      </c>
      <c r="D213" s="11" t="s">
        <v>2134</v>
      </c>
      <c r="E213" s="11" t="s">
        <v>2110</v>
      </c>
      <c r="F213" s="11" t="s">
        <v>2135</v>
      </c>
      <c r="G213" s="6" t="s">
        <v>2136</v>
      </c>
      <c r="H213" s="2"/>
      <c r="I213" s="2"/>
      <c r="J213" s="2"/>
      <c r="K213" s="2"/>
      <c r="L213" s="2"/>
      <c r="M213" s="2"/>
      <c r="N213" s="2"/>
      <c r="O213" s="2"/>
      <c r="P213" s="2"/>
      <c r="Q213" s="2"/>
      <c r="R213" s="2"/>
      <c r="S213" s="2"/>
      <c r="T213" s="2"/>
    </row>
    <row r="214" spans="1:20">
      <c r="A214" s="9">
        <v>1</v>
      </c>
      <c r="B214" s="9" t="s">
        <v>2137</v>
      </c>
      <c r="C214" s="9" t="s">
        <v>2118</v>
      </c>
      <c r="D214" s="9" t="s">
        <v>2138</v>
      </c>
      <c r="E214" s="9" t="s">
        <v>2139</v>
      </c>
      <c r="F214" s="9" t="s">
        <v>2140</v>
      </c>
      <c r="G214" s="9" t="s">
        <v>2141</v>
      </c>
      <c r="H214" s="2"/>
      <c r="I214" s="2"/>
      <c r="J214" s="2"/>
      <c r="K214" s="2"/>
      <c r="L214" s="2"/>
      <c r="M214" s="2"/>
      <c r="N214" s="2"/>
      <c r="O214" s="2"/>
      <c r="P214" s="2"/>
      <c r="Q214" s="2"/>
      <c r="R214" s="2"/>
      <c r="S214" s="2"/>
      <c r="T214" s="2"/>
    </row>
    <row r="215" spans="1:20">
      <c r="A215" s="9" t="s">
        <v>110</v>
      </c>
      <c r="B215" s="9"/>
      <c r="C215" s="9"/>
      <c r="D215" s="9"/>
      <c r="E215" s="9"/>
      <c r="F215" s="9"/>
      <c r="G215" s="9"/>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ht="15.5" spans="1:20">
      <c r="A217" s="3" t="s">
        <v>2142</v>
      </c>
      <c r="B217" s="9" t="s">
        <v>110</v>
      </c>
      <c r="C217" s="2"/>
      <c r="D217" s="2"/>
      <c r="E217" s="2"/>
      <c r="F217" s="2"/>
      <c r="G217" s="2"/>
      <c r="H217" s="2"/>
      <c r="I217" s="2"/>
      <c r="J217" s="2"/>
      <c r="K217" s="2"/>
      <c r="L217" s="2"/>
      <c r="M217" s="2"/>
      <c r="N217" s="2"/>
      <c r="O217" s="2"/>
      <c r="P217" s="2"/>
      <c r="Q217" s="2"/>
      <c r="R217" s="2"/>
      <c r="S217" s="2"/>
      <c r="T217" s="2"/>
    </row>
    <row r="218" spans="1:20">
      <c r="A218" s="9" t="s">
        <v>110</v>
      </c>
      <c r="B218" s="9"/>
      <c r="C218" s="9"/>
      <c r="D218" s="9"/>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ht="15.5" spans="1:20">
      <c r="A220" s="3" t="s">
        <v>2143</v>
      </c>
      <c r="B220" s="9" t="s">
        <v>2144</v>
      </c>
      <c r="C220" s="2"/>
      <c r="D220" s="2"/>
      <c r="E220" s="2"/>
      <c r="F220" s="2"/>
      <c r="G220" s="2"/>
      <c r="H220" s="2"/>
      <c r="I220" s="2"/>
      <c r="J220" s="2"/>
      <c r="K220" s="2"/>
      <c r="L220" s="2"/>
      <c r="M220" s="2"/>
      <c r="N220" s="2"/>
      <c r="O220" s="2"/>
      <c r="P220" s="2"/>
      <c r="Q220" s="2"/>
      <c r="R220" s="2"/>
      <c r="S220" s="2"/>
      <c r="T220" s="2"/>
    </row>
    <row r="221" ht="15.5" spans="1:20">
      <c r="A221" s="11" t="s">
        <v>46</v>
      </c>
      <c r="B221" s="11" t="s">
        <v>2143</v>
      </c>
      <c r="C221" s="11" t="s">
        <v>2145</v>
      </c>
      <c r="D221" s="11" t="s">
        <v>2146</v>
      </c>
      <c r="E221" s="6" t="s">
        <v>2147</v>
      </c>
      <c r="F221" s="11" t="s">
        <v>2148</v>
      </c>
      <c r="G221" s="11" t="s">
        <v>2149</v>
      </c>
      <c r="H221" s="2"/>
      <c r="I221" s="2"/>
      <c r="J221" s="2"/>
      <c r="K221" s="2"/>
      <c r="L221" s="2"/>
      <c r="M221" s="2"/>
      <c r="N221" s="2"/>
      <c r="O221" s="2"/>
      <c r="P221" s="2"/>
      <c r="Q221" s="2"/>
      <c r="R221" s="2"/>
      <c r="S221" s="2"/>
      <c r="T221" s="2"/>
    </row>
    <row r="222" spans="1:20">
      <c r="A222" s="9">
        <v>1</v>
      </c>
      <c r="B222" s="9" t="s">
        <v>2150</v>
      </c>
      <c r="C222" s="9" t="s">
        <v>67</v>
      </c>
      <c r="D222" s="9" t="s">
        <v>2151</v>
      </c>
      <c r="E222" s="9" t="s">
        <v>2152</v>
      </c>
      <c r="F222" s="9" t="s">
        <v>2153</v>
      </c>
      <c r="G222" s="9" t="s">
        <v>67</v>
      </c>
      <c r="H222" s="2"/>
      <c r="I222" s="2"/>
      <c r="J222" s="2"/>
      <c r="K222" s="2"/>
      <c r="L222" s="2"/>
      <c r="M222" s="2"/>
      <c r="N222" s="2"/>
      <c r="O222" s="2"/>
      <c r="P222" s="2"/>
      <c r="Q222" s="2"/>
      <c r="R222" s="2"/>
      <c r="S222" s="2"/>
      <c r="T222" s="2"/>
    </row>
    <row r="223" spans="1:20">
      <c r="A223" s="9">
        <v>2</v>
      </c>
      <c r="B223" s="9" t="s">
        <v>2154</v>
      </c>
      <c r="C223" s="9" t="s">
        <v>67</v>
      </c>
      <c r="D223" s="9" t="s">
        <v>2155</v>
      </c>
      <c r="E223" s="9" t="s">
        <v>2156</v>
      </c>
      <c r="F223" s="9" t="s">
        <v>2157</v>
      </c>
      <c r="G223" s="9" t="s">
        <v>67</v>
      </c>
    </row>
    <row r="224" spans="1:20">
      <c r="A224" s="9">
        <v>3</v>
      </c>
      <c r="B224" s="9" t="s">
        <v>2158</v>
      </c>
      <c r="C224" s="9" t="s">
        <v>67</v>
      </c>
      <c r="D224" s="9" t="s">
        <v>2159</v>
      </c>
      <c r="E224" s="9" t="s">
        <v>2160</v>
      </c>
      <c r="F224" s="9" t="s">
        <v>2157</v>
      </c>
      <c r="G224" s="9" t="s">
        <v>2161</v>
      </c>
    </row>
    <row r="225" spans="1:7">
      <c r="A225" s="9">
        <v>4</v>
      </c>
      <c r="B225" s="9" t="s">
        <v>2162</v>
      </c>
      <c r="C225" s="9" t="s">
        <v>67</v>
      </c>
      <c r="D225" s="9" t="s">
        <v>67</v>
      </c>
      <c r="E225" s="9" t="s">
        <v>1461</v>
      </c>
      <c r="F225" s="9" t="s">
        <v>2163</v>
      </c>
      <c r="G225" s="9" t="s">
        <v>67</v>
      </c>
    </row>
    <row r="226" spans="1:7">
      <c r="A226" s="9">
        <v>5</v>
      </c>
      <c r="B226" s="9" t="s">
        <v>2164</v>
      </c>
      <c r="C226" s="9" t="s">
        <v>67</v>
      </c>
      <c r="D226" s="9" t="s">
        <v>67</v>
      </c>
      <c r="E226" s="9" t="s">
        <v>2165</v>
      </c>
      <c r="F226" s="9" t="s">
        <v>2153</v>
      </c>
      <c r="G226" s="9" t="s">
        <v>67</v>
      </c>
    </row>
    <row r="227" spans="1:7">
      <c r="A227" s="9">
        <v>6</v>
      </c>
      <c r="B227" s="9" t="s">
        <v>2166</v>
      </c>
      <c r="C227" s="9" t="s">
        <v>67</v>
      </c>
      <c r="D227" s="9" t="s">
        <v>67</v>
      </c>
      <c r="E227" s="9" t="s">
        <v>2167</v>
      </c>
      <c r="F227" s="9" t="s">
        <v>2163</v>
      </c>
      <c r="G227" s="9" t="s">
        <v>67</v>
      </c>
    </row>
    <row r="228" spans="1:7">
      <c r="A228" s="9">
        <v>7</v>
      </c>
      <c r="B228" s="9" t="s">
        <v>2168</v>
      </c>
      <c r="C228" s="9" t="s">
        <v>2169</v>
      </c>
      <c r="D228" s="9" t="s">
        <v>2170</v>
      </c>
      <c r="E228" s="9" t="s">
        <v>2171</v>
      </c>
      <c r="F228" s="9" t="s">
        <v>2157</v>
      </c>
      <c r="G228" s="9" t="s">
        <v>67</v>
      </c>
    </row>
    <row r="229" spans="1:7">
      <c r="A229" s="9">
        <v>8</v>
      </c>
      <c r="B229" s="9" t="s">
        <v>2172</v>
      </c>
      <c r="C229" s="9" t="s">
        <v>2173</v>
      </c>
      <c r="D229" s="9" t="s">
        <v>2174</v>
      </c>
      <c r="E229" s="9" t="s">
        <v>2175</v>
      </c>
      <c r="F229" s="9" t="s">
        <v>2157</v>
      </c>
      <c r="G229" s="9" t="s">
        <v>2176</v>
      </c>
    </row>
    <row r="230" spans="1:7">
      <c r="A230" s="9">
        <v>9</v>
      </c>
      <c r="B230" s="9" t="s">
        <v>2177</v>
      </c>
      <c r="C230" s="9" t="s">
        <v>67</v>
      </c>
      <c r="D230" s="9" t="s">
        <v>67</v>
      </c>
      <c r="E230" s="9" t="s">
        <v>2178</v>
      </c>
      <c r="F230" s="9" t="s">
        <v>2163</v>
      </c>
      <c r="G230" s="9" t="s">
        <v>67</v>
      </c>
    </row>
    <row r="231" spans="1:7">
      <c r="A231" s="9">
        <v>10</v>
      </c>
      <c r="B231" s="9" t="s">
        <v>2179</v>
      </c>
      <c r="C231" s="9" t="s">
        <v>2180</v>
      </c>
      <c r="D231" s="9" t="s">
        <v>2181</v>
      </c>
      <c r="E231" s="9" t="s">
        <v>2182</v>
      </c>
      <c r="F231" s="9" t="s">
        <v>2157</v>
      </c>
      <c r="G231" s="9" t="s">
        <v>2176</v>
      </c>
    </row>
    <row r="232" spans="1:7">
      <c r="A232" s="9">
        <v>11</v>
      </c>
      <c r="B232" s="9" t="s">
        <v>2183</v>
      </c>
      <c r="C232" s="9" t="s">
        <v>2184</v>
      </c>
      <c r="D232" s="9" t="s">
        <v>2185</v>
      </c>
      <c r="E232" s="9" t="s">
        <v>2186</v>
      </c>
      <c r="F232" s="9" t="s">
        <v>2157</v>
      </c>
      <c r="G232" s="9" t="s">
        <v>2176</v>
      </c>
    </row>
    <row r="233" spans="1:7">
      <c r="A233" s="9">
        <v>12</v>
      </c>
      <c r="B233" s="9" t="s">
        <v>2187</v>
      </c>
      <c r="C233" s="9" t="s">
        <v>2188</v>
      </c>
      <c r="D233" s="9" t="s">
        <v>2189</v>
      </c>
      <c r="E233" s="9" t="s">
        <v>2190</v>
      </c>
      <c r="F233" s="9" t="s">
        <v>2157</v>
      </c>
      <c r="G233" s="9" t="s">
        <v>2176</v>
      </c>
    </row>
    <row r="234" spans="1:7">
      <c r="A234" s="9">
        <v>13</v>
      </c>
      <c r="B234" s="9" t="s">
        <v>2191</v>
      </c>
      <c r="C234" s="9" t="s">
        <v>2192</v>
      </c>
      <c r="D234" s="9" t="s">
        <v>2193</v>
      </c>
      <c r="E234" s="9" t="s">
        <v>2194</v>
      </c>
      <c r="F234" s="9" t="s">
        <v>2195</v>
      </c>
      <c r="G234" s="9" t="s">
        <v>67</v>
      </c>
    </row>
    <row r="235" spans="1:7">
      <c r="A235" s="9">
        <v>14</v>
      </c>
      <c r="B235" s="9" t="s">
        <v>2196</v>
      </c>
      <c r="C235" s="9" t="s">
        <v>2197</v>
      </c>
      <c r="D235" s="9" t="s">
        <v>2198</v>
      </c>
      <c r="E235" s="9" t="s">
        <v>2194</v>
      </c>
      <c r="F235" s="9" t="s">
        <v>2195</v>
      </c>
      <c r="G235" s="9" t="s">
        <v>67</v>
      </c>
    </row>
    <row r="236" spans="1:7">
      <c r="A236" s="9">
        <v>15</v>
      </c>
      <c r="B236" s="9" t="s">
        <v>2199</v>
      </c>
      <c r="C236" s="9" t="s">
        <v>2200</v>
      </c>
      <c r="D236" s="9" t="s">
        <v>2201</v>
      </c>
      <c r="E236" s="9" t="s">
        <v>2194</v>
      </c>
      <c r="F236" s="9" t="s">
        <v>2195</v>
      </c>
      <c r="G236" s="9" t="s">
        <v>67</v>
      </c>
    </row>
    <row r="237" spans="1:7">
      <c r="A237" s="9">
        <v>16</v>
      </c>
      <c r="B237" s="9" t="s">
        <v>2202</v>
      </c>
      <c r="C237" s="9" t="s">
        <v>2203</v>
      </c>
      <c r="D237" s="9" t="s">
        <v>2204</v>
      </c>
      <c r="E237" s="9" t="s">
        <v>2194</v>
      </c>
      <c r="F237" s="9" t="s">
        <v>2195</v>
      </c>
      <c r="G237" s="9" t="s">
        <v>67</v>
      </c>
    </row>
    <row r="238" spans="1:7">
      <c r="A238" s="9">
        <v>17</v>
      </c>
      <c r="B238" s="9" t="s">
        <v>2205</v>
      </c>
      <c r="C238" s="9" t="s">
        <v>2206</v>
      </c>
      <c r="D238" s="9" t="s">
        <v>2207</v>
      </c>
      <c r="E238" s="9" t="s">
        <v>2194</v>
      </c>
      <c r="F238" s="9" t="s">
        <v>2195</v>
      </c>
      <c r="G238" s="9" t="s">
        <v>67</v>
      </c>
    </row>
    <row r="239" spans="1:7">
      <c r="A239" s="9">
        <v>18</v>
      </c>
      <c r="B239" s="9" t="s">
        <v>2208</v>
      </c>
      <c r="C239" s="9" t="s">
        <v>2209</v>
      </c>
      <c r="D239" s="9" t="s">
        <v>2210</v>
      </c>
      <c r="E239" s="9" t="s">
        <v>2194</v>
      </c>
      <c r="F239" s="9" t="s">
        <v>2195</v>
      </c>
      <c r="G239" s="9" t="s">
        <v>67</v>
      </c>
    </row>
    <row r="240" spans="1:7">
      <c r="A240" s="9">
        <v>19</v>
      </c>
      <c r="B240" s="9" t="s">
        <v>2211</v>
      </c>
      <c r="C240" s="9" t="s">
        <v>2212</v>
      </c>
      <c r="D240" s="9" t="s">
        <v>2213</v>
      </c>
      <c r="E240" s="9" t="s">
        <v>2194</v>
      </c>
      <c r="F240" s="9" t="s">
        <v>2195</v>
      </c>
      <c r="G240" s="9" t="s">
        <v>67</v>
      </c>
    </row>
    <row r="241" spans="1:20">
      <c r="A241" s="9">
        <v>20</v>
      </c>
      <c r="B241" s="9" t="s">
        <v>2214</v>
      </c>
      <c r="C241" s="9" t="s">
        <v>2215</v>
      </c>
      <c r="D241" s="9" t="s">
        <v>2216</v>
      </c>
      <c r="E241" s="9" t="s">
        <v>2194</v>
      </c>
      <c r="F241" s="9" t="s">
        <v>2195</v>
      </c>
      <c r="G241" s="9" t="s">
        <v>67</v>
      </c>
    </row>
    <row r="242" ht="14.5" spans="1:20">
      <c r="A242" s="24" t="str">
        <f>HYPERLINK("https://www.tianyancha.com/company/441970624","打开天眼查，查看更多[供应商]")</f>
        <v>打开天眼查，查看更多[供应商]</v>
      </c>
      <c r="B242" s="9"/>
      <c r="C242" s="9"/>
      <c r="D242" s="9"/>
      <c r="E242" s="9"/>
      <c r="F242" s="9"/>
      <c r="G242" s="9"/>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ht="15.5" spans="1:20">
      <c r="A244" s="3" t="s">
        <v>2217</v>
      </c>
      <c r="B244" s="9" t="s">
        <v>2218</v>
      </c>
      <c r="C244" s="2"/>
      <c r="D244" s="2"/>
      <c r="E244" s="2"/>
      <c r="F244" s="2"/>
      <c r="G244" s="2"/>
      <c r="H244" s="2"/>
      <c r="I244" s="2"/>
      <c r="J244" s="2"/>
      <c r="K244" s="2"/>
      <c r="L244" s="2"/>
      <c r="M244" s="2"/>
      <c r="N244" s="2"/>
      <c r="O244" s="2"/>
      <c r="P244" s="2"/>
      <c r="Q244" s="2"/>
      <c r="R244" s="2"/>
      <c r="S244" s="2"/>
      <c r="T244" s="2"/>
    </row>
    <row r="245" ht="15.5" spans="1:20">
      <c r="A245" s="11" t="s">
        <v>46</v>
      </c>
      <c r="B245" s="11" t="s">
        <v>2217</v>
      </c>
      <c r="C245" s="11" t="s">
        <v>2219</v>
      </c>
      <c r="D245" s="11" t="s">
        <v>2220</v>
      </c>
      <c r="E245" s="6" t="s">
        <v>2147</v>
      </c>
      <c r="F245" s="11" t="s">
        <v>2148</v>
      </c>
      <c r="G245" s="11" t="s">
        <v>2149</v>
      </c>
      <c r="H245" s="2"/>
      <c r="I245" s="2"/>
      <c r="J245" s="2"/>
      <c r="K245" s="2"/>
      <c r="L245" s="2"/>
      <c r="M245" s="2"/>
      <c r="N245" s="2"/>
      <c r="O245" s="2"/>
      <c r="P245" s="2"/>
      <c r="Q245" s="2"/>
      <c r="R245" s="2"/>
      <c r="S245" s="2"/>
      <c r="T245" s="2"/>
    </row>
    <row r="246" spans="1:20">
      <c r="A246" s="9">
        <v>1</v>
      </c>
      <c r="B246" s="9" t="s">
        <v>2038</v>
      </c>
      <c r="C246" s="9" t="s">
        <v>67</v>
      </c>
      <c r="D246" s="9" t="s">
        <v>2221</v>
      </c>
      <c r="E246" s="9" t="s">
        <v>2035</v>
      </c>
      <c r="F246" s="9" t="s">
        <v>2153</v>
      </c>
      <c r="G246" s="9" t="s">
        <v>67</v>
      </c>
      <c r="H246" s="2"/>
      <c r="I246" s="2"/>
      <c r="J246" s="2"/>
      <c r="K246" s="2"/>
      <c r="L246" s="2"/>
      <c r="M246" s="2"/>
      <c r="N246" s="2"/>
      <c r="O246" s="2"/>
      <c r="P246" s="2"/>
      <c r="Q246" s="2"/>
      <c r="R246" s="2"/>
      <c r="S246" s="2"/>
      <c r="T246" s="2"/>
    </row>
    <row r="247" spans="1:20">
      <c r="A247" s="9">
        <v>2</v>
      </c>
      <c r="B247" s="9" t="s">
        <v>2036</v>
      </c>
      <c r="C247" s="9" t="s">
        <v>67</v>
      </c>
      <c r="D247" s="9" t="s">
        <v>67</v>
      </c>
      <c r="E247" s="9" t="s">
        <v>2035</v>
      </c>
      <c r="F247" s="9" t="s">
        <v>2153</v>
      </c>
      <c r="G247" s="9" t="s">
        <v>67</v>
      </c>
    </row>
    <row r="248" spans="1:20">
      <c r="A248" s="9">
        <v>3</v>
      </c>
      <c r="B248" s="9" t="s">
        <v>2042</v>
      </c>
      <c r="C248" s="9" t="s">
        <v>67</v>
      </c>
      <c r="D248" s="9" t="s">
        <v>2043</v>
      </c>
      <c r="E248" s="9" t="s">
        <v>2041</v>
      </c>
      <c r="F248" s="9" t="s">
        <v>2153</v>
      </c>
      <c r="G248" s="9" t="s">
        <v>67</v>
      </c>
    </row>
    <row r="249" spans="1:20">
      <c r="A249" s="9">
        <v>4</v>
      </c>
      <c r="B249" s="9" t="s">
        <v>2062</v>
      </c>
      <c r="C249" s="9" t="s">
        <v>67</v>
      </c>
      <c r="D249" s="9" t="s">
        <v>2222</v>
      </c>
      <c r="E249" s="9" t="s">
        <v>2061</v>
      </c>
      <c r="F249" s="9" t="s">
        <v>2153</v>
      </c>
      <c r="G249" s="9" t="s">
        <v>67</v>
      </c>
    </row>
    <row r="250" spans="1:20">
      <c r="A250" s="9">
        <v>5</v>
      </c>
      <c r="B250" s="9" t="s">
        <v>2071</v>
      </c>
      <c r="C250" s="9" t="s">
        <v>67</v>
      </c>
      <c r="D250" s="9" t="s">
        <v>67</v>
      </c>
      <c r="E250" s="9" t="s">
        <v>2067</v>
      </c>
      <c r="F250" s="9" t="s">
        <v>2153</v>
      </c>
      <c r="G250" s="9" t="s">
        <v>67</v>
      </c>
    </row>
    <row r="251" spans="1:20">
      <c r="A251" s="9">
        <v>6</v>
      </c>
      <c r="B251" s="9" t="s">
        <v>2223</v>
      </c>
      <c r="C251" s="9" t="s">
        <v>67</v>
      </c>
      <c r="D251" s="9" t="s">
        <v>67</v>
      </c>
      <c r="E251" s="9" t="s">
        <v>2224</v>
      </c>
      <c r="F251" s="9" t="s">
        <v>2153</v>
      </c>
      <c r="G251" s="9" t="s">
        <v>67</v>
      </c>
    </row>
    <row r="252" spans="1:20">
      <c r="A252" s="9">
        <v>7</v>
      </c>
      <c r="B252" s="9" t="s">
        <v>2225</v>
      </c>
      <c r="C252" s="9" t="s">
        <v>67</v>
      </c>
      <c r="D252" s="9" t="s">
        <v>67</v>
      </c>
      <c r="E252" s="9" t="s">
        <v>2224</v>
      </c>
      <c r="F252" s="9" t="s">
        <v>2153</v>
      </c>
      <c r="G252" s="9" t="s">
        <v>67</v>
      </c>
    </row>
    <row r="253" spans="1:20">
      <c r="A253" s="9">
        <v>8</v>
      </c>
      <c r="B253" s="9" t="s">
        <v>2226</v>
      </c>
      <c r="C253" s="9" t="s">
        <v>67</v>
      </c>
      <c r="D253" s="9" t="s">
        <v>2227</v>
      </c>
      <c r="E253" s="9" t="s">
        <v>1081</v>
      </c>
      <c r="F253" s="9" t="s">
        <v>2153</v>
      </c>
      <c r="G253" s="9" t="s">
        <v>67</v>
      </c>
    </row>
    <row r="254" spans="1:20">
      <c r="A254" s="9">
        <v>9</v>
      </c>
      <c r="B254" s="9" t="s">
        <v>2228</v>
      </c>
      <c r="C254" s="9" t="s">
        <v>67</v>
      </c>
      <c r="D254" s="9" t="s">
        <v>2229</v>
      </c>
      <c r="E254" s="9" t="s">
        <v>2230</v>
      </c>
      <c r="F254" s="9" t="s">
        <v>2153</v>
      </c>
      <c r="G254" s="9" t="s">
        <v>67</v>
      </c>
    </row>
    <row r="255" spans="1:20">
      <c r="A255" s="9">
        <v>10</v>
      </c>
      <c r="B255" s="9" t="s">
        <v>2231</v>
      </c>
      <c r="C255" s="9" t="s">
        <v>67</v>
      </c>
      <c r="D255" s="9" t="s">
        <v>2232</v>
      </c>
      <c r="E255" s="9" t="s">
        <v>2233</v>
      </c>
      <c r="F255" s="9" t="s">
        <v>2153</v>
      </c>
      <c r="G255" s="9" t="s">
        <v>67</v>
      </c>
    </row>
    <row r="256" spans="1:20">
      <c r="A256" s="9">
        <v>11</v>
      </c>
      <c r="B256" s="9" t="s">
        <v>2234</v>
      </c>
      <c r="C256" s="9" t="s">
        <v>67</v>
      </c>
      <c r="D256" s="9" t="s">
        <v>67</v>
      </c>
      <c r="E256" s="9" t="s">
        <v>2235</v>
      </c>
      <c r="F256" s="9" t="s">
        <v>2153</v>
      </c>
      <c r="G256" s="9" t="s">
        <v>67</v>
      </c>
    </row>
    <row r="257" spans="1:7">
      <c r="A257" s="9">
        <v>12</v>
      </c>
      <c r="B257" s="9" t="s">
        <v>2236</v>
      </c>
      <c r="C257" s="9" t="s">
        <v>67</v>
      </c>
      <c r="D257" s="9" t="s">
        <v>67</v>
      </c>
      <c r="E257" s="9" t="s">
        <v>1740</v>
      </c>
      <c r="F257" s="9" t="s">
        <v>2153</v>
      </c>
      <c r="G257" s="9" t="s">
        <v>67</v>
      </c>
    </row>
    <row r="258" spans="1:7">
      <c r="A258" s="9">
        <v>13</v>
      </c>
      <c r="B258" s="9" t="s">
        <v>2237</v>
      </c>
      <c r="C258" s="9" t="s">
        <v>67</v>
      </c>
      <c r="D258" s="9" t="s">
        <v>67</v>
      </c>
      <c r="E258" s="9" t="s">
        <v>2238</v>
      </c>
      <c r="F258" s="9" t="s">
        <v>2153</v>
      </c>
      <c r="G258" s="9" t="s">
        <v>67</v>
      </c>
    </row>
    <row r="259" spans="1:7">
      <c r="A259" s="9">
        <v>14</v>
      </c>
      <c r="B259" s="9" t="s">
        <v>2239</v>
      </c>
      <c r="C259" s="9" t="s">
        <v>67</v>
      </c>
      <c r="D259" s="9" t="s">
        <v>67</v>
      </c>
      <c r="E259" s="9" t="s">
        <v>2240</v>
      </c>
      <c r="F259" s="9" t="s">
        <v>2153</v>
      </c>
      <c r="G259" s="9" t="s">
        <v>67</v>
      </c>
    </row>
    <row r="260" spans="1:7">
      <c r="A260" s="9">
        <v>15</v>
      </c>
      <c r="B260" s="9" t="s">
        <v>2241</v>
      </c>
      <c r="C260" s="9" t="s">
        <v>67</v>
      </c>
      <c r="D260" s="9" t="s">
        <v>67</v>
      </c>
      <c r="E260" s="9" t="s">
        <v>2242</v>
      </c>
      <c r="F260" s="9" t="s">
        <v>2153</v>
      </c>
      <c r="G260" s="9" t="s">
        <v>67</v>
      </c>
    </row>
    <row r="261" spans="1:7">
      <c r="A261" s="9">
        <v>16</v>
      </c>
      <c r="B261" s="9" t="s">
        <v>2243</v>
      </c>
      <c r="C261" s="9" t="s">
        <v>67</v>
      </c>
      <c r="D261" s="9" t="s">
        <v>67</v>
      </c>
      <c r="E261" s="9" t="s">
        <v>1089</v>
      </c>
      <c r="F261" s="9" t="s">
        <v>2153</v>
      </c>
      <c r="G261" s="9" t="s">
        <v>67</v>
      </c>
    </row>
    <row r="262" spans="1:7">
      <c r="A262" s="9">
        <v>17</v>
      </c>
      <c r="B262" s="9" t="s">
        <v>2244</v>
      </c>
      <c r="C262" s="9" t="s">
        <v>67</v>
      </c>
      <c r="D262" s="9" t="s">
        <v>67</v>
      </c>
      <c r="E262" s="9" t="s">
        <v>1089</v>
      </c>
      <c r="F262" s="9" t="s">
        <v>2153</v>
      </c>
      <c r="G262" s="9" t="s">
        <v>67</v>
      </c>
    </row>
    <row r="263" spans="1:7">
      <c r="A263" s="9">
        <v>18</v>
      </c>
      <c r="B263" s="9" t="s">
        <v>2245</v>
      </c>
      <c r="C263" s="9" t="s">
        <v>67</v>
      </c>
      <c r="D263" s="9" t="s">
        <v>67</v>
      </c>
      <c r="E263" s="9" t="s">
        <v>2246</v>
      </c>
      <c r="F263" s="9" t="s">
        <v>2153</v>
      </c>
      <c r="G263" s="9" t="s">
        <v>67</v>
      </c>
    </row>
    <row r="264" spans="1:7">
      <c r="A264" s="9">
        <v>19</v>
      </c>
      <c r="B264" s="9" t="s">
        <v>2247</v>
      </c>
      <c r="C264" s="9" t="s">
        <v>67</v>
      </c>
      <c r="D264" s="9" t="s">
        <v>67</v>
      </c>
      <c r="E264" s="9" t="s">
        <v>2248</v>
      </c>
      <c r="F264" s="9" t="s">
        <v>2153</v>
      </c>
      <c r="G264" s="9" t="s">
        <v>67</v>
      </c>
    </row>
    <row r="265" spans="1:7">
      <c r="A265" s="9">
        <v>20</v>
      </c>
      <c r="B265" s="9" t="s">
        <v>2249</v>
      </c>
      <c r="C265" s="9" t="s">
        <v>67</v>
      </c>
      <c r="D265" s="9" t="s">
        <v>67</v>
      </c>
      <c r="E265" s="9" t="s">
        <v>2250</v>
      </c>
      <c r="F265" s="9" t="s">
        <v>2153</v>
      </c>
      <c r="G265" s="9" t="s">
        <v>67</v>
      </c>
    </row>
    <row r="266" spans="1:7">
      <c r="A266" s="9">
        <v>21</v>
      </c>
      <c r="B266" s="9" t="s">
        <v>2251</v>
      </c>
      <c r="C266" s="9" t="s">
        <v>67</v>
      </c>
      <c r="D266" s="9" t="s">
        <v>67</v>
      </c>
      <c r="E266" s="9" t="s">
        <v>2250</v>
      </c>
      <c r="F266" s="9" t="s">
        <v>2153</v>
      </c>
      <c r="G266" s="9" t="s">
        <v>67</v>
      </c>
    </row>
    <row r="267" spans="1:7">
      <c r="A267" s="9">
        <v>22</v>
      </c>
      <c r="B267" s="9" t="s">
        <v>2252</v>
      </c>
      <c r="C267" s="9" t="s">
        <v>67</v>
      </c>
      <c r="D267" s="9" t="s">
        <v>67</v>
      </c>
      <c r="E267" s="9" t="s">
        <v>2253</v>
      </c>
      <c r="F267" s="9" t="s">
        <v>2153</v>
      </c>
      <c r="G267" s="9" t="s">
        <v>67</v>
      </c>
    </row>
    <row r="268" spans="1:7">
      <c r="A268" s="9">
        <v>23</v>
      </c>
      <c r="B268" s="9" t="s">
        <v>2254</v>
      </c>
      <c r="C268" s="9" t="s">
        <v>67</v>
      </c>
      <c r="D268" s="9" t="s">
        <v>2255</v>
      </c>
      <c r="E268" s="9" t="s">
        <v>2256</v>
      </c>
      <c r="F268" s="9" t="s">
        <v>2153</v>
      </c>
      <c r="G268" s="9" t="s">
        <v>67</v>
      </c>
    </row>
    <row r="269" spans="1:7">
      <c r="A269" s="9">
        <v>24</v>
      </c>
      <c r="B269" s="9" t="s">
        <v>2257</v>
      </c>
      <c r="C269" s="9" t="s">
        <v>67</v>
      </c>
      <c r="D269" s="9" t="s">
        <v>67</v>
      </c>
      <c r="E269" s="9" t="s">
        <v>2258</v>
      </c>
      <c r="F269" s="9" t="s">
        <v>2153</v>
      </c>
      <c r="G269" s="9" t="s">
        <v>67</v>
      </c>
    </row>
    <row r="270" spans="1:7">
      <c r="A270" s="9">
        <v>25</v>
      </c>
      <c r="B270" s="9" t="s">
        <v>2259</v>
      </c>
      <c r="C270" s="9" t="s">
        <v>67</v>
      </c>
      <c r="D270" s="9" t="s">
        <v>67</v>
      </c>
      <c r="E270" s="9" t="s">
        <v>2260</v>
      </c>
      <c r="F270" s="9" t="s">
        <v>2153</v>
      </c>
      <c r="G270" s="9" t="s">
        <v>67</v>
      </c>
    </row>
    <row r="271" spans="1:7">
      <c r="A271" s="9">
        <v>26</v>
      </c>
      <c r="B271" s="9" t="s">
        <v>2261</v>
      </c>
      <c r="C271" s="9" t="s">
        <v>67</v>
      </c>
      <c r="D271" s="9" t="s">
        <v>67</v>
      </c>
      <c r="E271" s="9" t="s">
        <v>2262</v>
      </c>
      <c r="F271" s="9" t="s">
        <v>2153</v>
      </c>
      <c r="G271" s="9" t="s">
        <v>67</v>
      </c>
    </row>
    <row r="272" spans="1:7">
      <c r="A272" s="9">
        <v>27</v>
      </c>
      <c r="B272" s="9" t="s">
        <v>2263</v>
      </c>
      <c r="C272" s="9" t="s">
        <v>67</v>
      </c>
      <c r="D272" s="9" t="s">
        <v>67</v>
      </c>
      <c r="E272" s="9" t="s">
        <v>2264</v>
      </c>
      <c r="F272" s="9" t="s">
        <v>2153</v>
      </c>
      <c r="G272" s="9" t="s">
        <v>67</v>
      </c>
    </row>
    <row r="273" spans="1:7">
      <c r="A273" s="9">
        <v>28</v>
      </c>
      <c r="B273" s="9" t="s">
        <v>2265</v>
      </c>
      <c r="C273" s="9" t="s">
        <v>67</v>
      </c>
      <c r="D273" s="9" t="s">
        <v>67</v>
      </c>
      <c r="E273" s="9" t="s">
        <v>2266</v>
      </c>
      <c r="F273" s="9" t="s">
        <v>2153</v>
      </c>
      <c r="G273" s="9" t="s">
        <v>67</v>
      </c>
    </row>
    <row r="274" spans="1:7">
      <c r="A274" s="9">
        <v>29</v>
      </c>
      <c r="B274" s="9" t="s">
        <v>2267</v>
      </c>
      <c r="C274" s="9" t="s">
        <v>67</v>
      </c>
      <c r="D274" s="9" t="s">
        <v>2268</v>
      </c>
      <c r="E274" s="9" t="s">
        <v>2269</v>
      </c>
      <c r="F274" s="9" t="s">
        <v>2153</v>
      </c>
      <c r="G274" s="9" t="s">
        <v>67</v>
      </c>
    </row>
    <row r="275" spans="1:7">
      <c r="A275" s="9">
        <v>30</v>
      </c>
      <c r="B275" s="9" t="s">
        <v>2270</v>
      </c>
      <c r="C275" s="9" t="s">
        <v>67</v>
      </c>
      <c r="D275" s="9" t="s">
        <v>67</v>
      </c>
      <c r="E275" s="9" t="s">
        <v>2271</v>
      </c>
      <c r="F275" s="9" t="s">
        <v>2153</v>
      </c>
      <c r="G275" s="9" t="s">
        <v>67</v>
      </c>
    </row>
    <row r="276" spans="1:7">
      <c r="A276" s="9">
        <v>31</v>
      </c>
      <c r="B276" s="9" t="s">
        <v>2272</v>
      </c>
      <c r="C276" s="9" t="s">
        <v>67</v>
      </c>
      <c r="D276" s="9" t="s">
        <v>67</v>
      </c>
      <c r="E276" s="9" t="s">
        <v>2271</v>
      </c>
      <c r="F276" s="9" t="s">
        <v>2153</v>
      </c>
      <c r="G276" s="9" t="s">
        <v>67</v>
      </c>
    </row>
    <row r="277" spans="1:7">
      <c r="A277" s="9">
        <v>32</v>
      </c>
      <c r="B277" s="9" t="s">
        <v>2273</v>
      </c>
      <c r="C277" s="9" t="s">
        <v>67</v>
      </c>
      <c r="D277" s="9" t="s">
        <v>67</v>
      </c>
      <c r="E277" s="9" t="s">
        <v>2274</v>
      </c>
      <c r="F277" s="9" t="s">
        <v>2153</v>
      </c>
      <c r="G277" s="9" t="s">
        <v>67</v>
      </c>
    </row>
    <row r="278" spans="1:7">
      <c r="A278" s="9">
        <v>33</v>
      </c>
      <c r="B278" s="9" t="s">
        <v>2275</v>
      </c>
      <c r="C278" s="9" t="s">
        <v>67</v>
      </c>
      <c r="D278" s="9" t="s">
        <v>67</v>
      </c>
      <c r="E278" s="9" t="s">
        <v>1186</v>
      </c>
      <c r="F278" s="9" t="s">
        <v>2153</v>
      </c>
      <c r="G278" s="9" t="s">
        <v>67</v>
      </c>
    </row>
    <row r="279" spans="1:7">
      <c r="A279" s="9">
        <v>34</v>
      </c>
      <c r="B279" s="9" t="s">
        <v>2276</v>
      </c>
      <c r="C279" s="9" t="s">
        <v>67</v>
      </c>
      <c r="D279" s="9" t="s">
        <v>67</v>
      </c>
      <c r="E279" s="9" t="s">
        <v>1948</v>
      </c>
      <c r="F279" s="9" t="s">
        <v>2153</v>
      </c>
      <c r="G279" s="9" t="s">
        <v>67</v>
      </c>
    </row>
    <row r="280" spans="1:7">
      <c r="A280" s="9">
        <v>35</v>
      </c>
      <c r="B280" s="9" t="s">
        <v>2277</v>
      </c>
      <c r="C280" s="9" t="s">
        <v>67</v>
      </c>
      <c r="D280" s="9" t="s">
        <v>2278</v>
      </c>
      <c r="E280" s="9" t="s">
        <v>1114</v>
      </c>
      <c r="F280" s="9" t="s">
        <v>2153</v>
      </c>
      <c r="G280" s="9" t="s">
        <v>67</v>
      </c>
    </row>
    <row r="281" spans="1:7">
      <c r="A281" s="9">
        <v>36</v>
      </c>
      <c r="B281" s="9" t="s">
        <v>2279</v>
      </c>
      <c r="C281" s="9" t="s">
        <v>67</v>
      </c>
      <c r="D281" s="9" t="s">
        <v>2280</v>
      </c>
      <c r="E281" s="9" t="s">
        <v>2281</v>
      </c>
      <c r="F281" s="9" t="s">
        <v>2153</v>
      </c>
      <c r="G281" s="9" t="s">
        <v>67</v>
      </c>
    </row>
    <row r="282" spans="1:7">
      <c r="A282" s="9">
        <v>37</v>
      </c>
      <c r="B282" s="9" t="s">
        <v>2282</v>
      </c>
      <c r="C282" s="9" t="s">
        <v>67</v>
      </c>
      <c r="D282" s="9" t="s">
        <v>67</v>
      </c>
      <c r="E282" s="9" t="s">
        <v>1764</v>
      </c>
      <c r="F282" s="9" t="s">
        <v>2153</v>
      </c>
      <c r="G282" s="9" t="s">
        <v>67</v>
      </c>
    </row>
    <row r="283" spans="1:7">
      <c r="A283" s="9">
        <v>38</v>
      </c>
      <c r="B283" s="9" t="s">
        <v>2283</v>
      </c>
      <c r="C283" s="9" t="s">
        <v>67</v>
      </c>
      <c r="D283" s="9" t="s">
        <v>67</v>
      </c>
      <c r="E283" s="9" t="s">
        <v>2284</v>
      </c>
      <c r="F283" s="9" t="s">
        <v>2153</v>
      </c>
      <c r="G283" s="9" t="s">
        <v>67</v>
      </c>
    </row>
    <row r="284" spans="1:7">
      <c r="A284" s="9">
        <v>39</v>
      </c>
      <c r="B284" s="9" t="s">
        <v>2285</v>
      </c>
      <c r="C284" s="9" t="s">
        <v>67</v>
      </c>
      <c r="D284" s="9" t="s">
        <v>67</v>
      </c>
      <c r="E284" s="9" t="s">
        <v>2286</v>
      </c>
      <c r="F284" s="9" t="s">
        <v>2153</v>
      </c>
      <c r="G284" s="9" t="s">
        <v>67</v>
      </c>
    </row>
    <row r="285" spans="1:7">
      <c r="A285" s="9">
        <v>40</v>
      </c>
      <c r="B285" s="9" t="s">
        <v>2287</v>
      </c>
      <c r="C285" s="9" t="s">
        <v>67</v>
      </c>
      <c r="D285" s="9" t="s">
        <v>67</v>
      </c>
      <c r="E285" s="9" t="s">
        <v>2288</v>
      </c>
      <c r="F285" s="9" t="s">
        <v>2153</v>
      </c>
      <c r="G285" s="9" t="s">
        <v>67</v>
      </c>
    </row>
    <row r="286" spans="1:7">
      <c r="A286" s="9">
        <v>41</v>
      </c>
      <c r="B286" s="9" t="s">
        <v>2289</v>
      </c>
      <c r="C286" s="9" t="s">
        <v>67</v>
      </c>
      <c r="D286" s="9" t="s">
        <v>67</v>
      </c>
      <c r="E286" s="9" t="s">
        <v>2290</v>
      </c>
      <c r="F286" s="9" t="s">
        <v>2153</v>
      </c>
      <c r="G286" s="9" t="s">
        <v>67</v>
      </c>
    </row>
    <row r="287" spans="1:7">
      <c r="A287" s="9">
        <v>42</v>
      </c>
      <c r="B287" s="9" t="s">
        <v>2291</v>
      </c>
      <c r="C287" s="9" t="s">
        <v>67</v>
      </c>
      <c r="D287" s="9" t="s">
        <v>67</v>
      </c>
      <c r="E287" s="9" t="s">
        <v>2292</v>
      </c>
      <c r="F287" s="9" t="s">
        <v>2153</v>
      </c>
      <c r="G287" s="9" t="s">
        <v>67</v>
      </c>
    </row>
    <row r="288" spans="1:7">
      <c r="A288" s="9">
        <v>43</v>
      </c>
      <c r="B288" s="9" t="s">
        <v>2293</v>
      </c>
      <c r="C288" s="9" t="s">
        <v>67</v>
      </c>
      <c r="D288" s="9" t="s">
        <v>67</v>
      </c>
      <c r="E288" s="9" t="s">
        <v>1767</v>
      </c>
      <c r="F288" s="9" t="s">
        <v>2153</v>
      </c>
      <c r="G288" s="9" t="s">
        <v>67</v>
      </c>
    </row>
    <row r="289" spans="1:20">
      <c r="A289" s="9">
        <v>44</v>
      </c>
      <c r="B289" s="9" t="s">
        <v>2294</v>
      </c>
      <c r="C289" s="9" t="s">
        <v>67</v>
      </c>
      <c r="D289" s="9" t="s">
        <v>67</v>
      </c>
      <c r="E289" s="9" t="s">
        <v>2295</v>
      </c>
      <c r="F289" s="9" t="s">
        <v>2153</v>
      </c>
      <c r="G289" s="9" t="s">
        <v>67</v>
      </c>
    </row>
    <row r="290" spans="1:20">
      <c r="A290" s="9">
        <v>45</v>
      </c>
      <c r="B290" s="9" t="s">
        <v>2296</v>
      </c>
      <c r="C290" s="9" t="s">
        <v>67</v>
      </c>
      <c r="D290" s="9" t="s">
        <v>67</v>
      </c>
      <c r="E290" s="9" t="s">
        <v>2297</v>
      </c>
      <c r="F290" s="9" t="s">
        <v>2153</v>
      </c>
      <c r="G290" s="9" t="s">
        <v>67</v>
      </c>
    </row>
    <row r="291" spans="1:20">
      <c r="A291" s="9">
        <v>46</v>
      </c>
      <c r="B291" s="9" t="s">
        <v>2298</v>
      </c>
      <c r="C291" s="9" t="s">
        <v>67</v>
      </c>
      <c r="D291" s="9" t="s">
        <v>67</v>
      </c>
      <c r="E291" s="9" t="s">
        <v>2297</v>
      </c>
      <c r="F291" s="9" t="s">
        <v>2153</v>
      </c>
      <c r="G291" s="9" t="s">
        <v>67</v>
      </c>
    </row>
    <row r="292" spans="1:20">
      <c r="A292" s="9">
        <v>47</v>
      </c>
      <c r="B292" s="9" t="s">
        <v>2299</v>
      </c>
      <c r="C292" s="9" t="s">
        <v>67</v>
      </c>
      <c r="D292" s="9" t="s">
        <v>67</v>
      </c>
      <c r="E292" s="9" t="s">
        <v>2300</v>
      </c>
      <c r="F292" s="9" t="s">
        <v>2153</v>
      </c>
      <c r="G292" s="9" t="s">
        <v>67</v>
      </c>
    </row>
    <row r="293" spans="1:20">
      <c r="A293" s="9">
        <v>48</v>
      </c>
      <c r="B293" s="9" t="s">
        <v>2301</v>
      </c>
      <c r="C293" s="9" t="s">
        <v>67</v>
      </c>
      <c r="D293" s="9" t="s">
        <v>67</v>
      </c>
      <c r="E293" s="9" t="s">
        <v>2302</v>
      </c>
      <c r="F293" s="9" t="s">
        <v>2153</v>
      </c>
      <c r="G293" s="9" t="s">
        <v>67</v>
      </c>
    </row>
    <row r="294" spans="1:20">
      <c r="A294" s="9">
        <v>49</v>
      </c>
      <c r="B294" s="9" t="s">
        <v>2303</v>
      </c>
      <c r="C294" s="9" t="s">
        <v>67</v>
      </c>
      <c r="D294" s="9" t="s">
        <v>67</v>
      </c>
      <c r="E294" s="9" t="s">
        <v>1119</v>
      </c>
      <c r="F294" s="9" t="s">
        <v>2153</v>
      </c>
      <c r="G294" s="9" t="s">
        <v>67</v>
      </c>
    </row>
    <row r="295" spans="1:20">
      <c r="A295" s="9">
        <v>50</v>
      </c>
      <c r="B295" s="9" t="s">
        <v>2304</v>
      </c>
      <c r="C295" s="9" t="s">
        <v>67</v>
      </c>
      <c r="D295" s="9" t="s">
        <v>67</v>
      </c>
      <c r="E295" s="9" t="s">
        <v>2305</v>
      </c>
      <c r="F295" s="9" t="s">
        <v>2153</v>
      </c>
      <c r="G295" s="9" t="s">
        <v>67</v>
      </c>
    </row>
    <row r="296" ht="14.5" spans="1:20">
      <c r="A296" s="24" t="str">
        <f>HYPERLINK("https://www.tianyancha.com/company/441970624","打开天眼查，查看更多[客户]")</f>
        <v>打开天眼查，查看更多[客户]</v>
      </c>
      <c r="B296" s="9"/>
      <c r="C296" s="9"/>
      <c r="D296" s="9"/>
      <c r="E296" s="9"/>
      <c r="F296" s="9"/>
      <c r="G296" s="9"/>
      <c r="H296" s="2"/>
      <c r="I296" s="2"/>
      <c r="J296" s="2"/>
      <c r="K296" s="2"/>
      <c r="L296" s="2"/>
      <c r="M296" s="2"/>
      <c r="N296" s="2"/>
      <c r="O296" s="2"/>
      <c r="P296" s="2"/>
      <c r="Q296" s="2"/>
      <c r="R296" s="2"/>
      <c r="S296" s="2"/>
      <c r="T296" s="2"/>
    </row>
    <row r="297" spans="1:20">
      <c r="A297" s="2"/>
      <c r="B297" s="2"/>
      <c r="C297" s="2"/>
      <c r="D297" s="2"/>
      <c r="E297" s="2"/>
      <c r="F297" s="2"/>
      <c r="G297" s="2"/>
      <c r="H297" s="2"/>
      <c r="I297" s="2"/>
      <c r="J297" s="2"/>
      <c r="K297" s="2"/>
      <c r="L297" s="2"/>
      <c r="M297" s="2"/>
      <c r="N297" s="2"/>
      <c r="O297" s="2"/>
      <c r="P297" s="2"/>
      <c r="Q297" s="2"/>
      <c r="R297" s="2"/>
      <c r="S297" s="2"/>
      <c r="T297" s="2"/>
    </row>
    <row r="298" ht="15.5" spans="1:20">
      <c r="A298" s="3" t="s">
        <v>2306</v>
      </c>
      <c r="B298" s="9" t="s">
        <v>2307</v>
      </c>
      <c r="C298" s="2"/>
      <c r="D298" s="2"/>
      <c r="E298" s="2"/>
      <c r="F298" s="2"/>
      <c r="G298" s="2"/>
      <c r="H298" s="2"/>
      <c r="I298" s="2"/>
      <c r="J298" s="2"/>
      <c r="K298" s="2"/>
      <c r="L298" s="2"/>
      <c r="M298" s="2"/>
      <c r="N298" s="2"/>
      <c r="O298" s="2"/>
      <c r="P298" s="2"/>
      <c r="Q298" s="2"/>
      <c r="R298" s="2"/>
      <c r="S298" s="2"/>
      <c r="T298" s="2"/>
    </row>
    <row r="299" ht="15.5" spans="1:20">
      <c r="A299" s="11" t="s">
        <v>46</v>
      </c>
      <c r="B299" s="11" t="s">
        <v>2308</v>
      </c>
      <c r="C299" s="11" t="s">
        <v>2309</v>
      </c>
      <c r="D299" s="11" t="s">
        <v>2310</v>
      </c>
      <c r="E299" s="11" t="s">
        <v>2311</v>
      </c>
      <c r="F299" s="11" t="s">
        <v>2312</v>
      </c>
      <c r="G299" s="11" t="s">
        <v>2313</v>
      </c>
      <c r="H299" s="2"/>
      <c r="I299" s="2"/>
      <c r="J299" s="2"/>
      <c r="K299" s="2"/>
      <c r="L299" s="2"/>
      <c r="M299" s="2"/>
      <c r="N299" s="2"/>
      <c r="O299" s="2"/>
      <c r="P299" s="2"/>
      <c r="Q299" s="2"/>
      <c r="R299" s="2"/>
      <c r="S299" s="2"/>
      <c r="T299" s="2"/>
    </row>
    <row r="300" spans="1:20">
      <c r="A300" s="9">
        <v>1</v>
      </c>
      <c r="B300" s="9" t="s">
        <v>2314</v>
      </c>
      <c r="C300" s="9" t="s">
        <v>2315</v>
      </c>
      <c r="D300" s="9" t="s">
        <v>2316</v>
      </c>
      <c r="E300" s="9" t="s">
        <v>2317</v>
      </c>
      <c r="F300" s="9" t="s">
        <v>209</v>
      </c>
      <c r="G300" s="9" t="s">
        <v>1885</v>
      </c>
      <c r="H300" s="2"/>
      <c r="I300" s="2"/>
      <c r="J300" s="2"/>
      <c r="K300" s="2"/>
      <c r="L300" s="2"/>
      <c r="M300" s="2"/>
      <c r="N300" s="2"/>
      <c r="O300" s="2"/>
      <c r="P300" s="2"/>
      <c r="Q300" s="2"/>
      <c r="R300" s="2"/>
      <c r="S300" s="2"/>
      <c r="T300" s="2"/>
    </row>
    <row r="301" spans="1:20">
      <c r="A301" s="9">
        <v>2</v>
      </c>
      <c r="B301" s="9" t="s">
        <v>2318</v>
      </c>
      <c r="C301" s="9" t="s">
        <v>2315</v>
      </c>
      <c r="D301" s="9" t="s">
        <v>2319</v>
      </c>
      <c r="E301" s="9" t="s">
        <v>2320</v>
      </c>
      <c r="F301" s="9" t="s">
        <v>209</v>
      </c>
      <c r="G301" s="9" t="s">
        <v>1889</v>
      </c>
    </row>
    <row r="302" spans="1:20">
      <c r="A302" s="9">
        <v>3</v>
      </c>
      <c r="B302" s="9" t="s">
        <v>2321</v>
      </c>
      <c r="C302" s="9" t="s">
        <v>2315</v>
      </c>
      <c r="D302" s="9" t="s">
        <v>2319</v>
      </c>
      <c r="E302" s="9" t="s">
        <v>2322</v>
      </c>
      <c r="F302" s="9" t="s">
        <v>209</v>
      </c>
      <c r="G302" s="9" t="s">
        <v>1889</v>
      </c>
    </row>
    <row r="303" spans="1:20">
      <c r="A303" s="9">
        <v>4</v>
      </c>
      <c r="B303" s="9" t="s">
        <v>2323</v>
      </c>
      <c r="C303" s="9" t="s">
        <v>2324</v>
      </c>
      <c r="D303" s="9" t="s">
        <v>2319</v>
      </c>
      <c r="E303" s="9" t="s">
        <v>2325</v>
      </c>
      <c r="F303" s="9" t="s">
        <v>209</v>
      </c>
      <c r="G303" s="9" t="s">
        <v>1890</v>
      </c>
    </row>
    <row r="304" spans="1:20">
      <c r="A304" s="9">
        <v>5</v>
      </c>
      <c r="B304" s="9" t="s">
        <v>2326</v>
      </c>
      <c r="C304" s="9" t="s">
        <v>2315</v>
      </c>
      <c r="D304" s="9" t="s">
        <v>2327</v>
      </c>
      <c r="E304" s="9" t="s">
        <v>2328</v>
      </c>
      <c r="F304" s="9" t="s">
        <v>2</v>
      </c>
      <c r="G304" s="9" t="s">
        <v>1890</v>
      </c>
    </row>
    <row r="305" spans="1:20">
      <c r="A305" s="9">
        <v>6</v>
      </c>
      <c r="B305" s="9" t="s">
        <v>2329</v>
      </c>
      <c r="C305" s="9" t="s">
        <v>2315</v>
      </c>
      <c r="D305" s="9" t="s">
        <v>2319</v>
      </c>
      <c r="E305" s="9" t="s">
        <v>2330</v>
      </c>
      <c r="F305" s="9" t="s">
        <v>209</v>
      </c>
      <c r="G305" s="9" t="s">
        <v>1891</v>
      </c>
    </row>
    <row r="306" spans="1:20">
      <c r="A306" s="9">
        <v>7</v>
      </c>
      <c r="B306" s="9" t="s">
        <v>2331</v>
      </c>
      <c r="C306" s="9" t="s">
        <v>2315</v>
      </c>
      <c r="D306" s="9" t="s">
        <v>2319</v>
      </c>
      <c r="E306" s="9" t="s">
        <v>2332</v>
      </c>
      <c r="F306" s="9" t="s">
        <v>209</v>
      </c>
      <c r="G306" s="9" t="s">
        <v>1892</v>
      </c>
    </row>
    <row r="307" spans="1:20">
      <c r="A307" s="9">
        <v>8</v>
      </c>
      <c r="B307" s="9" t="s">
        <v>2333</v>
      </c>
      <c r="C307" s="9" t="s">
        <v>2315</v>
      </c>
      <c r="D307" s="9" t="s">
        <v>2334</v>
      </c>
      <c r="E307" s="9" t="s">
        <v>2335</v>
      </c>
      <c r="F307" s="9" t="s">
        <v>2</v>
      </c>
      <c r="G307" s="9" t="s">
        <v>1892</v>
      </c>
    </row>
    <row r="308" spans="1:20">
      <c r="A308" s="9">
        <v>9</v>
      </c>
      <c r="B308" s="9" t="s">
        <v>2336</v>
      </c>
      <c r="C308" s="9" t="s">
        <v>2315</v>
      </c>
      <c r="D308" s="9" t="s">
        <v>2337</v>
      </c>
      <c r="E308" s="9" t="s">
        <v>2338</v>
      </c>
      <c r="F308" s="9" t="s">
        <v>2</v>
      </c>
      <c r="G308" s="9" t="s">
        <v>1893</v>
      </c>
    </row>
    <row r="309" spans="1:20">
      <c r="A309" s="9">
        <v>10</v>
      </c>
      <c r="B309" s="9" t="s">
        <v>2339</v>
      </c>
      <c r="C309" s="9" t="s">
        <v>2315</v>
      </c>
      <c r="D309" s="9" t="s">
        <v>2340</v>
      </c>
      <c r="E309" s="9" t="s">
        <v>2341</v>
      </c>
      <c r="F309" s="9" t="s">
        <v>2</v>
      </c>
      <c r="G309" s="9" t="s">
        <v>1893</v>
      </c>
    </row>
    <row r="310" spans="1:20">
      <c r="A310" s="9">
        <v>11</v>
      </c>
      <c r="B310" s="9" t="s">
        <v>2342</v>
      </c>
      <c r="C310" s="9" t="s">
        <v>2315</v>
      </c>
      <c r="D310" s="9" t="s">
        <v>2334</v>
      </c>
      <c r="E310" s="9" t="s">
        <v>2343</v>
      </c>
      <c r="F310" s="9" t="s">
        <v>2</v>
      </c>
      <c r="G310" s="9" t="s">
        <v>1893</v>
      </c>
    </row>
    <row r="311" spans="1:20">
      <c r="A311" s="9">
        <v>12</v>
      </c>
      <c r="B311" s="9" t="s">
        <v>2344</v>
      </c>
      <c r="C311" s="9" t="s">
        <v>2315</v>
      </c>
      <c r="D311" s="9" t="s">
        <v>2319</v>
      </c>
      <c r="E311" s="9" t="s">
        <v>2345</v>
      </c>
      <c r="F311" s="9" t="s">
        <v>2</v>
      </c>
      <c r="G311" s="9" t="s">
        <v>1893</v>
      </c>
    </row>
    <row r="312" spans="1:20">
      <c r="A312" s="9">
        <v>13</v>
      </c>
      <c r="B312" s="9" t="s">
        <v>2346</v>
      </c>
      <c r="C312" s="9" t="s">
        <v>2315</v>
      </c>
      <c r="D312" s="9" t="s">
        <v>2347</v>
      </c>
      <c r="E312" s="9" t="s">
        <v>67</v>
      </c>
      <c r="F312" s="9" t="s">
        <v>2</v>
      </c>
      <c r="G312" s="9" t="s">
        <v>1896</v>
      </c>
    </row>
    <row r="313" spans="1:20">
      <c r="A313" s="9">
        <v>14</v>
      </c>
      <c r="B313" s="9" t="s">
        <v>2348</v>
      </c>
      <c r="C313" s="9" t="s">
        <v>2315</v>
      </c>
      <c r="D313" s="9" t="s">
        <v>2340</v>
      </c>
      <c r="E313" s="9" t="s">
        <v>2349</v>
      </c>
      <c r="F313" s="9" t="s">
        <v>2</v>
      </c>
      <c r="G313" s="9" t="s">
        <v>67</v>
      </c>
    </row>
    <row r="314" spans="1:20">
      <c r="A314" s="9">
        <v>15</v>
      </c>
      <c r="B314" s="9" t="s">
        <v>2350</v>
      </c>
      <c r="C314" s="9" t="s">
        <v>2315</v>
      </c>
      <c r="D314" s="9" t="s">
        <v>2351</v>
      </c>
      <c r="E314" s="9" t="s">
        <v>2352</v>
      </c>
      <c r="F314" s="9" t="s">
        <v>2</v>
      </c>
      <c r="G314" s="9" t="s">
        <v>67</v>
      </c>
    </row>
    <row r="315" spans="1:20">
      <c r="A315" s="9">
        <v>16</v>
      </c>
      <c r="B315" s="9" t="s">
        <v>2353</v>
      </c>
      <c r="C315" s="9" t="s">
        <v>2315</v>
      </c>
      <c r="D315" s="9" t="s">
        <v>2354</v>
      </c>
      <c r="E315" s="9" t="s">
        <v>2355</v>
      </c>
      <c r="F315" s="9" t="s">
        <v>2</v>
      </c>
      <c r="G315" s="9" t="s">
        <v>67</v>
      </c>
    </row>
    <row r="316" spans="1:20">
      <c r="A316" s="9">
        <v>17</v>
      </c>
      <c r="B316" s="9" t="s">
        <v>2356</v>
      </c>
      <c r="C316" s="9" t="s">
        <v>2315</v>
      </c>
      <c r="D316" s="9" t="s">
        <v>2334</v>
      </c>
      <c r="E316" s="9" t="s">
        <v>2335</v>
      </c>
      <c r="F316" s="9" t="s">
        <v>2</v>
      </c>
      <c r="G316" s="9" t="s">
        <v>67</v>
      </c>
    </row>
    <row r="317" spans="1:20">
      <c r="A317" s="9">
        <v>18</v>
      </c>
      <c r="B317" s="9" t="s">
        <v>2357</v>
      </c>
      <c r="C317" s="9" t="s">
        <v>2324</v>
      </c>
      <c r="D317" s="9" t="s">
        <v>2358</v>
      </c>
      <c r="E317" s="9" t="s">
        <v>2359</v>
      </c>
      <c r="F317" s="9" t="s">
        <v>2</v>
      </c>
      <c r="G317" s="9" t="s">
        <v>67</v>
      </c>
    </row>
    <row r="318" spans="1:20">
      <c r="A318" s="9">
        <v>19</v>
      </c>
      <c r="B318" s="9" t="s">
        <v>2360</v>
      </c>
      <c r="C318" s="9" t="s">
        <v>2315</v>
      </c>
      <c r="D318" s="9" t="s">
        <v>2361</v>
      </c>
      <c r="E318" s="9" t="s">
        <v>2362</v>
      </c>
      <c r="F318" s="9" t="s">
        <v>2</v>
      </c>
      <c r="G318" s="9" t="s">
        <v>67</v>
      </c>
    </row>
    <row r="319" spans="1:20">
      <c r="A319" s="9">
        <v>20</v>
      </c>
      <c r="B319" s="9" t="s">
        <v>2363</v>
      </c>
      <c r="C319" s="9" t="s">
        <v>2315</v>
      </c>
      <c r="D319" s="9" t="s">
        <v>2334</v>
      </c>
      <c r="E319" s="9" t="s">
        <v>2364</v>
      </c>
      <c r="F319" s="9" t="s">
        <v>2</v>
      </c>
      <c r="G319" s="9" t="s">
        <v>67</v>
      </c>
    </row>
    <row r="320" spans="1:20">
      <c r="A320" s="9" t="s">
        <v>110</v>
      </c>
      <c r="B320" s="9"/>
      <c r="C320" s="9"/>
      <c r="D320" s="9"/>
      <c r="E320" s="9"/>
      <c r="F320" s="9"/>
      <c r="G320" s="9"/>
      <c r="H320" s="2"/>
      <c r="I320" s="2"/>
      <c r="J320" s="2"/>
      <c r="K320" s="2"/>
      <c r="L320" s="2"/>
      <c r="M320" s="2"/>
      <c r="N320" s="2"/>
      <c r="O320" s="2"/>
      <c r="P320" s="2"/>
      <c r="Q320" s="2"/>
      <c r="R320" s="2"/>
      <c r="S320" s="2"/>
      <c r="T320" s="2"/>
    </row>
    <row r="321" spans="1:20">
      <c r="A321" s="2"/>
      <c r="B321" s="2"/>
      <c r="C321" s="2"/>
      <c r="D321" s="2"/>
      <c r="E321" s="2"/>
      <c r="F321" s="2"/>
      <c r="G321" s="2"/>
      <c r="H321" s="2"/>
      <c r="I321" s="2"/>
      <c r="J321" s="2"/>
      <c r="K321" s="2"/>
      <c r="L321" s="2"/>
      <c r="M321" s="2"/>
      <c r="N321" s="2"/>
      <c r="O321" s="2"/>
      <c r="P321" s="2"/>
      <c r="Q321" s="2"/>
      <c r="R321" s="2"/>
      <c r="S321" s="2"/>
      <c r="T321" s="2"/>
    </row>
    <row r="322" ht="15.5" spans="1:20">
      <c r="A322" s="3" t="s">
        <v>2365</v>
      </c>
      <c r="B322" s="9" t="s">
        <v>110</v>
      </c>
      <c r="C322" s="2"/>
      <c r="D322" s="2"/>
      <c r="E322" s="2"/>
      <c r="F322" s="2"/>
      <c r="G322" s="2"/>
      <c r="H322" s="2"/>
      <c r="I322" s="2"/>
      <c r="J322" s="2"/>
      <c r="K322" s="2"/>
      <c r="L322" s="2"/>
      <c r="M322" s="2"/>
      <c r="N322" s="2"/>
      <c r="O322" s="2"/>
      <c r="P322" s="2"/>
      <c r="Q322" s="2"/>
      <c r="R322" s="2"/>
      <c r="S322" s="2"/>
      <c r="T322" s="2"/>
    </row>
    <row r="323" spans="1:20">
      <c r="A323" s="9" t="s">
        <v>110</v>
      </c>
      <c r="B323" s="9"/>
      <c r="C323" s="9"/>
      <c r="D323" s="9"/>
      <c r="E323" s="9"/>
      <c r="F323" s="9"/>
      <c r="G323" s="9"/>
      <c r="H323" s="9"/>
      <c r="I323" s="9"/>
      <c r="J323" s="2"/>
      <c r="K323" s="2"/>
      <c r="L323" s="2"/>
      <c r="M323" s="2"/>
      <c r="N323" s="2"/>
      <c r="O323" s="2"/>
      <c r="P323" s="2"/>
      <c r="Q323" s="2"/>
      <c r="R323" s="2"/>
      <c r="S323" s="2"/>
      <c r="T323" s="2"/>
    </row>
    <row r="324" spans="1:20">
      <c r="A324" s="2"/>
      <c r="B324" s="2"/>
      <c r="C324" s="2"/>
      <c r="D324" s="2"/>
      <c r="E324" s="2"/>
      <c r="F324" s="2"/>
      <c r="G324" s="2"/>
      <c r="H324" s="2"/>
      <c r="I324" s="2"/>
      <c r="J324" s="2"/>
      <c r="K324" s="2"/>
      <c r="L324" s="2"/>
      <c r="M324" s="2"/>
      <c r="N324" s="2"/>
      <c r="O324" s="2"/>
      <c r="P324" s="2"/>
      <c r="Q324" s="2"/>
      <c r="R324" s="2"/>
      <c r="S324" s="2"/>
      <c r="T324" s="2"/>
    </row>
    <row r="325" spans="1:20">
      <c r="A325" s="2"/>
      <c r="B325" s="2"/>
      <c r="C325" s="2"/>
      <c r="D325" s="2"/>
      <c r="E325" s="2"/>
      <c r="F325" s="2"/>
      <c r="G325" s="2"/>
      <c r="H325" s="2"/>
      <c r="I325" s="2"/>
      <c r="J325" s="2"/>
      <c r="K325" s="2"/>
      <c r="L325" s="2"/>
      <c r="M325" s="2"/>
      <c r="N325" s="2"/>
      <c r="O325" s="2"/>
      <c r="P325" s="2"/>
      <c r="Q325" s="2"/>
      <c r="R325" s="2"/>
      <c r="S325" s="2"/>
      <c r="T325" s="2"/>
    </row>
    <row r="326" spans="1:20">
      <c r="A326" s="2"/>
      <c r="B326" s="2"/>
      <c r="C326" s="2"/>
      <c r="D326" s="2"/>
      <c r="E326" s="2"/>
      <c r="F326" s="2"/>
      <c r="G326" s="2"/>
      <c r="H326" s="2"/>
      <c r="I326" s="2"/>
      <c r="J326" s="2"/>
      <c r="K326" s="2"/>
      <c r="L326" s="2"/>
      <c r="M326" s="2"/>
      <c r="N326" s="2"/>
      <c r="O326" s="2"/>
      <c r="P326" s="2"/>
      <c r="Q326" s="2"/>
      <c r="R326" s="2"/>
      <c r="S326" s="2"/>
      <c r="T326" s="2"/>
    </row>
    <row r="327" spans="1:20">
      <c r="A327" s="2"/>
      <c r="B327" s="2"/>
      <c r="C327" s="2"/>
      <c r="D327" s="2"/>
      <c r="E327" s="2"/>
      <c r="F327" s="2"/>
      <c r="G327" s="2"/>
      <c r="H327" s="2"/>
      <c r="I327" s="2"/>
      <c r="J327" s="2"/>
      <c r="K327" s="2"/>
      <c r="L327" s="2"/>
      <c r="M327" s="2"/>
      <c r="N327" s="2"/>
      <c r="O327" s="2"/>
      <c r="P327" s="2"/>
      <c r="Q327" s="2"/>
      <c r="R327" s="2"/>
      <c r="S327" s="2"/>
      <c r="T327" s="2"/>
    </row>
    <row r="328" spans="1:20">
      <c r="A328" s="2"/>
      <c r="B328" s="2"/>
      <c r="C328" s="2"/>
      <c r="D328" s="2"/>
      <c r="E328" s="2"/>
      <c r="F328" s="2"/>
      <c r="G328" s="2"/>
      <c r="H328" s="2"/>
      <c r="I328" s="2"/>
      <c r="J328" s="2"/>
      <c r="K328" s="2"/>
      <c r="L328" s="2"/>
      <c r="M328" s="2"/>
      <c r="N328" s="2"/>
      <c r="O328" s="2"/>
      <c r="P328" s="2"/>
      <c r="Q328" s="2"/>
      <c r="R328" s="2"/>
      <c r="S328" s="2"/>
      <c r="T328" s="2"/>
    </row>
    <row r="329" spans="1:20">
      <c r="A329" s="2"/>
      <c r="B329" s="2"/>
      <c r="C329" s="2"/>
      <c r="D329" s="2"/>
      <c r="E329" s="2"/>
      <c r="F329" s="2"/>
      <c r="G329" s="2"/>
      <c r="H329" s="2"/>
      <c r="I329" s="2"/>
      <c r="J329" s="2"/>
      <c r="K329" s="2"/>
      <c r="L329" s="2"/>
      <c r="M329" s="2"/>
      <c r="N329" s="2"/>
      <c r="O329" s="2"/>
      <c r="P329" s="2"/>
      <c r="Q329" s="2"/>
      <c r="R329" s="2"/>
      <c r="S329" s="2"/>
      <c r="T329" s="2"/>
    </row>
    <row r="330" spans="1:20">
      <c r="A330" s="2"/>
      <c r="B330" s="2"/>
      <c r="C330" s="2"/>
      <c r="D330" s="2"/>
      <c r="E330" s="2"/>
      <c r="F330" s="2"/>
      <c r="G330" s="2"/>
      <c r="H330" s="2"/>
      <c r="I330" s="2"/>
      <c r="J330" s="2"/>
      <c r="K330" s="2"/>
      <c r="L330" s="2"/>
      <c r="M330" s="2"/>
      <c r="N330" s="2"/>
      <c r="O330" s="2"/>
      <c r="P330" s="2"/>
      <c r="Q330" s="2"/>
      <c r="R330" s="2"/>
      <c r="S330" s="2"/>
      <c r="T330" s="2"/>
    </row>
    <row r="331" spans="1:20">
      <c r="A331" s="2"/>
      <c r="B331" s="2"/>
      <c r="C331" s="2"/>
      <c r="D331" s="2"/>
      <c r="E331" s="2"/>
      <c r="F331" s="2"/>
      <c r="G331" s="2"/>
      <c r="H331" s="2"/>
      <c r="I331" s="2"/>
      <c r="J331" s="2"/>
      <c r="K331" s="2"/>
      <c r="L331" s="2"/>
      <c r="M331" s="2"/>
      <c r="N331" s="2"/>
      <c r="O331" s="2"/>
      <c r="P331" s="2"/>
      <c r="Q331" s="2"/>
      <c r="R331" s="2"/>
      <c r="S331" s="2"/>
      <c r="T331" s="2"/>
    </row>
    <row r="332" spans="1:20">
      <c r="A332" s="2"/>
      <c r="B332" s="2"/>
      <c r="C332" s="2"/>
      <c r="D332" s="2"/>
      <c r="E332" s="2"/>
      <c r="F332" s="2"/>
      <c r="G332" s="2"/>
      <c r="H332" s="2"/>
      <c r="I332" s="2"/>
      <c r="J332" s="2"/>
      <c r="K332" s="2"/>
      <c r="L332" s="2"/>
      <c r="M332" s="2"/>
      <c r="N332" s="2"/>
      <c r="O332" s="2"/>
      <c r="P332" s="2"/>
      <c r="Q332" s="2"/>
      <c r="R332" s="2"/>
      <c r="S332" s="2"/>
      <c r="T332" s="2"/>
    </row>
    <row r="333" spans="1:20">
      <c r="A333" s="2"/>
      <c r="B333" s="2"/>
      <c r="C333" s="2"/>
      <c r="D333" s="2"/>
      <c r="E333" s="2"/>
      <c r="F333" s="2"/>
      <c r="G333" s="2"/>
      <c r="H333" s="2"/>
      <c r="I333" s="2"/>
      <c r="J333" s="2"/>
      <c r="K333" s="2"/>
      <c r="L333" s="2"/>
      <c r="M333" s="2"/>
      <c r="N333" s="2"/>
      <c r="O333" s="2"/>
      <c r="P333" s="2"/>
      <c r="Q333" s="2"/>
      <c r="R333" s="2"/>
      <c r="S333" s="2"/>
      <c r="T333" s="2"/>
    </row>
    <row r="334" spans="1:20">
      <c r="A334" s="2"/>
      <c r="B334" s="2"/>
      <c r="C334" s="2"/>
      <c r="D334" s="2"/>
      <c r="E334" s="2"/>
      <c r="F334" s="2"/>
      <c r="G334" s="2"/>
      <c r="H334" s="2"/>
      <c r="I334" s="2"/>
      <c r="J334" s="2"/>
      <c r="K334" s="2"/>
      <c r="L334" s="2"/>
      <c r="M334" s="2"/>
      <c r="N334" s="2"/>
      <c r="O334" s="2"/>
      <c r="P334" s="2"/>
      <c r="Q334" s="2"/>
      <c r="R334" s="2"/>
      <c r="S334" s="2"/>
      <c r="T334" s="2"/>
    </row>
    <row r="335" spans="1:20">
      <c r="A335" s="2"/>
      <c r="B335" s="2"/>
      <c r="C335" s="2"/>
      <c r="D335" s="2"/>
      <c r="E335" s="2"/>
      <c r="F335" s="2"/>
      <c r="G335" s="2"/>
      <c r="H335" s="2"/>
      <c r="I335" s="2"/>
      <c r="J335" s="2"/>
      <c r="K335" s="2"/>
      <c r="L335" s="2"/>
      <c r="M335" s="2"/>
      <c r="N335" s="2"/>
      <c r="O335" s="2"/>
      <c r="P335" s="2"/>
      <c r="Q335" s="2"/>
      <c r="R335" s="2"/>
      <c r="S335" s="2"/>
      <c r="T335" s="2"/>
    </row>
    <row r="336" spans="1:20">
      <c r="A336" s="2"/>
      <c r="B336" s="2"/>
      <c r="C336" s="2"/>
      <c r="D336" s="2"/>
      <c r="E336" s="2"/>
      <c r="F336" s="2"/>
      <c r="G336" s="2"/>
      <c r="H336" s="2"/>
      <c r="I336" s="2"/>
      <c r="J336" s="2"/>
      <c r="K336" s="2"/>
      <c r="L336" s="2"/>
      <c r="M336" s="2"/>
      <c r="N336" s="2"/>
      <c r="O336" s="2"/>
      <c r="P336" s="2"/>
      <c r="Q336" s="2"/>
      <c r="R336" s="2"/>
      <c r="S336" s="2"/>
      <c r="T336" s="2"/>
    </row>
    <row r="337" spans="1:20">
      <c r="A337" s="2"/>
      <c r="B337" s="2"/>
      <c r="C337" s="2"/>
      <c r="D337" s="2"/>
      <c r="E337" s="2"/>
      <c r="F337" s="2"/>
      <c r="G337" s="2"/>
      <c r="H337" s="2"/>
      <c r="I337" s="2"/>
      <c r="J337" s="2"/>
      <c r="K337" s="2"/>
      <c r="L337" s="2"/>
      <c r="M337" s="2"/>
      <c r="N337" s="2"/>
      <c r="O337" s="2"/>
      <c r="P337" s="2"/>
      <c r="Q337" s="2"/>
      <c r="R337" s="2"/>
      <c r="S337" s="2"/>
      <c r="T337" s="2"/>
    </row>
    <row r="338" spans="1:20">
      <c r="A338" s="2"/>
      <c r="B338" s="2"/>
      <c r="C338" s="2"/>
      <c r="D338" s="2"/>
      <c r="E338" s="2"/>
      <c r="F338" s="2"/>
      <c r="G338" s="2"/>
      <c r="H338" s="2"/>
      <c r="I338" s="2"/>
      <c r="J338" s="2"/>
      <c r="K338" s="2"/>
      <c r="L338" s="2"/>
      <c r="M338" s="2"/>
      <c r="N338" s="2"/>
      <c r="O338" s="2"/>
      <c r="P338" s="2"/>
      <c r="Q338" s="2"/>
      <c r="R338" s="2"/>
      <c r="S338" s="2"/>
      <c r="T338" s="2"/>
    </row>
    <row r="339" spans="1:20">
      <c r="A339" s="2"/>
      <c r="B339" s="2"/>
      <c r="C339" s="2"/>
      <c r="D339" s="2"/>
      <c r="E339" s="2"/>
      <c r="F339" s="2"/>
      <c r="G339" s="2"/>
      <c r="H339" s="2"/>
      <c r="I339" s="2"/>
      <c r="J339" s="2"/>
      <c r="K339" s="2"/>
      <c r="L339" s="2"/>
      <c r="M339" s="2"/>
      <c r="N339" s="2"/>
      <c r="O339" s="2"/>
      <c r="P339" s="2"/>
      <c r="Q339" s="2"/>
      <c r="R339" s="2"/>
      <c r="S339" s="2"/>
      <c r="T339" s="2"/>
    </row>
    <row r="340" spans="1:20">
      <c r="A340" s="2"/>
      <c r="B340" s="2"/>
      <c r="C340" s="2"/>
      <c r="D340" s="2"/>
      <c r="E340" s="2"/>
      <c r="F340" s="2"/>
      <c r="G340" s="2"/>
      <c r="H340" s="2"/>
      <c r="I340" s="2"/>
      <c r="J340" s="2"/>
      <c r="K340" s="2"/>
      <c r="L340" s="2"/>
      <c r="M340" s="2"/>
      <c r="N340" s="2"/>
      <c r="O340" s="2"/>
      <c r="P340" s="2"/>
      <c r="Q340" s="2"/>
      <c r="R340" s="2"/>
      <c r="S340" s="2"/>
      <c r="T340" s="2"/>
    </row>
    <row r="341" spans="1:20">
      <c r="A341" s="2"/>
      <c r="B341" s="2"/>
      <c r="C341" s="2"/>
      <c r="D341" s="2"/>
      <c r="E341" s="2"/>
      <c r="F341" s="2"/>
      <c r="G341" s="2"/>
      <c r="H341" s="2"/>
      <c r="I341" s="2"/>
      <c r="J341" s="2"/>
      <c r="K341" s="2"/>
      <c r="L341" s="2"/>
      <c r="M341" s="2"/>
      <c r="N341" s="2"/>
      <c r="O341" s="2"/>
      <c r="P341" s="2"/>
      <c r="Q341" s="2"/>
      <c r="R341" s="2"/>
      <c r="S341" s="2"/>
      <c r="T341" s="2"/>
    </row>
    <row r="342" spans="1:20">
      <c r="A342" s="2"/>
      <c r="B342" s="2"/>
      <c r="C342" s="2"/>
      <c r="D342" s="2"/>
      <c r="E342" s="2"/>
      <c r="F342" s="2"/>
      <c r="G342" s="2"/>
      <c r="H342" s="2"/>
      <c r="I342" s="2"/>
      <c r="J342" s="2"/>
      <c r="K342" s="2"/>
      <c r="L342" s="2"/>
      <c r="M342" s="2"/>
      <c r="N342" s="2"/>
      <c r="O342" s="2"/>
      <c r="P342" s="2"/>
      <c r="Q342" s="2"/>
      <c r="R342" s="2"/>
      <c r="S342" s="2"/>
      <c r="T342" s="2"/>
    </row>
    <row r="343" spans="1:20">
      <c r="A343" s="2"/>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spans="1:20">
      <c r="A345" s="2"/>
      <c r="B345" s="2"/>
      <c r="C345" s="2"/>
      <c r="D345" s="2"/>
      <c r="E345" s="2"/>
      <c r="F345" s="2"/>
      <c r="G345" s="2"/>
      <c r="H345" s="2"/>
      <c r="I345" s="2"/>
      <c r="J345" s="2"/>
      <c r="K345" s="2"/>
      <c r="L345" s="2"/>
      <c r="M345" s="2"/>
      <c r="N345" s="2"/>
      <c r="O345" s="2"/>
      <c r="P345" s="2"/>
      <c r="Q345" s="2"/>
      <c r="R345" s="2"/>
      <c r="S345" s="2"/>
      <c r="T345" s="2"/>
    </row>
    <row r="346" spans="1:20">
      <c r="A346" s="2"/>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spans="1:20">
      <c r="A348" s="2"/>
      <c r="B348" s="2"/>
      <c r="C348" s="2"/>
      <c r="D348" s="2"/>
      <c r="E348" s="2"/>
      <c r="F348" s="2"/>
      <c r="G348" s="2"/>
      <c r="H348" s="2"/>
      <c r="I348" s="2"/>
      <c r="J348" s="2"/>
      <c r="K348" s="2"/>
      <c r="L348" s="2"/>
      <c r="M348" s="2"/>
      <c r="N348" s="2"/>
      <c r="O348" s="2"/>
      <c r="P348" s="2"/>
      <c r="Q348" s="2"/>
      <c r="R348" s="2"/>
      <c r="S348" s="2"/>
      <c r="T348" s="2"/>
    </row>
    <row r="349" spans="1:20">
      <c r="A349" s="2"/>
      <c r="B349" s="2"/>
      <c r="C349" s="2"/>
      <c r="D349" s="2"/>
      <c r="E349" s="2"/>
      <c r="F349" s="2"/>
      <c r="G349" s="2"/>
      <c r="H349" s="2"/>
      <c r="I349" s="2"/>
      <c r="J349" s="2"/>
      <c r="K349" s="2"/>
      <c r="L349" s="2"/>
      <c r="M349" s="2"/>
      <c r="N349" s="2"/>
      <c r="O349" s="2"/>
      <c r="P349" s="2"/>
      <c r="Q349" s="2"/>
      <c r="R349" s="2"/>
      <c r="S349" s="2"/>
      <c r="T349" s="2"/>
    </row>
    <row r="350" spans="1:20">
      <c r="A350" s="2"/>
      <c r="B350" s="2"/>
      <c r="C350" s="2"/>
      <c r="D350" s="2"/>
      <c r="E350" s="2"/>
      <c r="F350" s="2"/>
      <c r="G350" s="2"/>
      <c r="H350" s="2"/>
      <c r="I350" s="2"/>
      <c r="J350" s="2"/>
      <c r="K350" s="2"/>
      <c r="L350" s="2"/>
      <c r="M350" s="2"/>
      <c r="N350" s="2"/>
      <c r="O350" s="2"/>
      <c r="P350" s="2"/>
      <c r="Q350" s="2"/>
      <c r="R350" s="2"/>
      <c r="S350" s="2"/>
      <c r="T350" s="2"/>
    </row>
    <row r="351" spans="1:20">
      <c r="A351" s="2"/>
      <c r="B351" s="2"/>
      <c r="C351" s="2"/>
      <c r="D351" s="2"/>
      <c r="E351" s="2"/>
      <c r="F351" s="2"/>
      <c r="G351" s="2"/>
      <c r="H351" s="2"/>
      <c r="I351" s="2"/>
      <c r="J351" s="2"/>
      <c r="K351" s="2"/>
      <c r="L351" s="2"/>
      <c r="M351" s="2"/>
      <c r="N351" s="2"/>
      <c r="O351" s="2"/>
      <c r="P351" s="2"/>
      <c r="Q351" s="2"/>
      <c r="R351" s="2"/>
      <c r="S351" s="2"/>
      <c r="T351" s="2"/>
    </row>
    <row r="352" spans="1:20">
      <c r="A352" s="2"/>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spans="1:20">
      <c r="A354" s="2"/>
      <c r="B354" s="2"/>
      <c r="C354" s="2"/>
      <c r="D354" s="2"/>
      <c r="E354" s="2"/>
      <c r="F354" s="2"/>
      <c r="G354" s="2"/>
      <c r="H354" s="2"/>
      <c r="I354" s="2"/>
      <c r="J354" s="2"/>
      <c r="K354" s="2"/>
      <c r="L354" s="2"/>
      <c r="M354" s="2"/>
      <c r="N354" s="2"/>
      <c r="O354" s="2"/>
      <c r="P354" s="2"/>
      <c r="Q354" s="2"/>
      <c r="R354" s="2"/>
      <c r="S354" s="2"/>
      <c r="T354" s="2"/>
    </row>
    <row r="355" spans="1:20">
      <c r="A355" s="2"/>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spans="1:20">
      <c r="A357" s="2"/>
      <c r="B357" s="2"/>
      <c r="C357" s="2"/>
      <c r="D357" s="2"/>
      <c r="E357" s="2"/>
      <c r="F357" s="2"/>
      <c r="G357" s="2"/>
      <c r="H357" s="2"/>
      <c r="I357" s="2"/>
      <c r="J357" s="2"/>
      <c r="K357" s="2"/>
      <c r="L357" s="2"/>
      <c r="M357" s="2"/>
      <c r="N357" s="2"/>
      <c r="O357" s="2"/>
      <c r="P357" s="2"/>
      <c r="Q357" s="2"/>
      <c r="R357" s="2"/>
      <c r="S357" s="2"/>
      <c r="T357" s="2"/>
    </row>
    <row r="358" spans="1:20">
      <c r="A358" s="2"/>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spans="1:20">
      <c r="A360" s="2"/>
      <c r="B360" s="2"/>
      <c r="C360" s="2"/>
      <c r="D360" s="2"/>
      <c r="E360" s="2"/>
      <c r="F360" s="2"/>
      <c r="G360" s="2"/>
      <c r="H360" s="2"/>
      <c r="I360" s="2"/>
      <c r="J360" s="2"/>
      <c r="K360" s="2"/>
      <c r="L360" s="2"/>
      <c r="M360" s="2"/>
      <c r="N360" s="2"/>
      <c r="O360" s="2"/>
      <c r="P360" s="2"/>
      <c r="Q360" s="2"/>
      <c r="R360" s="2"/>
      <c r="S360" s="2"/>
      <c r="T360" s="2"/>
    </row>
    <row r="361" spans="1:20">
      <c r="A361" s="2"/>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spans="1:20">
      <c r="A363" s="2"/>
      <c r="B363" s="2"/>
      <c r="C363" s="2"/>
      <c r="D363" s="2"/>
      <c r="E363" s="2"/>
      <c r="F363" s="2"/>
      <c r="G363" s="2"/>
      <c r="H363" s="2"/>
      <c r="I363" s="2"/>
      <c r="J363" s="2"/>
      <c r="K363" s="2"/>
      <c r="L363" s="2"/>
      <c r="M363" s="2"/>
      <c r="N363" s="2"/>
      <c r="O363" s="2"/>
      <c r="P363" s="2"/>
      <c r="Q363" s="2"/>
      <c r="R363" s="2"/>
      <c r="S363" s="2"/>
      <c r="T363" s="2"/>
    </row>
    <row r="364" spans="1:20">
      <c r="A364" s="2"/>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spans="1:20">
      <c r="A366" s="2"/>
      <c r="B366" s="2"/>
      <c r="C366" s="2"/>
      <c r="D366" s="2"/>
      <c r="E366" s="2"/>
      <c r="F366" s="2"/>
      <c r="G366" s="2"/>
      <c r="H366" s="2"/>
      <c r="I366" s="2"/>
      <c r="J366" s="2"/>
      <c r="K366" s="2"/>
      <c r="L366" s="2"/>
      <c r="M366" s="2"/>
      <c r="N366" s="2"/>
      <c r="O366" s="2"/>
      <c r="P366" s="2"/>
      <c r="Q366" s="2"/>
      <c r="R366" s="2"/>
      <c r="S366" s="2"/>
      <c r="T366" s="2"/>
    </row>
    <row r="367" spans="1:20">
      <c r="A367" s="2"/>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spans="1:20">
      <c r="A369" s="2"/>
      <c r="B369" s="2"/>
      <c r="C369" s="2"/>
      <c r="D369" s="2"/>
      <c r="E369" s="2"/>
      <c r="F369" s="2"/>
      <c r="G369" s="2"/>
      <c r="H369" s="2"/>
      <c r="I369" s="2"/>
      <c r="J369" s="2"/>
      <c r="K369" s="2"/>
      <c r="L369" s="2"/>
      <c r="M369" s="2"/>
      <c r="N369" s="2"/>
      <c r="O369" s="2"/>
      <c r="P369" s="2"/>
      <c r="Q369" s="2"/>
      <c r="R369" s="2"/>
      <c r="S369" s="2"/>
      <c r="T369" s="2"/>
    </row>
    <row r="370" spans="1:20">
      <c r="A370" s="2"/>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spans="1:20">
      <c r="A372" s="2"/>
      <c r="B372" s="2"/>
      <c r="C372" s="2"/>
      <c r="D372" s="2"/>
      <c r="E372" s="2"/>
      <c r="F372" s="2"/>
      <c r="G372" s="2"/>
      <c r="H372" s="2"/>
      <c r="I372" s="2"/>
      <c r="J372" s="2"/>
      <c r="K372" s="2"/>
      <c r="L372" s="2"/>
      <c r="M372" s="2"/>
      <c r="N372" s="2"/>
      <c r="O372" s="2"/>
      <c r="P372" s="2"/>
      <c r="Q372" s="2"/>
      <c r="R372" s="2"/>
      <c r="S372" s="2"/>
      <c r="T372" s="2"/>
    </row>
    <row r="373" spans="1:20">
      <c r="A373" s="2"/>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row r="375" spans="1:20">
      <c r="A375" s="2"/>
      <c r="B375" s="2"/>
      <c r="C375" s="2"/>
      <c r="D375" s="2"/>
      <c r="E375" s="2"/>
      <c r="F375" s="2"/>
      <c r="G375" s="2"/>
      <c r="H375" s="2"/>
      <c r="I375" s="2"/>
      <c r="J375" s="2"/>
      <c r="K375" s="2"/>
      <c r="L375" s="2"/>
      <c r="M375" s="2"/>
      <c r="N375" s="2"/>
      <c r="O375" s="2"/>
      <c r="P375" s="2"/>
      <c r="Q375" s="2"/>
      <c r="R375" s="2"/>
      <c r="S375" s="2"/>
      <c r="T375" s="2"/>
    </row>
    <row r="376" spans="1:20">
      <c r="A376" s="2"/>
      <c r="B376" s="2"/>
      <c r="C376" s="2"/>
      <c r="D376" s="2"/>
      <c r="E376" s="2"/>
      <c r="F376" s="2"/>
      <c r="G376" s="2"/>
      <c r="H376" s="2"/>
      <c r="I376" s="2"/>
      <c r="J376" s="2"/>
      <c r="K376" s="2"/>
      <c r="L376" s="2"/>
      <c r="M376" s="2"/>
      <c r="N376" s="2"/>
      <c r="O376" s="2"/>
      <c r="P376" s="2"/>
      <c r="Q376" s="2"/>
      <c r="R376" s="2"/>
      <c r="S376" s="2"/>
      <c r="T376" s="2"/>
    </row>
    <row r="377" spans="1:20">
      <c r="A377" s="2"/>
      <c r="B377" s="2"/>
      <c r="C377" s="2"/>
      <c r="D377" s="2"/>
      <c r="E377" s="2"/>
      <c r="F377" s="2"/>
      <c r="G377" s="2"/>
      <c r="H377" s="2"/>
      <c r="I377" s="2"/>
      <c r="J377" s="2"/>
      <c r="K377" s="2"/>
      <c r="L377" s="2"/>
      <c r="M377" s="2"/>
      <c r="N377" s="2"/>
      <c r="O377" s="2"/>
      <c r="P377" s="2"/>
      <c r="Q377" s="2"/>
      <c r="R377" s="2"/>
      <c r="S377" s="2"/>
      <c r="T377" s="2"/>
    </row>
    <row r="378" spans="1:20">
      <c r="A378" s="2"/>
      <c r="B378" s="2"/>
      <c r="C378" s="2"/>
      <c r="D378" s="2"/>
      <c r="E378" s="2"/>
      <c r="F378" s="2"/>
      <c r="G378" s="2"/>
      <c r="H378" s="2"/>
      <c r="I378" s="2"/>
      <c r="J378" s="2"/>
      <c r="K378" s="2"/>
      <c r="L378" s="2"/>
      <c r="M378" s="2"/>
      <c r="N378" s="2"/>
      <c r="O378" s="2"/>
      <c r="P378" s="2"/>
      <c r="Q378" s="2"/>
      <c r="R378" s="2"/>
      <c r="S378" s="2"/>
      <c r="T378" s="2"/>
    </row>
    <row r="379" spans="1:20">
      <c r="A379" s="2"/>
      <c r="B379" s="2"/>
      <c r="C379" s="2"/>
      <c r="D379" s="2"/>
      <c r="E379" s="2"/>
      <c r="F379" s="2"/>
      <c r="G379" s="2"/>
      <c r="H379" s="2"/>
      <c r="I379" s="2"/>
      <c r="J379" s="2"/>
      <c r="K379" s="2"/>
      <c r="L379" s="2"/>
      <c r="M379" s="2"/>
      <c r="N379" s="2"/>
      <c r="O379" s="2"/>
      <c r="P379" s="2"/>
      <c r="Q379" s="2"/>
      <c r="R379" s="2"/>
      <c r="S379" s="2"/>
      <c r="T379" s="2"/>
    </row>
    <row r="380" spans="1:20">
      <c r="A380" s="2"/>
      <c r="B380" s="2"/>
      <c r="C380" s="2"/>
      <c r="D380" s="2"/>
      <c r="E380" s="2"/>
      <c r="F380" s="2"/>
      <c r="G380" s="2"/>
      <c r="H380" s="2"/>
      <c r="I380" s="2"/>
      <c r="J380" s="2"/>
      <c r="K380" s="2"/>
      <c r="L380" s="2"/>
      <c r="M380" s="2"/>
      <c r="N380" s="2"/>
      <c r="O380" s="2"/>
      <c r="P380" s="2"/>
      <c r="Q380" s="2"/>
      <c r="R380" s="2"/>
      <c r="S380" s="2"/>
      <c r="T380" s="2"/>
    </row>
    <row r="381" spans="1:20">
      <c r="A381" s="2"/>
      <c r="B381" s="2"/>
      <c r="C381" s="2"/>
      <c r="D381" s="2"/>
      <c r="E381" s="2"/>
      <c r="F381" s="2"/>
      <c r="G381" s="2"/>
      <c r="H381" s="2"/>
      <c r="I381" s="2"/>
      <c r="J381" s="2"/>
      <c r="K381" s="2"/>
      <c r="L381" s="2"/>
      <c r="M381" s="2"/>
      <c r="N381" s="2"/>
      <c r="O381" s="2"/>
      <c r="P381" s="2"/>
      <c r="Q381" s="2"/>
      <c r="R381" s="2"/>
      <c r="S381" s="2"/>
      <c r="T381" s="2"/>
    </row>
    <row r="382" spans="1:20">
      <c r="A382" s="2"/>
      <c r="B382" s="2"/>
      <c r="C382" s="2"/>
      <c r="D382" s="2"/>
      <c r="E382" s="2"/>
      <c r="F382" s="2"/>
      <c r="G382" s="2"/>
      <c r="H382" s="2"/>
      <c r="I382" s="2"/>
      <c r="J382" s="2"/>
      <c r="K382" s="2"/>
      <c r="L382" s="2"/>
      <c r="M382" s="2"/>
      <c r="N382" s="2"/>
      <c r="O382" s="2"/>
      <c r="P382" s="2"/>
      <c r="Q382" s="2"/>
      <c r="R382" s="2"/>
      <c r="S382" s="2"/>
      <c r="T382" s="2"/>
    </row>
    <row r="383" spans="1:20">
      <c r="A383" s="2"/>
      <c r="B383" s="2"/>
      <c r="C383" s="2"/>
      <c r="D383" s="2"/>
      <c r="E383" s="2"/>
      <c r="F383" s="2"/>
      <c r="G383" s="2"/>
      <c r="H383" s="2"/>
      <c r="I383" s="2"/>
      <c r="J383" s="2"/>
      <c r="K383" s="2"/>
      <c r="L383" s="2"/>
      <c r="M383" s="2"/>
      <c r="N383" s="2"/>
      <c r="O383" s="2"/>
      <c r="P383" s="2"/>
      <c r="Q383" s="2"/>
      <c r="R383" s="2"/>
      <c r="S383" s="2"/>
      <c r="T383" s="2"/>
    </row>
    <row r="384" spans="1:20">
      <c r="A384" s="2"/>
      <c r="B384" s="2"/>
      <c r="C384" s="2"/>
      <c r="D384" s="2"/>
      <c r="E384" s="2"/>
      <c r="F384" s="2"/>
      <c r="G384" s="2"/>
      <c r="H384" s="2"/>
      <c r="I384" s="2"/>
      <c r="J384" s="2"/>
      <c r="K384" s="2"/>
      <c r="L384" s="2"/>
      <c r="M384" s="2"/>
      <c r="N384" s="2"/>
      <c r="O384" s="2"/>
      <c r="P384" s="2"/>
      <c r="Q384" s="2"/>
      <c r="R384" s="2"/>
      <c r="S384" s="2"/>
      <c r="T384" s="2"/>
    </row>
    <row r="385" spans="1:20">
      <c r="A385" s="2"/>
      <c r="B385" s="2"/>
      <c r="C385" s="2"/>
      <c r="D385" s="2"/>
      <c r="E385" s="2"/>
      <c r="F385" s="2"/>
      <c r="G385" s="2"/>
      <c r="H385" s="2"/>
      <c r="I385" s="2"/>
      <c r="J385" s="2"/>
      <c r="K385" s="2"/>
      <c r="L385" s="2"/>
      <c r="M385" s="2"/>
      <c r="N385" s="2"/>
      <c r="O385" s="2"/>
      <c r="P385" s="2"/>
      <c r="Q385" s="2"/>
      <c r="R385" s="2"/>
      <c r="S385" s="2"/>
      <c r="T385" s="2"/>
    </row>
    <row r="386" spans="1:20">
      <c r="A386" s="2"/>
      <c r="B386" s="2"/>
      <c r="C386" s="2"/>
      <c r="D386" s="2"/>
      <c r="E386" s="2"/>
      <c r="F386" s="2"/>
      <c r="G386" s="2"/>
      <c r="H386" s="2"/>
      <c r="I386" s="2"/>
      <c r="J386" s="2"/>
      <c r="K386" s="2"/>
      <c r="L386" s="2"/>
      <c r="M386" s="2"/>
      <c r="N386" s="2"/>
      <c r="O386" s="2"/>
      <c r="P386" s="2"/>
      <c r="Q386" s="2"/>
      <c r="R386" s="2"/>
      <c r="S386" s="2"/>
      <c r="T386" s="2"/>
    </row>
    <row r="387" spans="1:20">
      <c r="A387" s="2"/>
      <c r="B387" s="2"/>
      <c r="C387" s="2"/>
      <c r="D387" s="2"/>
      <c r="E387" s="2"/>
      <c r="F387" s="2"/>
      <c r="G387" s="2"/>
      <c r="H387" s="2"/>
      <c r="I387" s="2"/>
      <c r="J387" s="2"/>
      <c r="K387" s="2"/>
      <c r="L387" s="2"/>
      <c r="M387" s="2"/>
      <c r="N387" s="2"/>
      <c r="O387" s="2"/>
      <c r="P387" s="2"/>
      <c r="Q387" s="2"/>
      <c r="R387" s="2"/>
      <c r="S387" s="2"/>
      <c r="T387" s="2"/>
    </row>
    <row r="388" spans="1:20">
      <c r="A388" s="2"/>
      <c r="B388" s="2"/>
      <c r="C388" s="2"/>
      <c r="D388" s="2"/>
      <c r="E388" s="2"/>
      <c r="F388" s="2"/>
      <c r="G388" s="2"/>
      <c r="H388" s="2"/>
      <c r="I388" s="2"/>
      <c r="J388" s="2"/>
      <c r="K388" s="2"/>
      <c r="L388" s="2"/>
      <c r="M388" s="2"/>
      <c r="N388" s="2"/>
      <c r="O388" s="2"/>
      <c r="P388" s="2"/>
      <c r="Q388" s="2"/>
      <c r="R388" s="2"/>
      <c r="S388" s="2"/>
      <c r="T388" s="2"/>
    </row>
    <row r="389" spans="1:20">
      <c r="A389" s="2"/>
      <c r="B389" s="2"/>
      <c r="C389" s="2"/>
      <c r="D389" s="2"/>
      <c r="E389" s="2"/>
      <c r="F389" s="2"/>
      <c r="G389" s="2"/>
      <c r="H389" s="2"/>
      <c r="I389" s="2"/>
      <c r="J389" s="2"/>
      <c r="K389" s="2"/>
      <c r="L389" s="2"/>
      <c r="M389" s="2"/>
      <c r="N389" s="2"/>
      <c r="O389" s="2"/>
      <c r="P389" s="2"/>
      <c r="Q389" s="2"/>
      <c r="R389" s="2"/>
      <c r="S389" s="2"/>
      <c r="T389" s="2"/>
    </row>
    <row r="390" spans="1:20">
      <c r="A390" s="2"/>
      <c r="B390" s="2"/>
      <c r="C390" s="2"/>
      <c r="D390" s="2"/>
      <c r="E390" s="2"/>
      <c r="F390" s="2"/>
      <c r="G390" s="2"/>
      <c r="H390" s="2"/>
      <c r="I390" s="2"/>
      <c r="J390" s="2"/>
      <c r="K390" s="2"/>
      <c r="L390" s="2"/>
      <c r="M390" s="2"/>
      <c r="N390" s="2"/>
      <c r="O390" s="2"/>
      <c r="P390" s="2"/>
      <c r="Q390" s="2"/>
      <c r="R390" s="2"/>
      <c r="S390" s="2"/>
      <c r="T390" s="2"/>
    </row>
    <row r="391" spans="1:20">
      <c r="A391" s="2"/>
      <c r="B391" s="2"/>
      <c r="C391" s="2"/>
      <c r="D391" s="2"/>
      <c r="E391" s="2"/>
      <c r="F391" s="2"/>
      <c r="G391" s="2"/>
      <c r="H391" s="2"/>
      <c r="I391" s="2"/>
      <c r="J391" s="2"/>
      <c r="K391" s="2"/>
      <c r="L391" s="2"/>
      <c r="M391" s="2"/>
      <c r="N391" s="2"/>
      <c r="O391" s="2"/>
      <c r="P391" s="2"/>
      <c r="Q391" s="2"/>
      <c r="R391" s="2"/>
      <c r="S391" s="2"/>
      <c r="T391" s="2"/>
    </row>
    <row r="392" spans="1:20">
      <c r="A392" s="2"/>
      <c r="B392" s="2"/>
      <c r="C392" s="2"/>
      <c r="D392" s="2"/>
      <c r="E392" s="2"/>
      <c r="F392" s="2"/>
      <c r="G392" s="2"/>
      <c r="H392" s="2"/>
      <c r="I392" s="2"/>
      <c r="J392" s="2"/>
      <c r="K392" s="2"/>
      <c r="L392" s="2"/>
      <c r="M392" s="2"/>
      <c r="N392" s="2"/>
      <c r="O392" s="2"/>
      <c r="P392" s="2"/>
      <c r="Q392" s="2"/>
      <c r="R392" s="2"/>
      <c r="S392" s="2"/>
      <c r="T392" s="2"/>
    </row>
    <row r="393" spans="1:20">
      <c r="A393" s="2"/>
      <c r="B393" s="2"/>
      <c r="C393" s="2"/>
      <c r="D393" s="2"/>
      <c r="E393" s="2"/>
      <c r="F393" s="2"/>
      <c r="G393" s="2"/>
      <c r="H393" s="2"/>
      <c r="I393" s="2"/>
      <c r="J393" s="2"/>
      <c r="K393" s="2"/>
      <c r="L393" s="2"/>
      <c r="M393" s="2"/>
      <c r="N393" s="2"/>
      <c r="O393" s="2"/>
      <c r="P393" s="2"/>
      <c r="Q393" s="2"/>
      <c r="R393" s="2"/>
      <c r="S393" s="2"/>
      <c r="T393" s="2"/>
    </row>
    <row r="394" spans="1:20">
      <c r="A394" s="2"/>
      <c r="B394" s="2"/>
      <c r="C394" s="2"/>
      <c r="D394" s="2"/>
      <c r="E394" s="2"/>
      <c r="F394" s="2"/>
      <c r="G394" s="2"/>
      <c r="H394" s="2"/>
      <c r="I394" s="2"/>
      <c r="J394" s="2"/>
      <c r="K394" s="2"/>
      <c r="L394" s="2"/>
      <c r="M394" s="2"/>
      <c r="N394" s="2"/>
      <c r="O394" s="2"/>
      <c r="P394" s="2"/>
      <c r="Q394" s="2"/>
      <c r="R394" s="2"/>
      <c r="S394" s="2"/>
      <c r="T394" s="2"/>
    </row>
    <row r="395" spans="1:20">
      <c r="A395" s="2"/>
      <c r="B395" s="2"/>
      <c r="C395" s="2"/>
      <c r="D395" s="2"/>
      <c r="E395" s="2"/>
      <c r="F395" s="2"/>
      <c r="G395" s="2"/>
      <c r="H395" s="2"/>
      <c r="I395" s="2"/>
      <c r="J395" s="2"/>
      <c r="K395" s="2"/>
      <c r="L395" s="2"/>
      <c r="M395" s="2"/>
      <c r="N395" s="2"/>
      <c r="O395" s="2"/>
      <c r="P395" s="2"/>
      <c r="Q395" s="2"/>
      <c r="R395" s="2"/>
      <c r="S395" s="2"/>
      <c r="T395" s="2"/>
    </row>
    <row r="396" spans="1:20">
      <c r="A396" s="2"/>
      <c r="B396" s="2"/>
      <c r="C396" s="2"/>
      <c r="D396" s="2"/>
      <c r="E396" s="2"/>
      <c r="F396" s="2"/>
      <c r="G396" s="2"/>
      <c r="H396" s="2"/>
      <c r="I396" s="2"/>
      <c r="J396" s="2"/>
      <c r="K396" s="2"/>
      <c r="L396" s="2"/>
      <c r="M396" s="2"/>
      <c r="N396" s="2"/>
      <c r="O396" s="2"/>
      <c r="P396" s="2"/>
      <c r="Q396" s="2"/>
      <c r="R396" s="2"/>
      <c r="S396" s="2"/>
      <c r="T396" s="2"/>
    </row>
    <row r="397" spans="1:20">
      <c r="A397" s="2"/>
      <c r="B397" s="2"/>
      <c r="C397" s="2"/>
      <c r="D397" s="2"/>
      <c r="E397" s="2"/>
      <c r="F397" s="2"/>
      <c r="G397" s="2"/>
      <c r="H397" s="2"/>
      <c r="I397" s="2"/>
      <c r="J397" s="2"/>
      <c r="K397" s="2"/>
      <c r="L397" s="2"/>
      <c r="M397" s="2"/>
      <c r="N397" s="2"/>
      <c r="O397" s="2"/>
      <c r="P397" s="2"/>
      <c r="Q397" s="2"/>
      <c r="R397" s="2"/>
      <c r="S397" s="2"/>
      <c r="T397" s="2"/>
    </row>
    <row r="398" spans="1:20">
      <c r="A398" s="2"/>
      <c r="B398" s="2"/>
      <c r="C398" s="2"/>
      <c r="D398" s="2"/>
      <c r="E398" s="2"/>
      <c r="F398" s="2"/>
      <c r="G398" s="2"/>
      <c r="H398" s="2"/>
      <c r="I398" s="2"/>
      <c r="J398" s="2"/>
      <c r="K398" s="2"/>
      <c r="L398" s="2"/>
      <c r="M398" s="2"/>
      <c r="N398" s="2"/>
      <c r="O398" s="2"/>
      <c r="P398" s="2"/>
      <c r="Q398" s="2"/>
      <c r="R398" s="2"/>
      <c r="S398" s="2"/>
      <c r="T398" s="2"/>
    </row>
    <row r="399" spans="1:20">
      <c r="A399" s="2"/>
      <c r="B399" s="2"/>
      <c r="C399" s="2"/>
      <c r="D399" s="2"/>
      <c r="E399" s="2"/>
      <c r="F399" s="2"/>
      <c r="G399" s="2"/>
      <c r="H399" s="2"/>
      <c r="I399" s="2"/>
      <c r="J399" s="2"/>
      <c r="K399" s="2"/>
      <c r="L399" s="2"/>
      <c r="M399" s="2"/>
      <c r="N399" s="2"/>
      <c r="O399" s="2"/>
      <c r="P399" s="2"/>
      <c r="Q399" s="2"/>
      <c r="R399" s="2"/>
      <c r="S399" s="2"/>
      <c r="T399" s="2"/>
    </row>
    <row r="400" spans="1:20">
      <c r="A400" s="2"/>
      <c r="B400" s="2"/>
      <c r="C400" s="2"/>
      <c r="D400" s="2"/>
      <c r="E400" s="2"/>
      <c r="F400" s="2"/>
      <c r="G400" s="2"/>
      <c r="H400" s="2"/>
      <c r="I400" s="2"/>
      <c r="J400" s="2"/>
      <c r="K400" s="2"/>
      <c r="L400" s="2"/>
      <c r="M400" s="2"/>
      <c r="N400" s="2"/>
      <c r="O400" s="2"/>
      <c r="P400" s="2"/>
      <c r="Q400" s="2"/>
      <c r="R400" s="2"/>
      <c r="S400" s="2"/>
      <c r="T400" s="2"/>
    </row>
    <row r="401" spans="1:20">
      <c r="A401" s="2"/>
      <c r="B401" s="2"/>
      <c r="C401" s="2"/>
      <c r="D401" s="2"/>
      <c r="E401" s="2"/>
      <c r="F401" s="2"/>
      <c r="G401" s="2"/>
      <c r="H401" s="2"/>
      <c r="I401" s="2"/>
      <c r="J401" s="2"/>
      <c r="K401" s="2"/>
      <c r="L401" s="2"/>
      <c r="M401" s="2"/>
      <c r="N401" s="2"/>
      <c r="O401" s="2"/>
      <c r="P401" s="2"/>
      <c r="Q401" s="2"/>
      <c r="R401" s="2"/>
      <c r="S401" s="2"/>
      <c r="T401" s="2"/>
    </row>
    <row r="402" spans="1:20">
      <c r="A402" s="2"/>
      <c r="B402" s="2"/>
      <c r="C402" s="2"/>
      <c r="D402" s="2"/>
      <c r="E402" s="2"/>
      <c r="F402" s="2"/>
      <c r="G402" s="2"/>
      <c r="H402" s="2"/>
      <c r="I402" s="2"/>
      <c r="J402" s="2"/>
      <c r="K402" s="2"/>
      <c r="L402" s="2"/>
      <c r="M402" s="2"/>
      <c r="N402" s="2"/>
      <c r="O402" s="2"/>
      <c r="P402" s="2"/>
      <c r="Q402" s="2"/>
      <c r="R402" s="2"/>
      <c r="S402" s="2"/>
      <c r="T402" s="2"/>
    </row>
    <row r="403" spans="1:20">
      <c r="A403" s="2"/>
      <c r="B403" s="2"/>
      <c r="C403" s="2"/>
      <c r="D403" s="2"/>
      <c r="E403" s="2"/>
      <c r="F403" s="2"/>
      <c r="G403" s="2"/>
      <c r="H403" s="2"/>
      <c r="I403" s="2"/>
      <c r="J403" s="2"/>
      <c r="K403" s="2"/>
      <c r="L403" s="2"/>
      <c r="M403" s="2"/>
      <c r="N403" s="2"/>
      <c r="O403" s="2"/>
      <c r="P403" s="2"/>
      <c r="Q403" s="2"/>
      <c r="R403" s="2"/>
      <c r="S403" s="2"/>
      <c r="T403" s="2"/>
    </row>
    <row r="404" spans="1:20">
      <c r="A404" s="2"/>
      <c r="B404" s="2"/>
      <c r="C404" s="2"/>
      <c r="D404" s="2"/>
      <c r="E404" s="2"/>
      <c r="F404" s="2"/>
      <c r="G404" s="2"/>
      <c r="H404" s="2"/>
      <c r="I404" s="2"/>
      <c r="J404" s="2"/>
      <c r="K404" s="2"/>
      <c r="L404" s="2"/>
      <c r="M404" s="2"/>
      <c r="N404" s="2"/>
      <c r="O404" s="2"/>
      <c r="P404" s="2"/>
      <c r="Q404" s="2"/>
      <c r="R404" s="2"/>
      <c r="S404" s="2"/>
      <c r="T404" s="2"/>
    </row>
    <row r="405" spans="1:20">
      <c r="A405" s="2"/>
      <c r="B405" s="2"/>
      <c r="C405" s="2"/>
      <c r="D405" s="2"/>
      <c r="E405" s="2"/>
      <c r="F405" s="2"/>
      <c r="G405" s="2"/>
      <c r="H405" s="2"/>
      <c r="I405" s="2"/>
      <c r="J405" s="2"/>
      <c r="K405" s="2"/>
      <c r="L405" s="2"/>
      <c r="M405" s="2"/>
      <c r="N405" s="2"/>
      <c r="O405" s="2"/>
      <c r="P405" s="2"/>
      <c r="Q405" s="2"/>
      <c r="R405" s="2"/>
      <c r="S405" s="2"/>
      <c r="T405" s="2"/>
    </row>
    <row r="406" spans="1:20">
      <c r="A406" s="2"/>
      <c r="B406" s="2"/>
      <c r="C406" s="2"/>
      <c r="D406" s="2"/>
      <c r="E406" s="2"/>
      <c r="F406" s="2"/>
      <c r="G406" s="2"/>
      <c r="H406" s="2"/>
      <c r="I406" s="2"/>
      <c r="J406" s="2"/>
      <c r="K406" s="2"/>
      <c r="L406" s="2"/>
      <c r="M406" s="2"/>
      <c r="N406" s="2"/>
      <c r="O406" s="2"/>
      <c r="P406" s="2"/>
      <c r="Q406" s="2"/>
      <c r="R406" s="2"/>
      <c r="S406" s="2"/>
      <c r="T406" s="2"/>
    </row>
    <row r="407" spans="1:20">
      <c r="A407" s="2"/>
      <c r="B407" s="2"/>
      <c r="C407" s="2"/>
      <c r="D407" s="2"/>
      <c r="E407" s="2"/>
      <c r="F407" s="2"/>
      <c r="G407" s="2"/>
      <c r="H407" s="2"/>
      <c r="I407" s="2"/>
      <c r="J407" s="2"/>
      <c r="K407" s="2"/>
      <c r="L407" s="2"/>
      <c r="M407" s="2"/>
      <c r="N407" s="2"/>
      <c r="O407" s="2"/>
      <c r="P407" s="2"/>
      <c r="Q407" s="2"/>
      <c r="R407" s="2"/>
      <c r="S407" s="2"/>
      <c r="T407" s="2"/>
    </row>
    <row r="408" spans="1:20">
      <c r="A408" s="2"/>
      <c r="B408" s="2"/>
      <c r="C408" s="2"/>
      <c r="D408" s="2"/>
      <c r="E408" s="2"/>
      <c r="F408" s="2"/>
      <c r="G408" s="2"/>
      <c r="H408" s="2"/>
      <c r="I408" s="2"/>
      <c r="J408" s="2"/>
      <c r="K408" s="2"/>
      <c r="L408" s="2"/>
      <c r="M408" s="2"/>
      <c r="N408" s="2"/>
      <c r="O408" s="2"/>
      <c r="P408" s="2"/>
      <c r="Q408" s="2"/>
      <c r="R408" s="2"/>
      <c r="S408" s="2"/>
      <c r="T408" s="2"/>
    </row>
    <row r="409" spans="1:20">
      <c r="A409" s="2"/>
      <c r="B409" s="2"/>
      <c r="C409" s="2"/>
      <c r="D409" s="2"/>
      <c r="E409" s="2"/>
      <c r="F409" s="2"/>
      <c r="G409" s="2"/>
      <c r="H409" s="2"/>
      <c r="I409" s="2"/>
      <c r="J409" s="2"/>
      <c r="K409" s="2"/>
      <c r="L409" s="2"/>
      <c r="M409" s="2"/>
      <c r="N409" s="2"/>
      <c r="O409" s="2"/>
      <c r="P409" s="2"/>
      <c r="Q409" s="2"/>
      <c r="R409" s="2"/>
      <c r="S409" s="2"/>
      <c r="T409" s="2"/>
    </row>
    <row r="410" spans="1:20">
      <c r="A410" s="2"/>
      <c r="B410" s="2"/>
      <c r="C410" s="2"/>
      <c r="D410" s="2"/>
      <c r="E410" s="2"/>
      <c r="F410" s="2"/>
      <c r="G410" s="2"/>
      <c r="H410" s="2"/>
      <c r="I410" s="2"/>
      <c r="J410" s="2"/>
      <c r="K410" s="2"/>
      <c r="L410" s="2"/>
      <c r="M410" s="2"/>
      <c r="N410" s="2"/>
      <c r="O410" s="2"/>
      <c r="P410" s="2"/>
      <c r="Q410" s="2"/>
      <c r="R410" s="2"/>
      <c r="S410" s="2"/>
      <c r="T410" s="2"/>
    </row>
    <row r="411" spans="1:20">
      <c r="A411" s="2"/>
      <c r="B411" s="2"/>
      <c r="C411" s="2"/>
      <c r="D411" s="2"/>
      <c r="E411" s="2"/>
      <c r="F411" s="2"/>
      <c r="G411" s="2"/>
      <c r="H411" s="2"/>
      <c r="I411" s="2"/>
      <c r="J411" s="2"/>
      <c r="K411" s="2"/>
      <c r="L411" s="2"/>
      <c r="M411" s="2"/>
      <c r="N411" s="2"/>
      <c r="O411" s="2"/>
      <c r="P411" s="2"/>
      <c r="Q411" s="2"/>
      <c r="R411" s="2"/>
      <c r="S411" s="2"/>
      <c r="T411" s="2"/>
    </row>
    <row r="412" spans="1:20">
      <c r="A412" s="2"/>
      <c r="B412" s="2"/>
      <c r="C412" s="2"/>
      <c r="D412" s="2"/>
      <c r="E412" s="2"/>
      <c r="F412" s="2"/>
      <c r="G412" s="2"/>
      <c r="H412" s="2"/>
      <c r="I412" s="2"/>
      <c r="J412" s="2"/>
      <c r="K412" s="2"/>
      <c r="L412" s="2"/>
      <c r="M412" s="2"/>
      <c r="N412" s="2"/>
      <c r="O412" s="2"/>
      <c r="P412" s="2"/>
      <c r="Q412" s="2"/>
      <c r="R412" s="2"/>
      <c r="S412" s="2"/>
      <c r="T412" s="2"/>
    </row>
    <row r="413" spans="1:20">
      <c r="A413" s="2"/>
      <c r="B413" s="2"/>
      <c r="C413" s="2"/>
      <c r="D413" s="2"/>
      <c r="E413" s="2"/>
      <c r="F413" s="2"/>
      <c r="G413" s="2"/>
      <c r="H413" s="2"/>
      <c r="I413" s="2"/>
      <c r="J413" s="2"/>
      <c r="K413" s="2"/>
      <c r="L413" s="2"/>
      <c r="M413" s="2"/>
      <c r="N413" s="2"/>
      <c r="O413" s="2"/>
      <c r="P413" s="2"/>
      <c r="Q413" s="2"/>
      <c r="R413" s="2"/>
      <c r="S413" s="2"/>
      <c r="T413" s="2"/>
    </row>
    <row r="414" spans="1:20">
      <c r="A414" s="2"/>
      <c r="B414" s="2"/>
      <c r="C414" s="2"/>
      <c r="D414" s="2"/>
      <c r="E414" s="2"/>
      <c r="F414" s="2"/>
      <c r="G414" s="2"/>
      <c r="H414" s="2"/>
      <c r="I414" s="2"/>
      <c r="J414" s="2"/>
      <c r="K414" s="2"/>
      <c r="L414" s="2"/>
      <c r="M414" s="2"/>
      <c r="N414" s="2"/>
      <c r="O414" s="2"/>
      <c r="P414" s="2"/>
      <c r="Q414" s="2"/>
      <c r="R414" s="2"/>
      <c r="S414" s="2"/>
      <c r="T414" s="2"/>
    </row>
    <row r="415" spans="1:20">
      <c r="A415" s="2"/>
      <c r="B415" s="2"/>
      <c r="C415" s="2"/>
      <c r="D415" s="2"/>
      <c r="E415" s="2"/>
      <c r="F415" s="2"/>
      <c r="G415" s="2"/>
      <c r="H415" s="2"/>
      <c r="I415" s="2"/>
      <c r="J415" s="2"/>
      <c r="K415" s="2"/>
      <c r="L415" s="2"/>
      <c r="M415" s="2"/>
      <c r="N415" s="2"/>
      <c r="O415" s="2"/>
      <c r="P415" s="2"/>
      <c r="Q415" s="2"/>
      <c r="R415" s="2"/>
      <c r="S415" s="2"/>
      <c r="T415" s="2"/>
    </row>
  </sheetData>
  <sheetProtection formatCells="0" insertHyperlinks="0" autoFilter="0"/>
  <mergeCells count="1">
    <mergeCell ref="B1:H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Q366"/>
  <sheetViews>
    <sheetView workbookViewId="0">
      <selection activeCell="D13" sqref="D13"/>
    </sheetView>
  </sheetViews>
  <sheetFormatPr defaultColWidth="14" defaultRowHeight="13"/>
  <cols>
    <col min="1" max="21" width="27" customWidth="1"/>
  </cols>
  <sheetData>
    <row r="1" ht="46" customHeight="1" spans="1:43">
      <c r="A1" s="1" t="str">
        <f>_xlfn.DISPIMG("ID_C61978CC33FE411689E887D80F907B34",1)</f>
        <v>=DISPIMG("ID_C61978CC33FE411689E887D80F907B34",1)</v>
      </c>
      <c r="B1" s="1" t="s">
        <v>553</v>
      </c>
      <c r="C1" s="1"/>
      <c r="D1" s="1"/>
      <c r="E1" s="1"/>
      <c r="F1" s="1"/>
      <c r="G1" s="1"/>
      <c r="H1" s="1"/>
      <c r="I1" s="2"/>
      <c r="J1" s="2"/>
      <c r="K1" s="2"/>
      <c r="L1" s="2"/>
      <c r="M1" s="2"/>
      <c r="N1" s="2"/>
      <c r="O1" s="2"/>
      <c r="P1" s="2"/>
      <c r="Q1" s="2"/>
      <c r="R1" s="2"/>
      <c r="S1" s="2"/>
      <c r="T1" s="2"/>
      <c r="U1" s="2"/>
    </row>
    <row r="2" ht="15.5" spans="1:43">
      <c r="A2" s="3" t="s">
        <v>2366</v>
      </c>
      <c r="B2" s="2"/>
      <c r="C2" s="27" t="s">
        <v>2367</v>
      </c>
      <c r="D2" s="27" t="s">
        <v>2368</v>
      </c>
      <c r="E2" s="27" t="s">
        <v>2369</v>
      </c>
      <c r="F2" s="27" t="s">
        <v>2370</v>
      </c>
      <c r="G2" s="27" t="s">
        <v>2371</v>
      </c>
      <c r="H2" s="27" t="s">
        <v>2372</v>
      </c>
      <c r="I2" s="27" t="s">
        <v>2373</v>
      </c>
      <c r="J2" s="27" t="s">
        <v>2374</v>
      </c>
      <c r="K2" s="27" t="s">
        <v>2375</v>
      </c>
      <c r="L2" s="27" t="s">
        <v>2376</v>
      </c>
      <c r="M2" s="27" t="s">
        <v>2377</v>
      </c>
      <c r="N2" s="27" t="s">
        <v>2378</v>
      </c>
      <c r="O2" s="27" t="s">
        <v>2379</v>
      </c>
      <c r="P2" s="27" t="s">
        <v>2380</v>
      </c>
      <c r="Q2" s="27" t="s">
        <v>2381</v>
      </c>
      <c r="R2" s="27" t="s">
        <v>2382</v>
      </c>
      <c r="S2" s="27" t="s">
        <v>2383</v>
      </c>
      <c r="T2" s="27" t="s">
        <v>2384</v>
      </c>
      <c r="U2" s="27" t="s">
        <v>2385</v>
      </c>
      <c r="V2" s="27" t="s">
        <v>2386</v>
      </c>
      <c r="W2" s="27" t="s">
        <v>2387</v>
      </c>
      <c r="X2" s="27" t="s">
        <v>2388</v>
      </c>
      <c r="Y2" s="27" t="s">
        <v>2389</v>
      </c>
      <c r="Z2" s="27" t="s">
        <v>2390</v>
      </c>
      <c r="AA2" s="27" t="s">
        <v>2391</v>
      </c>
      <c r="AB2" s="27" t="s">
        <v>2392</v>
      </c>
      <c r="AC2" s="27" t="s">
        <v>2393</v>
      </c>
      <c r="AD2" s="27" t="s">
        <v>2394</v>
      </c>
      <c r="AE2" s="27" t="s">
        <v>2395</v>
      </c>
      <c r="AF2" s="27" t="s">
        <v>2396</v>
      </c>
      <c r="AG2" s="27" t="s">
        <v>2397</v>
      </c>
      <c r="AH2" s="27" t="s">
        <v>2398</v>
      </c>
      <c r="AI2" s="27" t="s">
        <v>2399</v>
      </c>
      <c r="AJ2" s="27" t="s">
        <v>2400</v>
      </c>
      <c r="AK2" s="27" t="s">
        <v>2401</v>
      </c>
      <c r="AL2" s="27" t="s">
        <v>2402</v>
      </c>
      <c r="AM2" s="27" t="s">
        <v>2403</v>
      </c>
      <c r="AN2" s="27" t="s">
        <v>2404</v>
      </c>
      <c r="AO2" s="27" t="s">
        <v>2405</v>
      </c>
      <c r="AP2" s="27" t="s">
        <v>2406</v>
      </c>
      <c r="AQ2" s="27" t="s">
        <v>2407</v>
      </c>
    </row>
    <row r="3" ht="13.5" spans="1:43">
      <c r="A3" s="28" t="s">
        <v>2408</v>
      </c>
      <c r="B3" s="29" t="s">
        <v>2409</v>
      </c>
      <c r="C3" s="30" t="s">
        <v>2410</v>
      </c>
      <c r="D3" s="30" t="s">
        <v>2411</v>
      </c>
      <c r="E3" s="30" t="s">
        <v>2412</v>
      </c>
      <c r="F3" s="30" t="s">
        <v>2413</v>
      </c>
      <c r="G3" s="30" t="s">
        <v>2414</v>
      </c>
      <c r="H3" s="30" t="s">
        <v>2415</v>
      </c>
      <c r="I3" s="30" t="s">
        <v>2416</v>
      </c>
      <c r="J3" s="30" t="s">
        <v>2417</v>
      </c>
      <c r="K3" s="30" t="s">
        <v>2418</v>
      </c>
      <c r="L3" s="30" t="s">
        <v>2419</v>
      </c>
      <c r="M3" s="30" t="s">
        <v>2420</v>
      </c>
      <c r="N3" s="30" t="s">
        <v>2416</v>
      </c>
      <c r="O3" s="30" t="s">
        <v>2421</v>
      </c>
      <c r="P3" s="30" t="s">
        <v>2422</v>
      </c>
      <c r="Q3" s="30" t="s">
        <v>2423</v>
      </c>
      <c r="R3" s="30" t="s">
        <v>2410</v>
      </c>
      <c r="S3" s="30" t="s">
        <v>2421</v>
      </c>
      <c r="T3" s="30" t="s">
        <v>2411</v>
      </c>
      <c r="U3" s="30" t="s">
        <v>2424</v>
      </c>
      <c r="V3" s="30" t="s">
        <v>2425</v>
      </c>
      <c r="W3" s="30" t="s">
        <v>2414</v>
      </c>
      <c r="X3" s="30" t="s">
        <v>2417</v>
      </c>
      <c r="Y3" s="30" t="s">
        <v>2426</v>
      </c>
      <c r="Z3" s="30" t="s">
        <v>2414</v>
      </c>
      <c r="AA3" s="30" t="s">
        <v>2427</v>
      </c>
      <c r="AB3" s="30" t="s">
        <v>2416</v>
      </c>
      <c r="AC3" s="30" t="s">
        <v>2410</v>
      </c>
      <c r="AD3" s="30" t="s">
        <v>2428</v>
      </c>
      <c r="AE3" s="30" t="s">
        <v>2429</v>
      </c>
      <c r="AF3" s="30" t="s">
        <v>2416</v>
      </c>
      <c r="AG3" s="30" t="s">
        <v>2425</v>
      </c>
      <c r="AH3" s="30" t="s">
        <v>2426</v>
      </c>
      <c r="AI3" s="30" t="s">
        <v>2429</v>
      </c>
      <c r="AJ3" s="30" t="s">
        <v>2428</v>
      </c>
      <c r="AK3" s="30" t="s">
        <v>2414</v>
      </c>
      <c r="AL3" s="30" t="s">
        <v>2429</v>
      </c>
      <c r="AM3" s="30" t="s">
        <v>2427</v>
      </c>
      <c r="AN3" s="30" t="s">
        <v>2426</v>
      </c>
      <c r="AO3" s="30" t="s">
        <v>2414</v>
      </c>
      <c r="AP3" s="30" t="s">
        <v>2429</v>
      </c>
      <c r="AQ3" s="30" t="s">
        <v>2427</v>
      </c>
    </row>
    <row r="4" ht="13.5" spans="1:43">
      <c r="A4" s="28"/>
      <c r="B4" s="29" t="s">
        <v>2430</v>
      </c>
      <c r="C4" s="30" t="s">
        <v>2431</v>
      </c>
      <c r="D4" s="30" t="s">
        <v>2432</v>
      </c>
      <c r="E4" s="30" t="s">
        <v>2433</v>
      </c>
      <c r="F4" s="30" t="s">
        <v>2434</v>
      </c>
      <c r="G4" s="30" t="s">
        <v>2435</v>
      </c>
      <c r="H4" s="30" t="s">
        <v>2436</v>
      </c>
      <c r="I4" s="30" t="s">
        <v>2437</v>
      </c>
      <c r="J4" s="30" t="s">
        <v>2438</v>
      </c>
      <c r="K4" s="30" t="s">
        <v>2439</v>
      </c>
      <c r="L4" s="30" t="s">
        <v>2440</v>
      </c>
      <c r="M4" s="30" t="s">
        <v>2441</v>
      </c>
      <c r="N4" s="30" t="s">
        <v>2442</v>
      </c>
      <c r="O4" s="30" t="s">
        <v>2443</v>
      </c>
      <c r="P4" s="30" t="s">
        <v>2444</v>
      </c>
      <c r="Q4" s="30" t="s">
        <v>2445</v>
      </c>
      <c r="R4" s="30" t="s">
        <v>2446</v>
      </c>
      <c r="S4" s="30" t="s">
        <v>2447</v>
      </c>
      <c r="T4" s="30" t="s">
        <v>2448</v>
      </c>
      <c r="U4" s="30" t="s">
        <v>2449</v>
      </c>
      <c r="V4" s="30" t="s">
        <v>2450</v>
      </c>
      <c r="W4" s="30" t="s">
        <v>2451</v>
      </c>
      <c r="X4" s="30" t="s">
        <v>2452</v>
      </c>
      <c r="Y4" s="30" t="s">
        <v>2453</v>
      </c>
      <c r="Z4" s="30" t="s">
        <v>2454</v>
      </c>
      <c r="AA4" s="30" t="s">
        <v>2455</v>
      </c>
      <c r="AB4" s="30" t="s">
        <v>2456</v>
      </c>
      <c r="AC4" s="30" t="s">
        <v>2457</v>
      </c>
      <c r="AD4" s="30" t="s">
        <v>2458</v>
      </c>
      <c r="AE4" s="30" t="s">
        <v>2459</v>
      </c>
      <c r="AF4" s="30" t="s">
        <v>2460</v>
      </c>
      <c r="AG4" s="30" t="s">
        <v>2461</v>
      </c>
      <c r="AH4" s="30" t="s">
        <v>2462</v>
      </c>
      <c r="AI4" s="30" t="s">
        <v>2463</v>
      </c>
      <c r="AJ4" s="30" t="s">
        <v>2464</v>
      </c>
      <c r="AK4" s="30" t="s">
        <v>2465</v>
      </c>
      <c r="AL4" s="30" t="s">
        <v>2466</v>
      </c>
      <c r="AM4" s="30" t="s">
        <v>2467</v>
      </c>
      <c r="AN4" s="30" t="s">
        <v>2468</v>
      </c>
      <c r="AO4" s="30" t="s">
        <v>2469</v>
      </c>
      <c r="AP4" s="30" t="s">
        <v>2470</v>
      </c>
      <c r="AQ4" s="30" t="s">
        <v>2471</v>
      </c>
    </row>
    <row r="5" ht="13.5" spans="1:43">
      <c r="A5" s="28"/>
      <c r="B5" s="29" t="s">
        <v>416</v>
      </c>
      <c r="C5" s="31" t="s">
        <v>2427</v>
      </c>
      <c r="D5" s="31" t="s">
        <v>2472</v>
      </c>
      <c r="E5" s="31" t="s">
        <v>2473</v>
      </c>
      <c r="F5" s="31" t="s">
        <v>2473</v>
      </c>
      <c r="G5" s="31" t="s">
        <v>2474</v>
      </c>
      <c r="H5" s="31" t="s">
        <v>2475</v>
      </c>
      <c r="I5" s="31" t="s">
        <v>2473</v>
      </c>
      <c r="J5" s="31" t="s">
        <v>2476</v>
      </c>
      <c r="K5" s="31" t="s">
        <v>2477</v>
      </c>
      <c r="L5" s="31" t="s">
        <v>2473</v>
      </c>
      <c r="M5" s="31" t="s">
        <v>2478</v>
      </c>
      <c r="N5" s="31" t="s">
        <v>2479</v>
      </c>
      <c r="O5" s="31" t="s">
        <v>2480</v>
      </c>
      <c r="P5" s="31" t="s">
        <v>2481</v>
      </c>
      <c r="Q5" s="31" t="s">
        <v>2482</v>
      </c>
      <c r="R5" s="31" t="s">
        <v>2483</v>
      </c>
      <c r="S5" s="31" t="s">
        <v>2484</v>
      </c>
      <c r="T5" s="31" t="s">
        <v>2485</v>
      </c>
      <c r="U5" s="31" t="s">
        <v>2486</v>
      </c>
      <c r="V5" s="31" t="s">
        <v>2487</v>
      </c>
      <c r="W5" s="31" t="s">
        <v>2488</v>
      </c>
      <c r="X5" s="31" t="s">
        <v>2489</v>
      </c>
      <c r="Y5" s="31" t="s">
        <v>2490</v>
      </c>
      <c r="Z5" s="31" t="s">
        <v>2491</v>
      </c>
      <c r="AA5" s="31" t="s">
        <v>2492</v>
      </c>
      <c r="AB5" s="31" t="s">
        <v>2427</v>
      </c>
      <c r="AC5" s="31" t="s">
        <v>2493</v>
      </c>
      <c r="AD5" s="31" t="s">
        <v>2494</v>
      </c>
      <c r="AE5" s="31" t="s">
        <v>2495</v>
      </c>
      <c r="AF5" s="31" t="s">
        <v>2427</v>
      </c>
      <c r="AG5" s="31" t="s">
        <v>2496</v>
      </c>
      <c r="AH5" s="31" t="s">
        <v>2497</v>
      </c>
      <c r="AI5" s="31" t="s">
        <v>2498</v>
      </c>
      <c r="AJ5" s="31" t="s">
        <v>2499</v>
      </c>
      <c r="AK5" s="31" t="s">
        <v>2500</v>
      </c>
      <c r="AL5" s="31" t="s">
        <v>2501</v>
      </c>
      <c r="AM5" s="31" t="s">
        <v>2502</v>
      </c>
      <c r="AN5" s="31" t="s">
        <v>2503</v>
      </c>
      <c r="AO5" s="31" t="s">
        <v>2504</v>
      </c>
      <c r="AP5" s="31" t="s">
        <v>2505</v>
      </c>
      <c r="AQ5" s="31" t="s">
        <v>2506</v>
      </c>
    </row>
    <row r="6" ht="13.5" spans="1:43">
      <c r="A6" s="28"/>
      <c r="B6" s="29" t="s">
        <v>418</v>
      </c>
      <c r="C6" s="31" t="s">
        <v>2507</v>
      </c>
      <c r="D6" s="31" t="s">
        <v>2472</v>
      </c>
      <c r="E6" s="31" t="s">
        <v>2473</v>
      </c>
      <c r="F6" s="31" t="s">
        <v>2508</v>
      </c>
      <c r="G6" s="31" t="s">
        <v>2509</v>
      </c>
      <c r="H6" s="31" t="s">
        <v>2475</v>
      </c>
      <c r="I6" s="31" t="s">
        <v>2473</v>
      </c>
      <c r="J6" s="31" t="s">
        <v>2510</v>
      </c>
      <c r="K6" s="31" t="s">
        <v>2511</v>
      </c>
      <c r="L6" s="31" t="s">
        <v>2473</v>
      </c>
      <c r="M6" s="31" t="s">
        <v>2512</v>
      </c>
      <c r="N6" s="31" t="s">
        <v>2513</v>
      </c>
      <c r="O6" s="31" t="s">
        <v>2514</v>
      </c>
      <c r="P6" s="31" t="s">
        <v>2475</v>
      </c>
      <c r="Q6" s="31" t="s">
        <v>2515</v>
      </c>
      <c r="R6" s="31" t="s">
        <v>2516</v>
      </c>
      <c r="S6" s="31" t="s">
        <v>2517</v>
      </c>
      <c r="T6" s="31" t="s">
        <v>2518</v>
      </c>
      <c r="U6" s="31" t="s">
        <v>2519</v>
      </c>
      <c r="V6" s="31" t="s">
        <v>2520</v>
      </c>
      <c r="W6" s="31" t="s">
        <v>2521</v>
      </c>
      <c r="X6" s="31" t="s">
        <v>2522</v>
      </c>
      <c r="Y6" s="31" t="s">
        <v>2523</v>
      </c>
      <c r="Z6" s="31" t="s">
        <v>2524</v>
      </c>
      <c r="AA6" s="31" t="s">
        <v>2525</v>
      </c>
      <c r="AB6" s="31" t="s">
        <v>2526</v>
      </c>
      <c r="AC6" s="31" t="s">
        <v>2527</v>
      </c>
      <c r="AD6" s="31" t="s">
        <v>2528</v>
      </c>
      <c r="AE6" s="31" t="s">
        <v>2529</v>
      </c>
      <c r="AF6" s="31" t="s">
        <v>2530</v>
      </c>
      <c r="AG6" s="31" t="s">
        <v>2531</v>
      </c>
      <c r="AH6" s="31" t="s">
        <v>2532</v>
      </c>
      <c r="AI6" s="31" t="s">
        <v>2533</v>
      </c>
      <c r="AJ6" s="31" t="s">
        <v>2534</v>
      </c>
      <c r="AK6" s="31" t="s">
        <v>2535</v>
      </c>
      <c r="AL6" s="31" t="s">
        <v>2536</v>
      </c>
      <c r="AM6" s="31" t="s">
        <v>2537</v>
      </c>
      <c r="AN6" s="31" t="s">
        <v>2538</v>
      </c>
      <c r="AO6" s="31" t="s">
        <v>2539</v>
      </c>
      <c r="AP6" s="31" t="s">
        <v>2540</v>
      </c>
      <c r="AQ6" s="31" t="s">
        <v>2541</v>
      </c>
    </row>
    <row r="7" ht="13.5" spans="1:43">
      <c r="A7" s="28"/>
      <c r="B7" s="29" t="s">
        <v>2542</v>
      </c>
      <c r="C7" s="31" t="s">
        <v>2543</v>
      </c>
      <c r="D7" s="31" t="s">
        <v>2544</v>
      </c>
      <c r="E7" s="31" t="s">
        <v>2545</v>
      </c>
      <c r="F7" s="31" t="s">
        <v>2546</v>
      </c>
      <c r="G7" s="31" t="s">
        <v>2547</v>
      </c>
      <c r="H7" s="31" t="s">
        <v>2548</v>
      </c>
      <c r="I7" s="31" t="s">
        <v>2549</v>
      </c>
      <c r="J7" s="31" t="s">
        <v>2550</v>
      </c>
      <c r="K7" s="31" t="s">
        <v>2551</v>
      </c>
      <c r="L7" s="31" t="s">
        <v>2552</v>
      </c>
      <c r="M7" s="31" t="s">
        <v>2553</v>
      </c>
      <c r="N7" s="31" t="s">
        <v>2554</v>
      </c>
      <c r="O7" s="31" t="s">
        <v>2555</v>
      </c>
      <c r="P7" s="31" t="s">
        <v>2556</v>
      </c>
      <c r="Q7" s="31" t="s">
        <v>2557</v>
      </c>
      <c r="R7" s="31" t="s">
        <v>2558</v>
      </c>
      <c r="S7" s="31" t="s">
        <v>2559</v>
      </c>
      <c r="T7" s="31" t="s">
        <v>2560</v>
      </c>
      <c r="U7" s="31" t="s">
        <v>2561</v>
      </c>
      <c r="V7" s="31" t="s">
        <v>2562</v>
      </c>
      <c r="W7" s="31" t="s">
        <v>2563</v>
      </c>
      <c r="X7" s="31" t="s">
        <v>2564</v>
      </c>
      <c r="Y7" s="31" t="s">
        <v>2565</v>
      </c>
      <c r="Z7" s="31" t="s">
        <v>2566</v>
      </c>
      <c r="AA7" s="31" t="s">
        <v>2567</v>
      </c>
      <c r="AB7" s="31" t="s">
        <v>2568</v>
      </c>
      <c r="AC7" s="31" t="s">
        <v>2569</v>
      </c>
      <c r="AD7" s="31" t="s">
        <v>2570</v>
      </c>
      <c r="AE7" s="31" t="s">
        <v>2571</v>
      </c>
      <c r="AF7" s="31" t="s">
        <v>2572</v>
      </c>
      <c r="AG7" s="31" t="s">
        <v>2573</v>
      </c>
      <c r="AH7" s="31" t="s">
        <v>2574</v>
      </c>
      <c r="AI7" s="31" t="s">
        <v>2575</v>
      </c>
      <c r="AJ7" s="31" t="s">
        <v>2576</v>
      </c>
      <c r="AK7" s="31" t="s">
        <v>2577</v>
      </c>
      <c r="AL7" s="31" t="s">
        <v>2578</v>
      </c>
      <c r="AM7" s="31" t="s">
        <v>2579</v>
      </c>
      <c r="AN7" s="31" t="s">
        <v>2580</v>
      </c>
      <c r="AO7" s="31" t="s">
        <v>2581</v>
      </c>
      <c r="AP7" s="31" t="s">
        <v>2582</v>
      </c>
      <c r="AQ7" s="31" t="s">
        <v>2583</v>
      </c>
    </row>
    <row r="8" ht="13.5" spans="1:43">
      <c r="A8" s="32" t="s">
        <v>2584</v>
      </c>
      <c r="B8" s="29" t="s">
        <v>2585</v>
      </c>
      <c r="C8" s="31" t="s">
        <v>2586</v>
      </c>
      <c r="D8" s="31" t="s">
        <v>2587</v>
      </c>
      <c r="E8" s="31" t="s">
        <v>2586</v>
      </c>
      <c r="F8" s="31" t="s">
        <v>2587</v>
      </c>
      <c r="G8" s="31" t="s">
        <v>2587</v>
      </c>
      <c r="H8" s="31" t="s">
        <v>2588</v>
      </c>
      <c r="I8" s="31" t="s">
        <v>2589</v>
      </c>
      <c r="J8" s="31" t="s">
        <v>2589</v>
      </c>
      <c r="K8" s="31" t="s">
        <v>2589</v>
      </c>
      <c r="L8" s="31" t="s">
        <v>2586</v>
      </c>
      <c r="M8" s="31" t="s">
        <v>2589</v>
      </c>
      <c r="N8" s="31" t="s">
        <v>2589</v>
      </c>
      <c r="O8" s="31" t="s">
        <v>2590</v>
      </c>
      <c r="P8" s="31" t="s">
        <v>2591</v>
      </c>
      <c r="Q8" s="31" t="s">
        <v>2592</v>
      </c>
      <c r="R8" s="31" t="s">
        <v>2593</v>
      </c>
      <c r="S8" s="31" t="s">
        <v>2594</v>
      </c>
      <c r="T8" s="31" t="s">
        <v>2595</v>
      </c>
      <c r="U8" s="31" t="s">
        <v>2596</v>
      </c>
      <c r="V8" s="31" t="s">
        <v>2597</v>
      </c>
      <c r="W8" s="31" t="s">
        <v>2598</v>
      </c>
      <c r="X8" s="31" t="s">
        <v>2599</v>
      </c>
      <c r="Y8" s="31" t="s">
        <v>2600</v>
      </c>
      <c r="Z8" s="31" t="s">
        <v>2601</v>
      </c>
      <c r="AA8" s="31" t="s">
        <v>2601</v>
      </c>
      <c r="AB8" s="31" t="s">
        <v>2600</v>
      </c>
      <c r="AC8" s="31" t="s">
        <v>2602</v>
      </c>
      <c r="AD8" s="31" t="s">
        <v>2602</v>
      </c>
      <c r="AE8" s="31" t="s">
        <v>2600</v>
      </c>
      <c r="AF8" s="31" t="s">
        <v>2603</v>
      </c>
      <c r="AG8" s="31" t="s">
        <v>2600</v>
      </c>
      <c r="AH8" s="31" t="s">
        <v>2604</v>
      </c>
      <c r="AI8" s="31" t="s">
        <v>2411</v>
      </c>
      <c r="AJ8" s="31" t="s">
        <v>2411</v>
      </c>
      <c r="AK8" s="31" t="s">
        <v>2413</v>
      </c>
      <c r="AL8" s="31" t="s">
        <v>2410</v>
      </c>
      <c r="AM8" s="31" t="s">
        <v>2410</v>
      </c>
      <c r="AN8" s="31" t="s">
        <v>2410</v>
      </c>
      <c r="AO8" s="31" t="s">
        <v>2410</v>
      </c>
      <c r="AP8" s="31" t="s">
        <v>2410</v>
      </c>
      <c r="AQ8" s="31" t="s">
        <v>2410</v>
      </c>
    </row>
    <row r="9" ht="13.5" spans="1:43">
      <c r="A9" s="28"/>
      <c r="B9" s="29" t="s">
        <v>2605</v>
      </c>
      <c r="C9" s="31" t="s">
        <v>2606</v>
      </c>
      <c r="D9" s="31" t="s">
        <v>2607</v>
      </c>
      <c r="E9" s="31" t="s">
        <v>2608</v>
      </c>
      <c r="F9" s="31" t="s">
        <v>2609</v>
      </c>
      <c r="G9" s="31" t="s">
        <v>2610</v>
      </c>
      <c r="H9" s="31" t="s">
        <v>2611</v>
      </c>
      <c r="I9" s="31" t="s">
        <v>2612</v>
      </c>
      <c r="J9" s="31" t="s">
        <v>2613</v>
      </c>
      <c r="K9" s="31" t="s">
        <v>2614</v>
      </c>
      <c r="L9" s="31" t="s">
        <v>2615</v>
      </c>
      <c r="M9" s="31" t="s">
        <v>2616</v>
      </c>
      <c r="N9" s="31" t="s">
        <v>2617</v>
      </c>
      <c r="O9" s="31" t="s">
        <v>2618</v>
      </c>
      <c r="P9" s="31" t="s">
        <v>2619</v>
      </c>
      <c r="Q9" s="31" t="s">
        <v>2620</v>
      </c>
      <c r="R9" s="31" t="s">
        <v>2621</v>
      </c>
      <c r="S9" s="31" t="s">
        <v>2622</v>
      </c>
      <c r="T9" s="31" t="s">
        <v>2623</v>
      </c>
      <c r="U9" s="31" t="s">
        <v>2624</v>
      </c>
      <c r="V9" s="31" t="s">
        <v>2625</v>
      </c>
      <c r="W9" s="31" t="s">
        <v>2626</v>
      </c>
      <c r="X9" s="31" t="s">
        <v>2627</v>
      </c>
      <c r="Y9" s="31" t="s">
        <v>2628</v>
      </c>
      <c r="Z9" s="31" t="s">
        <v>2629</v>
      </c>
      <c r="AA9" s="31" t="s">
        <v>2630</v>
      </c>
      <c r="AB9" s="31" t="s">
        <v>2631</v>
      </c>
      <c r="AC9" s="31" t="s">
        <v>2632</v>
      </c>
      <c r="AD9" s="31" t="s">
        <v>2633</v>
      </c>
      <c r="AE9" s="31" t="s">
        <v>2634</v>
      </c>
      <c r="AF9" s="31" t="s">
        <v>2635</v>
      </c>
      <c r="AG9" s="31" t="s">
        <v>2636</v>
      </c>
      <c r="AH9" s="31" t="s">
        <v>2637</v>
      </c>
      <c r="AI9" s="31" t="s">
        <v>2638</v>
      </c>
      <c r="AJ9" s="31" t="s">
        <v>2639</v>
      </c>
      <c r="AK9" s="31" t="s">
        <v>2640</v>
      </c>
      <c r="AL9" s="31" t="s">
        <v>2641</v>
      </c>
      <c r="AM9" s="31" t="s">
        <v>2642</v>
      </c>
      <c r="AN9" s="31" t="s">
        <v>2643</v>
      </c>
      <c r="AO9" s="31" t="s">
        <v>2644</v>
      </c>
      <c r="AP9" s="31" t="s">
        <v>2645</v>
      </c>
      <c r="AQ9" s="31" t="s">
        <v>2646</v>
      </c>
    </row>
    <row r="10" ht="13.5" spans="1:43">
      <c r="A10" s="28"/>
      <c r="B10" s="29" t="s">
        <v>2647</v>
      </c>
      <c r="C10" s="31" t="s">
        <v>2648</v>
      </c>
      <c r="D10" s="31" t="s">
        <v>2649</v>
      </c>
      <c r="E10" s="31" t="s">
        <v>2648</v>
      </c>
      <c r="F10" s="31" t="s">
        <v>2650</v>
      </c>
      <c r="G10" s="31" t="s">
        <v>2596</v>
      </c>
      <c r="H10" s="31" t="s">
        <v>2651</v>
      </c>
      <c r="I10" s="31" t="s">
        <v>2652</v>
      </c>
      <c r="J10" s="31" t="s">
        <v>2651</v>
      </c>
      <c r="K10" s="31" t="s">
        <v>2653</v>
      </c>
      <c r="L10" s="31" t="s">
        <v>2597</v>
      </c>
      <c r="M10" s="31" t="s">
        <v>2654</v>
      </c>
      <c r="N10" s="31" t="s">
        <v>2599</v>
      </c>
      <c r="O10" s="31" t="s">
        <v>2599</v>
      </c>
      <c r="P10" s="31" t="s">
        <v>2599</v>
      </c>
      <c r="Q10" s="31" t="s">
        <v>2655</v>
      </c>
      <c r="R10" s="31" t="s">
        <v>2655</v>
      </c>
      <c r="S10" s="31" t="s">
        <v>2604</v>
      </c>
      <c r="T10" s="31" t="s">
        <v>2419</v>
      </c>
      <c r="U10" s="31" t="s">
        <v>2656</v>
      </c>
      <c r="V10" s="31" t="s">
        <v>2411</v>
      </c>
      <c r="W10" s="31" t="s">
        <v>2411</v>
      </c>
      <c r="X10" s="31" t="s">
        <v>2422</v>
      </c>
      <c r="Y10" s="31" t="s">
        <v>2416</v>
      </c>
      <c r="Z10" s="31" t="s">
        <v>2417</v>
      </c>
      <c r="AA10" s="31" t="s">
        <v>2417</v>
      </c>
      <c r="AB10" s="31" t="s">
        <v>2423</v>
      </c>
      <c r="AC10" s="31" t="s">
        <v>2416</v>
      </c>
      <c r="AD10" s="31" t="s">
        <v>2416</v>
      </c>
      <c r="AE10" s="31" t="s">
        <v>2416</v>
      </c>
      <c r="AF10" s="31" t="s">
        <v>2424</v>
      </c>
      <c r="AG10" s="31" t="s">
        <v>2412</v>
      </c>
      <c r="AH10" s="31" t="s">
        <v>2423</v>
      </c>
      <c r="AI10" s="31" t="s">
        <v>2424</v>
      </c>
      <c r="AJ10" s="31" t="s">
        <v>2424</v>
      </c>
      <c r="AK10" s="31" t="s">
        <v>2414</v>
      </c>
      <c r="AL10" s="31" t="s">
        <v>2414</v>
      </c>
      <c r="AM10" s="31" t="s">
        <v>2414</v>
      </c>
      <c r="AN10" s="31" t="s">
        <v>2414</v>
      </c>
      <c r="AO10" s="31" t="s">
        <v>2414</v>
      </c>
      <c r="AP10" s="31" t="s">
        <v>2421</v>
      </c>
      <c r="AQ10" s="31" t="s">
        <v>2421</v>
      </c>
    </row>
    <row r="11" ht="13.5" spans="1:43">
      <c r="A11" s="28"/>
      <c r="B11" s="29" t="s">
        <v>2657</v>
      </c>
      <c r="C11" s="31" t="s">
        <v>2656</v>
      </c>
      <c r="D11" s="31" t="s">
        <v>2420</v>
      </c>
      <c r="E11" s="31" t="s">
        <v>2656</v>
      </c>
      <c r="F11" s="31" t="s">
        <v>2411</v>
      </c>
      <c r="G11" s="31" t="s">
        <v>2411</v>
      </c>
      <c r="H11" s="31" t="s">
        <v>2419</v>
      </c>
      <c r="I11" s="31" t="s">
        <v>2658</v>
      </c>
      <c r="J11" s="31" t="s">
        <v>2603</v>
      </c>
      <c r="K11" s="31" t="s">
        <v>2603</v>
      </c>
      <c r="L11" s="31" t="s">
        <v>2603</v>
      </c>
      <c r="M11" s="31" t="s">
        <v>2600</v>
      </c>
      <c r="N11" s="31" t="s">
        <v>2600</v>
      </c>
      <c r="O11" s="31" t="s">
        <v>2601</v>
      </c>
      <c r="P11" s="31" t="s">
        <v>2656</v>
      </c>
      <c r="Q11" s="31" t="s">
        <v>2604</v>
      </c>
      <c r="R11" s="31" t="s">
        <v>2604</v>
      </c>
      <c r="S11" s="31" t="s">
        <v>2658</v>
      </c>
      <c r="T11" s="31" t="s">
        <v>2658</v>
      </c>
      <c r="U11" s="31" t="s">
        <v>2656</v>
      </c>
      <c r="V11" s="31" t="s">
        <v>2415</v>
      </c>
      <c r="W11" s="31" t="s">
        <v>2415</v>
      </c>
      <c r="X11" s="31" t="s">
        <v>2659</v>
      </c>
      <c r="Y11" s="31" t="s">
        <v>2422</v>
      </c>
      <c r="Z11" s="31" t="s">
        <v>2659</v>
      </c>
      <c r="AA11" s="31" t="s">
        <v>2659</v>
      </c>
      <c r="AB11" s="31" t="s">
        <v>2659</v>
      </c>
      <c r="AC11" s="31" t="s">
        <v>2659</v>
      </c>
      <c r="AD11" s="31" t="s">
        <v>2422</v>
      </c>
      <c r="AE11" s="31" t="s">
        <v>2422</v>
      </c>
      <c r="AF11" s="31" t="s">
        <v>2422</v>
      </c>
      <c r="AG11" s="31" t="s">
        <v>2660</v>
      </c>
      <c r="AH11" s="31" t="s">
        <v>2423</v>
      </c>
      <c r="AI11" s="31" t="s">
        <v>2423</v>
      </c>
      <c r="AJ11" s="31" t="s">
        <v>2417</v>
      </c>
      <c r="AK11" s="31" t="s">
        <v>2425</v>
      </c>
      <c r="AL11" s="31" t="s">
        <v>2428</v>
      </c>
      <c r="AM11" s="31" t="s">
        <v>2428</v>
      </c>
      <c r="AN11" s="31" t="s">
        <v>2428</v>
      </c>
      <c r="AO11" s="31" t="s">
        <v>2428</v>
      </c>
      <c r="AP11" s="31" t="s">
        <v>2428</v>
      </c>
      <c r="AQ11" s="31" t="s">
        <v>2428</v>
      </c>
    </row>
    <row r="12" ht="13.5" spans="1:43">
      <c r="A12" s="28"/>
      <c r="B12" s="33" t="s">
        <v>2661</v>
      </c>
      <c r="C12" s="31" t="s">
        <v>2662</v>
      </c>
      <c r="D12" s="31" t="s">
        <v>2663</v>
      </c>
      <c r="E12" s="31" t="s">
        <v>2664</v>
      </c>
      <c r="F12" s="31" t="s">
        <v>2665</v>
      </c>
      <c r="G12" s="31" t="s">
        <v>2666</v>
      </c>
      <c r="H12" s="31" t="s">
        <v>2667</v>
      </c>
      <c r="I12" s="31" t="s">
        <v>2668</v>
      </c>
      <c r="J12" s="31" t="s">
        <v>2669</v>
      </c>
      <c r="K12" s="31" t="s">
        <v>2670</v>
      </c>
      <c r="L12" s="31" t="s">
        <v>2671</v>
      </c>
      <c r="M12" s="31" t="s">
        <v>2672</v>
      </c>
      <c r="N12" s="31" t="s">
        <v>2635</v>
      </c>
      <c r="O12" s="31" t="s">
        <v>2673</v>
      </c>
      <c r="P12" s="31" t="s">
        <v>2674</v>
      </c>
      <c r="Q12" s="31" t="s">
        <v>2675</v>
      </c>
      <c r="R12" s="31" t="s">
        <v>2676</v>
      </c>
      <c r="S12" s="31" t="s">
        <v>2677</v>
      </c>
      <c r="T12" s="31" t="s">
        <v>2678</v>
      </c>
      <c r="U12" s="31" t="s">
        <v>2679</v>
      </c>
      <c r="V12" s="31" t="s">
        <v>2680</v>
      </c>
      <c r="W12" s="31" t="s">
        <v>2681</v>
      </c>
      <c r="X12" s="31" t="s">
        <v>2682</v>
      </c>
      <c r="Y12" s="31" t="s">
        <v>2683</v>
      </c>
      <c r="Z12" s="31" t="s">
        <v>2684</v>
      </c>
      <c r="AA12" s="31" t="s">
        <v>2456</v>
      </c>
      <c r="AB12" s="31" t="s">
        <v>2685</v>
      </c>
      <c r="AC12" s="31" t="s">
        <v>2686</v>
      </c>
      <c r="AD12" s="31" t="s">
        <v>2687</v>
      </c>
      <c r="AE12" s="31" t="s">
        <v>2688</v>
      </c>
      <c r="AF12" s="31" t="s">
        <v>2689</v>
      </c>
      <c r="AG12" s="31" t="s">
        <v>2690</v>
      </c>
      <c r="AH12" s="31" t="s">
        <v>2691</v>
      </c>
      <c r="AI12" s="31" t="s">
        <v>2692</v>
      </c>
      <c r="AJ12" s="31" t="s">
        <v>2693</v>
      </c>
      <c r="AK12" s="31" t="s">
        <v>2694</v>
      </c>
      <c r="AL12" s="31" t="s">
        <v>2695</v>
      </c>
      <c r="AM12" s="31" t="s">
        <v>2696</v>
      </c>
      <c r="AN12" s="31" t="s">
        <v>2697</v>
      </c>
      <c r="AO12" s="31" t="s">
        <v>2698</v>
      </c>
      <c r="AP12" s="31" t="s">
        <v>2699</v>
      </c>
      <c r="AQ12" s="31" t="s">
        <v>2700</v>
      </c>
    </row>
    <row r="13" ht="13.5" spans="1:43">
      <c r="A13" s="32" t="s">
        <v>2701</v>
      </c>
      <c r="B13" s="29" t="s">
        <v>2702</v>
      </c>
      <c r="C13" s="31" t="s">
        <v>2473</v>
      </c>
      <c r="D13" s="31" t="s">
        <v>2703</v>
      </c>
      <c r="E13" s="31" t="s">
        <v>2704</v>
      </c>
      <c r="F13" s="31" t="s">
        <v>2705</v>
      </c>
      <c r="G13" s="31" t="s">
        <v>2706</v>
      </c>
      <c r="H13" s="31" t="s">
        <v>2481</v>
      </c>
      <c r="I13" s="31" t="s">
        <v>2475</v>
      </c>
      <c r="J13" s="31" t="s">
        <v>2475</v>
      </c>
      <c r="K13" s="31" t="s">
        <v>2473</v>
      </c>
      <c r="L13" s="31" t="s">
        <v>2707</v>
      </c>
      <c r="M13" s="31" t="s">
        <v>2472</v>
      </c>
      <c r="N13" s="31" t="s">
        <v>2473</v>
      </c>
      <c r="O13" s="31" t="s">
        <v>2508</v>
      </c>
      <c r="P13" s="31" t="s">
        <v>2473</v>
      </c>
      <c r="Q13" s="31" t="s">
        <v>2708</v>
      </c>
      <c r="R13" s="31" t="s">
        <v>2475</v>
      </c>
      <c r="S13" s="31" t="s">
        <v>2472</v>
      </c>
      <c r="T13" s="31" t="s">
        <v>2473</v>
      </c>
      <c r="U13" s="31" t="s">
        <v>2473</v>
      </c>
      <c r="V13" s="31" t="s">
        <v>2473</v>
      </c>
      <c r="W13" s="31" t="s">
        <v>2709</v>
      </c>
      <c r="X13" s="31" t="s">
        <v>2427</v>
      </c>
      <c r="Y13" s="31" t="s">
        <v>2710</v>
      </c>
      <c r="Z13" s="31" t="s">
        <v>2711</v>
      </c>
      <c r="AA13" s="31" t="s">
        <v>2712</v>
      </c>
      <c r="AB13" s="31" t="s">
        <v>2713</v>
      </c>
      <c r="AC13" s="31" t="s">
        <v>2714</v>
      </c>
      <c r="AD13" s="31" t="s">
        <v>2715</v>
      </c>
      <c r="AE13" s="31" t="s">
        <v>2716</v>
      </c>
      <c r="AF13" s="31" t="s">
        <v>2508</v>
      </c>
      <c r="AG13" s="31" t="s">
        <v>2508</v>
      </c>
      <c r="AH13" s="31" t="s">
        <v>2717</v>
      </c>
      <c r="AI13" s="31" t="s">
        <v>2718</v>
      </c>
      <c r="AJ13" s="31" t="s">
        <v>2719</v>
      </c>
      <c r="AK13" s="31" t="s">
        <v>2720</v>
      </c>
      <c r="AL13" s="31" t="s">
        <v>2721</v>
      </c>
      <c r="AM13" s="31" t="s">
        <v>2722</v>
      </c>
      <c r="AN13" s="31" t="s">
        <v>2723</v>
      </c>
      <c r="AO13" s="31" t="s">
        <v>2724</v>
      </c>
      <c r="AP13" s="31" t="s">
        <v>2725</v>
      </c>
      <c r="AQ13" s="31" t="s">
        <v>2726</v>
      </c>
    </row>
    <row r="14" ht="13.5" spans="1:43">
      <c r="A14" s="28"/>
      <c r="B14" s="29" t="s">
        <v>2727</v>
      </c>
      <c r="C14" s="31" t="s">
        <v>2728</v>
      </c>
      <c r="D14" s="31" t="s">
        <v>2729</v>
      </c>
      <c r="E14" s="31" t="s">
        <v>2730</v>
      </c>
      <c r="F14" s="31" t="s">
        <v>2731</v>
      </c>
      <c r="G14" s="31" t="s">
        <v>2732</v>
      </c>
      <c r="H14" s="31" t="s">
        <v>2733</v>
      </c>
      <c r="I14" s="31" t="s">
        <v>2734</v>
      </c>
      <c r="J14" s="31" t="s">
        <v>793</v>
      </c>
      <c r="K14" s="31" t="s">
        <v>2735</v>
      </c>
      <c r="L14" s="31" t="s">
        <v>2736</v>
      </c>
      <c r="M14" s="31" t="s">
        <v>2737</v>
      </c>
      <c r="N14" s="31" t="s">
        <v>2738</v>
      </c>
      <c r="O14" s="31" t="s">
        <v>2564</v>
      </c>
      <c r="P14" s="31" t="s">
        <v>2739</v>
      </c>
      <c r="Q14" s="31" t="s">
        <v>2740</v>
      </c>
      <c r="R14" s="31" t="s">
        <v>2741</v>
      </c>
      <c r="S14" s="31" t="s">
        <v>2742</v>
      </c>
      <c r="T14" s="31" t="s">
        <v>2743</v>
      </c>
      <c r="U14" s="31" t="s">
        <v>2744</v>
      </c>
      <c r="V14" s="31" t="s">
        <v>2745</v>
      </c>
      <c r="W14" s="31" t="s">
        <v>2746</v>
      </c>
      <c r="X14" s="31" t="s">
        <v>2747</v>
      </c>
      <c r="Y14" s="31" t="s">
        <v>2748</v>
      </c>
      <c r="Z14" s="31" t="s">
        <v>2749</v>
      </c>
      <c r="AA14" s="31" t="s">
        <v>2750</v>
      </c>
      <c r="AB14" s="31" t="s">
        <v>2751</v>
      </c>
      <c r="AC14" s="31" t="s">
        <v>2752</v>
      </c>
      <c r="AD14" s="31" t="s">
        <v>2753</v>
      </c>
      <c r="AE14" s="31" t="s">
        <v>2754</v>
      </c>
      <c r="AF14" s="31" t="s">
        <v>2755</v>
      </c>
      <c r="AG14" s="31" t="s">
        <v>2756</v>
      </c>
      <c r="AH14" s="31" t="s">
        <v>2757</v>
      </c>
      <c r="AI14" s="31" t="s">
        <v>2758</v>
      </c>
      <c r="AJ14" s="31" t="s">
        <v>2759</v>
      </c>
      <c r="AK14" s="31" t="s">
        <v>2760</v>
      </c>
      <c r="AL14" s="31" t="s">
        <v>2761</v>
      </c>
      <c r="AM14" s="31" t="s">
        <v>2762</v>
      </c>
      <c r="AN14" s="31" t="s">
        <v>2763</v>
      </c>
      <c r="AO14" s="31" t="s">
        <v>2764</v>
      </c>
      <c r="AP14" s="31" t="s">
        <v>2765</v>
      </c>
      <c r="AQ14" s="31" t="s">
        <v>2766</v>
      </c>
    </row>
    <row r="15" ht="13.5" spans="1:43">
      <c r="A15" s="28"/>
      <c r="B15" s="29" t="s">
        <v>2767</v>
      </c>
      <c r="C15" s="31" t="s">
        <v>2768</v>
      </c>
      <c r="D15" s="31" t="s">
        <v>2769</v>
      </c>
      <c r="E15" s="31" t="s">
        <v>2770</v>
      </c>
      <c r="F15" s="31" t="s">
        <v>2771</v>
      </c>
      <c r="G15" s="31" t="s">
        <v>2772</v>
      </c>
      <c r="H15" s="31" t="s">
        <v>2773</v>
      </c>
      <c r="I15" s="31" t="s">
        <v>2473</v>
      </c>
      <c r="J15" s="31" t="s">
        <v>2473</v>
      </c>
      <c r="K15" s="31" t="s">
        <v>2774</v>
      </c>
      <c r="L15" s="31" t="s">
        <v>2481</v>
      </c>
      <c r="M15" s="31" t="s">
        <v>2775</v>
      </c>
      <c r="N15" s="31" t="s">
        <v>2776</v>
      </c>
      <c r="O15" s="31" t="s">
        <v>2508</v>
      </c>
      <c r="P15" s="31" t="s">
        <v>2473</v>
      </c>
      <c r="Q15" s="31" t="s">
        <v>2508</v>
      </c>
      <c r="R15" s="31" t="s">
        <v>2508</v>
      </c>
      <c r="S15" s="31" t="s">
        <v>2777</v>
      </c>
      <c r="T15" s="31" t="s">
        <v>2472</v>
      </c>
      <c r="U15" s="31" t="s">
        <v>2508</v>
      </c>
      <c r="V15" s="31" t="s">
        <v>2508</v>
      </c>
      <c r="W15" s="31" t="s">
        <v>2778</v>
      </c>
      <c r="X15" s="31" t="s">
        <v>2473</v>
      </c>
      <c r="Y15" s="31" t="s">
        <v>2508</v>
      </c>
      <c r="Z15" s="31" t="s">
        <v>2779</v>
      </c>
      <c r="AA15" s="31" t="s">
        <v>2780</v>
      </c>
      <c r="AB15" s="31" t="s">
        <v>2508</v>
      </c>
      <c r="AC15" s="31" t="s">
        <v>2781</v>
      </c>
      <c r="AD15" s="31" t="s">
        <v>2782</v>
      </c>
      <c r="AE15" s="31" t="s">
        <v>2783</v>
      </c>
      <c r="AF15" s="31" t="s">
        <v>2475</v>
      </c>
      <c r="AG15" s="31" t="s">
        <v>2784</v>
      </c>
      <c r="AH15" s="31" t="s">
        <v>2785</v>
      </c>
      <c r="AI15" s="31" t="s">
        <v>2786</v>
      </c>
      <c r="AJ15" s="31" t="s">
        <v>2787</v>
      </c>
      <c r="AK15" s="31" t="s">
        <v>2788</v>
      </c>
      <c r="AL15" s="31" t="s">
        <v>2789</v>
      </c>
      <c r="AM15" s="31" t="s">
        <v>2790</v>
      </c>
      <c r="AN15" s="31" t="s">
        <v>2473</v>
      </c>
      <c r="AO15" s="31" t="s">
        <v>2473</v>
      </c>
      <c r="AP15" s="31" t="s">
        <v>2473</v>
      </c>
      <c r="AQ15" s="31" t="s">
        <v>2508</v>
      </c>
    </row>
    <row r="16" ht="13.5" spans="1:43">
      <c r="A16" s="28"/>
      <c r="B16" s="29" t="s">
        <v>2791</v>
      </c>
      <c r="C16" s="31" t="s">
        <v>2792</v>
      </c>
      <c r="D16" s="31" t="s">
        <v>2793</v>
      </c>
      <c r="E16" s="31" t="s">
        <v>2794</v>
      </c>
      <c r="F16" s="31" t="s">
        <v>2795</v>
      </c>
      <c r="G16" s="31" t="s">
        <v>2796</v>
      </c>
      <c r="H16" s="31" t="s">
        <v>2797</v>
      </c>
      <c r="I16" s="31" t="s">
        <v>2798</v>
      </c>
      <c r="J16" s="31" t="s">
        <v>2799</v>
      </c>
      <c r="K16" s="31" t="s">
        <v>2800</v>
      </c>
      <c r="L16" s="31" t="s">
        <v>2801</v>
      </c>
      <c r="M16" s="31" t="s">
        <v>2802</v>
      </c>
      <c r="N16" s="31" t="s">
        <v>2803</v>
      </c>
      <c r="O16" s="31" t="s">
        <v>2804</v>
      </c>
      <c r="P16" s="31" t="s">
        <v>2805</v>
      </c>
      <c r="Q16" s="31" t="s">
        <v>2806</v>
      </c>
      <c r="R16" s="31" t="s">
        <v>2807</v>
      </c>
      <c r="S16" s="31" t="s">
        <v>2808</v>
      </c>
      <c r="T16" s="31" t="s">
        <v>2809</v>
      </c>
      <c r="U16" s="31" t="s">
        <v>2810</v>
      </c>
      <c r="V16" s="31" t="s">
        <v>2811</v>
      </c>
      <c r="W16" s="31" t="s">
        <v>2812</v>
      </c>
      <c r="X16" s="31" t="s">
        <v>2813</v>
      </c>
      <c r="Y16" s="31" t="s">
        <v>2814</v>
      </c>
      <c r="Z16" s="31" t="s">
        <v>2815</v>
      </c>
      <c r="AA16" s="31" t="s">
        <v>2816</v>
      </c>
      <c r="AB16" s="31" t="s">
        <v>2817</v>
      </c>
      <c r="AC16" s="31" t="s">
        <v>2818</v>
      </c>
      <c r="AD16" s="31" t="s">
        <v>2819</v>
      </c>
      <c r="AE16" s="31" t="s">
        <v>2820</v>
      </c>
      <c r="AF16" s="31" t="s">
        <v>2821</v>
      </c>
      <c r="AG16" s="31" t="s">
        <v>2822</v>
      </c>
      <c r="AH16" s="31" t="s">
        <v>2823</v>
      </c>
      <c r="AI16" s="31" t="s">
        <v>2824</v>
      </c>
      <c r="AJ16" s="31" t="s">
        <v>2825</v>
      </c>
      <c r="AK16" s="31" t="s">
        <v>2826</v>
      </c>
      <c r="AL16" s="31" t="s">
        <v>2827</v>
      </c>
      <c r="AM16" s="31" t="s">
        <v>2828</v>
      </c>
      <c r="AN16" s="31" t="s">
        <v>2829</v>
      </c>
      <c r="AO16" s="31" t="s">
        <v>2830</v>
      </c>
      <c r="AP16" s="31" t="s">
        <v>2831</v>
      </c>
      <c r="AQ16" s="31" t="s">
        <v>2832</v>
      </c>
    </row>
    <row r="17" ht="13.5" spans="1:43">
      <c r="A17" s="28"/>
      <c r="B17" s="33" t="s">
        <v>2833</v>
      </c>
      <c r="C17" s="31" t="s">
        <v>2427</v>
      </c>
      <c r="D17" s="31" t="s">
        <v>2834</v>
      </c>
      <c r="E17" s="31" t="s">
        <v>2835</v>
      </c>
      <c r="F17" s="31" t="s">
        <v>2836</v>
      </c>
      <c r="G17" s="31" t="s">
        <v>2837</v>
      </c>
      <c r="H17" s="31" t="s">
        <v>2421</v>
      </c>
      <c r="I17" s="31" t="s">
        <v>2421</v>
      </c>
      <c r="J17" s="31" t="s">
        <v>2421</v>
      </c>
      <c r="K17" s="31" t="s">
        <v>2429</v>
      </c>
      <c r="L17" s="31" t="s">
        <v>2428</v>
      </c>
      <c r="M17" s="31" t="s">
        <v>2428</v>
      </c>
      <c r="N17" s="31" t="s">
        <v>2426</v>
      </c>
      <c r="O17" s="31" t="s">
        <v>2418</v>
      </c>
      <c r="P17" s="31" t="s">
        <v>2426</v>
      </c>
      <c r="Q17" s="31" t="s">
        <v>2425</v>
      </c>
      <c r="R17" s="31" t="s">
        <v>2426</v>
      </c>
      <c r="S17" s="31" t="s">
        <v>2414</v>
      </c>
      <c r="T17" s="31" t="s">
        <v>2426</v>
      </c>
      <c r="U17" s="31" t="s">
        <v>2414</v>
      </c>
      <c r="V17" s="31" t="s">
        <v>2414</v>
      </c>
      <c r="W17" s="31" t="s">
        <v>2428</v>
      </c>
      <c r="X17" s="31" t="s">
        <v>2429</v>
      </c>
      <c r="Y17" s="31" t="s">
        <v>2427</v>
      </c>
      <c r="Z17" s="31" t="s">
        <v>2427</v>
      </c>
      <c r="AA17" s="31" t="s">
        <v>2838</v>
      </c>
      <c r="AB17" s="31" t="s">
        <v>2839</v>
      </c>
      <c r="AC17" s="31" t="s">
        <v>2427</v>
      </c>
      <c r="AD17" s="31" t="s">
        <v>2429</v>
      </c>
      <c r="AE17" s="31" t="s">
        <v>2429</v>
      </c>
      <c r="AF17" s="31" t="s">
        <v>2426</v>
      </c>
      <c r="AG17" s="31" t="s">
        <v>2426</v>
      </c>
      <c r="AH17" s="31" t="s">
        <v>2840</v>
      </c>
      <c r="AI17" s="31" t="s">
        <v>2841</v>
      </c>
      <c r="AJ17" s="31" t="s">
        <v>2842</v>
      </c>
      <c r="AK17" s="31" t="s">
        <v>2843</v>
      </c>
      <c r="AL17" s="31" t="s">
        <v>2844</v>
      </c>
      <c r="AM17" s="31" t="s">
        <v>2845</v>
      </c>
      <c r="AN17" s="31" t="s">
        <v>2846</v>
      </c>
      <c r="AO17" s="31" t="s">
        <v>2847</v>
      </c>
      <c r="AP17" s="31" t="s">
        <v>2848</v>
      </c>
      <c r="AQ17" s="31" t="s">
        <v>2849</v>
      </c>
    </row>
    <row r="18" ht="13.5" spans="1:43">
      <c r="A18" s="28"/>
      <c r="B18" s="33" t="s">
        <v>2850</v>
      </c>
      <c r="C18" s="31" t="s">
        <v>2851</v>
      </c>
      <c r="D18" s="31" t="s">
        <v>2852</v>
      </c>
      <c r="E18" s="31" t="s">
        <v>2853</v>
      </c>
      <c r="F18" s="31" t="s">
        <v>2854</v>
      </c>
      <c r="G18" s="31" t="s">
        <v>2855</v>
      </c>
      <c r="H18" s="31" t="s">
        <v>2856</v>
      </c>
      <c r="I18" s="31" t="s">
        <v>2857</v>
      </c>
      <c r="J18" s="31" t="s">
        <v>2858</v>
      </c>
      <c r="K18" s="31" t="s">
        <v>2859</v>
      </c>
      <c r="L18" s="31" t="s">
        <v>2860</v>
      </c>
      <c r="M18" s="31" t="s">
        <v>2861</v>
      </c>
      <c r="N18" s="31" t="s">
        <v>2862</v>
      </c>
      <c r="O18" s="31" t="s">
        <v>2863</v>
      </c>
      <c r="P18" s="31" t="s">
        <v>2864</v>
      </c>
      <c r="Q18" s="31" t="s">
        <v>2865</v>
      </c>
      <c r="R18" s="31" t="s">
        <v>2866</v>
      </c>
      <c r="S18" s="31" t="s">
        <v>2867</v>
      </c>
      <c r="T18" s="31" t="s">
        <v>2868</v>
      </c>
      <c r="U18" s="31" t="s">
        <v>2869</v>
      </c>
      <c r="V18" s="31" t="s">
        <v>2870</v>
      </c>
      <c r="W18" s="31" t="s">
        <v>2871</v>
      </c>
      <c r="X18" s="31" t="s">
        <v>2872</v>
      </c>
      <c r="Y18" s="31" t="s">
        <v>2873</v>
      </c>
      <c r="Z18" s="31" t="s">
        <v>2874</v>
      </c>
      <c r="AA18" s="31" t="s">
        <v>2875</v>
      </c>
      <c r="AB18" s="31" t="s">
        <v>2876</v>
      </c>
      <c r="AC18" s="31" t="s">
        <v>2877</v>
      </c>
      <c r="AD18" s="31" t="s">
        <v>2878</v>
      </c>
      <c r="AE18" s="31" t="s">
        <v>2879</v>
      </c>
      <c r="AF18" s="31" t="s">
        <v>2880</v>
      </c>
      <c r="AG18" s="31" t="s">
        <v>2881</v>
      </c>
      <c r="AH18" s="31" t="s">
        <v>2882</v>
      </c>
      <c r="AI18" s="31" t="s">
        <v>2883</v>
      </c>
      <c r="AJ18" s="31" t="s">
        <v>2884</v>
      </c>
      <c r="AK18" s="31" t="s">
        <v>2885</v>
      </c>
      <c r="AL18" s="31" t="s">
        <v>2886</v>
      </c>
      <c r="AM18" s="31" t="s">
        <v>2887</v>
      </c>
      <c r="AN18" s="31" t="s">
        <v>2888</v>
      </c>
      <c r="AO18" s="31" t="s">
        <v>2889</v>
      </c>
      <c r="AP18" s="31" t="s">
        <v>2890</v>
      </c>
      <c r="AQ18" s="31" t="s">
        <v>2891</v>
      </c>
    </row>
    <row r="19" ht="13.5" spans="1:43">
      <c r="A19" s="32" t="s">
        <v>2892</v>
      </c>
      <c r="B19" s="29" t="s">
        <v>2893</v>
      </c>
      <c r="C19" s="30" t="s">
        <v>2894</v>
      </c>
      <c r="D19" s="30" t="s">
        <v>2895</v>
      </c>
      <c r="E19" s="30" t="s">
        <v>2896</v>
      </c>
      <c r="F19" s="30" t="s">
        <v>2897</v>
      </c>
      <c r="G19" s="30" t="s">
        <v>2898</v>
      </c>
      <c r="H19" s="30" t="s">
        <v>2899</v>
      </c>
      <c r="I19" s="30" t="s">
        <v>2612</v>
      </c>
      <c r="J19" s="30" t="s">
        <v>577</v>
      </c>
      <c r="K19" s="30" t="s">
        <v>2900</v>
      </c>
      <c r="L19" s="30" t="s">
        <v>2896</v>
      </c>
      <c r="M19" s="30" t="s">
        <v>2901</v>
      </c>
      <c r="N19" s="30" t="s">
        <v>2900</v>
      </c>
      <c r="O19" s="30" t="s">
        <v>2902</v>
      </c>
      <c r="P19" s="30" t="s">
        <v>2903</v>
      </c>
      <c r="Q19" s="30" t="s">
        <v>2904</v>
      </c>
      <c r="R19" s="30" t="s">
        <v>2905</v>
      </c>
      <c r="S19" s="30" t="s">
        <v>2906</v>
      </c>
      <c r="T19" s="30" t="s">
        <v>2907</v>
      </c>
      <c r="U19" s="30" t="s">
        <v>2908</v>
      </c>
      <c r="V19" s="30" t="s">
        <v>2909</v>
      </c>
      <c r="W19" s="30" t="s">
        <v>2900</v>
      </c>
      <c r="X19" s="30" t="s">
        <v>2910</v>
      </c>
      <c r="Y19" s="30" t="s">
        <v>2911</v>
      </c>
      <c r="Z19" s="30" t="s">
        <v>577</v>
      </c>
      <c r="AA19" s="30" t="s">
        <v>2912</v>
      </c>
      <c r="AB19" s="30" t="s">
        <v>2913</v>
      </c>
      <c r="AC19" s="30" t="s">
        <v>2914</v>
      </c>
      <c r="AD19" s="30" t="s">
        <v>2915</v>
      </c>
      <c r="AE19" s="30" t="s">
        <v>2900</v>
      </c>
      <c r="AF19" s="30" t="s">
        <v>2916</v>
      </c>
      <c r="AG19" s="30" t="s">
        <v>2917</v>
      </c>
      <c r="AH19" s="30" t="s">
        <v>2915</v>
      </c>
      <c r="AI19" s="30" t="s">
        <v>2918</v>
      </c>
      <c r="AJ19" s="30" t="s">
        <v>2919</v>
      </c>
      <c r="AK19" s="30" t="s">
        <v>2920</v>
      </c>
      <c r="AL19" s="30" t="s">
        <v>2909</v>
      </c>
      <c r="AM19" s="30" t="s">
        <v>2921</v>
      </c>
      <c r="AN19" s="30" t="s">
        <v>2922</v>
      </c>
      <c r="AO19" s="30" t="s">
        <v>2923</v>
      </c>
      <c r="AP19" s="30" t="s">
        <v>2915</v>
      </c>
      <c r="AQ19" s="30" t="s">
        <v>2909</v>
      </c>
    </row>
    <row r="20" ht="13.5" spans="1:43">
      <c r="A20" s="28"/>
      <c r="B20" s="29" t="s">
        <v>2924</v>
      </c>
      <c r="C20" s="30" t="s">
        <v>2894</v>
      </c>
      <c r="D20" s="30" t="s">
        <v>2895</v>
      </c>
      <c r="E20" s="30" t="s">
        <v>2896</v>
      </c>
      <c r="F20" s="30" t="s">
        <v>2897</v>
      </c>
      <c r="G20" s="30" t="s">
        <v>2898</v>
      </c>
      <c r="H20" s="30" t="s">
        <v>2899</v>
      </c>
      <c r="I20" s="30" t="s">
        <v>2612</v>
      </c>
      <c r="J20" s="30" t="s">
        <v>577</v>
      </c>
      <c r="K20" s="30" t="s">
        <v>2900</v>
      </c>
      <c r="L20" s="30" t="s">
        <v>2896</v>
      </c>
      <c r="M20" s="30" t="s">
        <v>2901</v>
      </c>
      <c r="N20" s="30" t="s">
        <v>2900</v>
      </c>
      <c r="O20" s="30" t="s">
        <v>2902</v>
      </c>
      <c r="P20" s="30" t="s">
        <v>2925</v>
      </c>
      <c r="Q20" s="30" t="s">
        <v>2904</v>
      </c>
      <c r="R20" s="30" t="s">
        <v>2905</v>
      </c>
      <c r="S20" s="30" t="s">
        <v>2906</v>
      </c>
      <c r="T20" s="30" t="s">
        <v>2907</v>
      </c>
      <c r="U20" s="30" t="s">
        <v>2908</v>
      </c>
      <c r="V20" s="30" t="s">
        <v>2909</v>
      </c>
      <c r="W20" s="30" t="s">
        <v>2900</v>
      </c>
      <c r="X20" s="30" t="s">
        <v>2910</v>
      </c>
      <c r="Y20" s="30" t="s">
        <v>2911</v>
      </c>
      <c r="Z20" s="30" t="s">
        <v>577</v>
      </c>
      <c r="AA20" s="30" t="s">
        <v>2912</v>
      </c>
      <c r="AB20" s="30" t="s">
        <v>2913</v>
      </c>
      <c r="AC20" s="30" t="s">
        <v>2914</v>
      </c>
      <c r="AD20" s="30" t="s">
        <v>2915</v>
      </c>
      <c r="AE20" s="30" t="s">
        <v>2900</v>
      </c>
      <c r="AF20" s="30" t="s">
        <v>2916</v>
      </c>
      <c r="AG20" s="30" t="s">
        <v>2917</v>
      </c>
      <c r="AH20" s="30" t="s">
        <v>2915</v>
      </c>
      <c r="AI20" s="30" t="s">
        <v>2918</v>
      </c>
      <c r="AJ20" s="30" t="s">
        <v>2919</v>
      </c>
      <c r="AK20" s="30" t="s">
        <v>2920</v>
      </c>
      <c r="AL20" s="30" t="s">
        <v>2909</v>
      </c>
      <c r="AM20" s="30" t="s">
        <v>2921</v>
      </c>
      <c r="AN20" s="30" t="s">
        <v>2922</v>
      </c>
      <c r="AO20" s="30" t="s">
        <v>2923</v>
      </c>
      <c r="AP20" s="30" t="s">
        <v>2915</v>
      </c>
      <c r="AQ20" s="30" t="s">
        <v>2909</v>
      </c>
    </row>
    <row r="21" ht="13.5" spans="1:43">
      <c r="A21" s="28"/>
      <c r="B21" s="29" t="s">
        <v>2926</v>
      </c>
      <c r="C21" s="30" t="s">
        <v>67</v>
      </c>
      <c r="D21" s="30" t="s">
        <v>67</v>
      </c>
      <c r="E21" s="30" t="s">
        <v>67</v>
      </c>
      <c r="F21" s="30" t="s">
        <v>67</v>
      </c>
      <c r="G21" s="30" t="s">
        <v>67</v>
      </c>
      <c r="H21" s="30" t="s">
        <v>67</v>
      </c>
      <c r="I21" s="30" t="s">
        <v>67</v>
      </c>
      <c r="J21" s="30" t="s">
        <v>67</v>
      </c>
      <c r="K21" s="30" t="s">
        <v>67</v>
      </c>
      <c r="L21" s="30" t="s">
        <v>67</v>
      </c>
      <c r="M21" s="30" t="s">
        <v>67</v>
      </c>
      <c r="N21" s="30" t="s">
        <v>67</v>
      </c>
      <c r="O21" s="30" t="s">
        <v>67</v>
      </c>
      <c r="P21" s="30" t="s">
        <v>67</v>
      </c>
      <c r="Q21" s="30" t="s">
        <v>67</v>
      </c>
      <c r="R21" s="30" t="s">
        <v>67</v>
      </c>
      <c r="S21" s="30" t="s">
        <v>67</v>
      </c>
      <c r="T21" s="30" t="s">
        <v>67</v>
      </c>
      <c r="U21" s="30" t="s">
        <v>67</v>
      </c>
      <c r="V21" s="30" t="s">
        <v>67</v>
      </c>
      <c r="W21" s="30" t="s">
        <v>67</v>
      </c>
      <c r="X21" s="30" t="s">
        <v>67</v>
      </c>
      <c r="Y21" s="30" t="s">
        <v>67</v>
      </c>
      <c r="Z21" s="30" t="s">
        <v>67</v>
      </c>
      <c r="AA21" s="30" t="s">
        <v>67</v>
      </c>
      <c r="AB21" s="30" t="s">
        <v>67</v>
      </c>
      <c r="AC21" s="30" t="s">
        <v>67</v>
      </c>
      <c r="AD21" s="30" t="s">
        <v>67</v>
      </c>
      <c r="AE21" s="30" t="s">
        <v>67</v>
      </c>
      <c r="AF21" s="30" t="s">
        <v>67</v>
      </c>
      <c r="AG21" s="30" t="s">
        <v>67</v>
      </c>
      <c r="AH21" s="30" t="s">
        <v>67</v>
      </c>
      <c r="AI21" s="30" t="s">
        <v>67</v>
      </c>
      <c r="AJ21" s="30" t="s">
        <v>67</v>
      </c>
      <c r="AK21" s="30" t="s">
        <v>67</v>
      </c>
      <c r="AL21" s="30" t="s">
        <v>67</v>
      </c>
      <c r="AM21" s="30" t="s">
        <v>67</v>
      </c>
      <c r="AN21" s="30" t="s">
        <v>67</v>
      </c>
      <c r="AO21" s="30" t="s">
        <v>67</v>
      </c>
      <c r="AP21" s="30" t="s">
        <v>67</v>
      </c>
      <c r="AQ21" s="30" t="s">
        <v>67</v>
      </c>
    </row>
    <row r="22" ht="13.5" spans="1:43">
      <c r="A22" s="34"/>
      <c r="B22" s="29" t="s">
        <v>2927</v>
      </c>
      <c r="C22" s="30" t="s">
        <v>2928</v>
      </c>
      <c r="D22" s="30" t="s">
        <v>2908</v>
      </c>
      <c r="E22" s="30" t="s">
        <v>2906</v>
      </c>
      <c r="F22" s="30" t="s">
        <v>2929</v>
      </c>
      <c r="G22" s="30" t="s">
        <v>577</v>
      </c>
      <c r="H22" s="30" t="s">
        <v>2930</v>
      </c>
      <c r="I22" s="30" t="s">
        <v>2931</v>
      </c>
      <c r="J22" s="30" t="s">
        <v>2932</v>
      </c>
      <c r="K22" s="30" t="s">
        <v>2933</v>
      </c>
      <c r="L22" s="30" t="s">
        <v>2894</v>
      </c>
      <c r="M22" s="30" t="s">
        <v>2934</v>
      </c>
      <c r="N22" s="30" t="s">
        <v>2935</v>
      </c>
      <c r="O22" s="30" t="s">
        <v>2936</v>
      </c>
      <c r="P22" s="30" t="s">
        <v>2895</v>
      </c>
      <c r="Q22" s="30" t="s">
        <v>2937</v>
      </c>
      <c r="R22" s="30" t="s">
        <v>2938</v>
      </c>
      <c r="S22" s="30" t="s">
        <v>2939</v>
      </c>
      <c r="T22" s="30" t="s">
        <v>2940</v>
      </c>
      <c r="U22" s="30" t="s">
        <v>2941</v>
      </c>
      <c r="V22" s="30" t="s">
        <v>2895</v>
      </c>
      <c r="W22" s="30" t="s">
        <v>2898</v>
      </c>
      <c r="X22" s="30" t="s">
        <v>2942</v>
      </c>
      <c r="Y22" s="30" t="s">
        <v>577</v>
      </c>
      <c r="Z22" s="30" t="s">
        <v>2943</v>
      </c>
      <c r="AA22" s="30" t="s">
        <v>2944</v>
      </c>
      <c r="AB22" s="30" t="s">
        <v>2945</v>
      </c>
      <c r="AC22" s="30" t="s">
        <v>2936</v>
      </c>
      <c r="AD22" s="30" t="s">
        <v>2898</v>
      </c>
      <c r="AE22" s="30" t="s">
        <v>2897</v>
      </c>
      <c r="AF22" s="30" t="s">
        <v>2946</v>
      </c>
      <c r="AG22" s="30" t="s">
        <v>2947</v>
      </c>
      <c r="AH22" s="30" t="s">
        <v>2902</v>
      </c>
      <c r="AI22" s="30" t="s">
        <v>2948</v>
      </c>
      <c r="AJ22" s="30" t="s">
        <v>2911</v>
      </c>
      <c r="AK22" s="30" t="s">
        <v>2898</v>
      </c>
      <c r="AL22" s="30" t="s">
        <v>2949</v>
      </c>
      <c r="AM22" s="30" t="s">
        <v>2950</v>
      </c>
      <c r="AN22" s="30" t="s">
        <v>2951</v>
      </c>
      <c r="AO22" s="30" t="s">
        <v>2952</v>
      </c>
      <c r="AP22" s="30" t="s">
        <v>2944</v>
      </c>
      <c r="AQ22" s="30" t="s">
        <v>2896</v>
      </c>
    </row>
    <row r="23" ht="13.5" spans="1:43">
      <c r="A23" s="28" t="s">
        <v>2953</v>
      </c>
      <c r="B23" s="33" t="s">
        <v>2954</v>
      </c>
      <c r="C23" s="30" t="s">
        <v>67</v>
      </c>
      <c r="D23" s="30" t="s">
        <v>67</v>
      </c>
      <c r="E23" s="30" t="s">
        <v>67</v>
      </c>
      <c r="F23" s="30" t="s">
        <v>67</v>
      </c>
      <c r="G23" s="30" t="s">
        <v>67</v>
      </c>
      <c r="H23" s="30" t="s">
        <v>67</v>
      </c>
      <c r="I23" s="30" t="s">
        <v>67</v>
      </c>
      <c r="J23" s="30" t="s">
        <v>2955</v>
      </c>
      <c r="K23" s="30" t="s">
        <v>2908</v>
      </c>
      <c r="L23" s="30" t="s">
        <v>2956</v>
      </c>
      <c r="M23" s="30" t="s">
        <v>2957</v>
      </c>
      <c r="N23" s="30" t="s">
        <v>2945</v>
      </c>
      <c r="O23" s="30" t="s">
        <v>2958</v>
      </c>
      <c r="P23" s="30" t="s">
        <v>2959</v>
      </c>
      <c r="Q23" s="30" t="s">
        <v>2960</v>
      </c>
      <c r="R23" s="30" t="s">
        <v>2961</v>
      </c>
      <c r="S23" s="30" t="s">
        <v>2962</v>
      </c>
      <c r="T23" s="30" t="s">
        <v>2963</v>
      </c>
      <c r="U23" s="30" t="s">
        <v>2964</v>
      </c>
      <c r="V23" s="30" t="s">
        <v>2965</v>
      </c>
      <c r="W23" s="30" t="s">
        <v>2966</v>
      </c>
      <c r="X23" s="30" t="s">
        <v>2609</v>
      </c>
      <c r="Y23" s="30" t="s">
        <v>2967</v>
      </c>
      <c r="Z23" s="30" t="s">
        <v>2968</v>
      </c>
      <c r="AA23" s="30" t="s">
        <v>2969</v>
      </c>
      <c r="AB23" s="30" t="s">
        <v>2970</v>
      </c>
      <c r="AC23" s="30" t="s">
        <v>2971</v>
      </c>
      <c r="AD23" s="30" t="s">
        <v>2972</v>
      </c>
      <c r="AE23" s="30" t="s">
        <v>2914</v>
      </c>
      <c r="AF23" s="30" t="s">
        <v>2973</v>
      </c>
      <c r="AG23" s="30" t="s">
        <v>2974</v>
      </c>
      <c r="AH23" s="30" t="s">
        <v>2975</v>
      </c>
      <c r="AI23" s="30" t="s">
        <v>2976</v>
      </c>
      <c r="AJ23" s="30" t="s">
        <v>2977</v>
      </c>
      <c r="AK23" s="30" t="s">
        <v>2978</v>
      </c>
      <c r="AL23" s="30" t="s">
        <v>2979</v>
      </c>
      <c r="AM23" s="30" t="s">
        <v>2980</v>
      </c>
      <c r="AN23" s="30" t="s">
        <v>2981</v>
      </c>
      <c r="AO23" s="30" t="s">
        <v>640</v>
      </c>
      <c r="AP23" s="30" t="s">
        <v>2982</v>
      </c>
      <c r="AQ23" s="30" t="s">
        <v>2972</v>
      </c>
    </row>
    <row r="24" ht="13.5" spans="1:43">
      <c r="A24" s="28"/>
      <c r="B24" s="33" t="s">
        <v>2983</v>
      </c>
      <c r="C24" s="30" t="s">
        <v>2984</v>
      </c>
      <c r="D24" s="30" t="s">
        <v>2985</v>
      </c>
      <c r="E24" s="30" t="s">
        <v>2986</v>
      </c>
      <c r="F24" s="30" t="s">
        <v>2987</v>
      </c>
      <c r="G24" s="30" t="s">
        <v>2988</v>
      </c>
      <c r="H24" s="30" t="s">
        <v>2989</v>
      </c>
      <c r="I24" s="30" t="s">
        <v>2990</v>
      </c>
      <c r="J24" s="30" t="s">
        <v>2991</v>
      </c>
      <c r="K24" s="30" t="s">
        <v>2992</v>
      </c>
      <c r="L24" s="30" t="s">
        <v>2993</v>
      </c>
      <c r="M24" s="30" t="s">
        <v>2994</v>
      </c>
      <c r="N24" s="30" t="s">
        <v>2995</v>
      </c>
      <c r="O24" s="30" t="s">
        <v>2996</v>
      </c>
      <c r="P24" s="30" t="s">
        <v>2997</v>
      </c>
      <c r="Q24" s="30" t="s">
        <v>2998</v>
      </c>
      <c r="R24" s="30" t="s">
        <v>2999</v>
      </c>
      <c r="S24" s="30" t="s">
        <v>3000</v>
      </c>
      <c r="T24" s="30" t="s">
        <v>3001</v>
      </c>
      <c r="U24" s="30" t="s">
        <v>3002</v>
      </c>
      <c r="V24" s="30" t="s">
        <v>3003</v>
      </c>
      <c r="W24" s="30" t="s">
        <v>3004</v>
      </c>
      <c r="X24" s="30" t="s">
        <v>3005</v>
      </c>
      <c r="Y24" s="30" t="s">
        <v>3006</v>
      </c>
      <c r="Z24" s="30" t="s">
        <v>3007</v>
      </c>
      <c r="AA24" s="30" t="s">
        <v>3008</v>
      </c>
      <c r="AB24" s="30" t="s">
        <v>3009</v>
      </c>
      <c r="AC24" s="30" t="s">
        <v>3010</v>
      </c>
      <c r="AD24" s="30" t="s">
        <v>3011</v>
      </c>
      <c r="AE24" s="30" t="s">
        <v>3012</v>
      </c>
      <c r="AF24" s="30" t="s">
        <v>3013</v>
      </c>
      <c r="AG24" s="30" t="s">
        <v>3014</v>
      </c>
      <c r="AH24" s="30" t="s">
        <v>3015</v>
      </c>
      <c r="AI24" s="30" t="s">
        <v>3016</v>
      </c>
      <c r="AJ24" s="30" t="s">
        <v>3017</v>
      </c>
      <c r="AK24" s="30" t="s">
        <v>3018</v>
      </c>
      <c r="AL24" s="30" t="s">
        <v>3019</v>
      </c>
      <c r="AM24" s="30" t="s">
        <v>3020</v>
      </c>
      <c r="AN24" s="30" t="s">
        <v>3021</v>
      </c>
      <c r="AO24" s="30" t="s">
        <v>2851</v>
      </c>
      <c r="AP24" s="30" t="s">
        <v>3022</v>
      </c>
      <c r="AQ24" s="30" t="s">
        <v>3023</v>
      </c>
    </row>
    <row r="25" ht="13.5" spans="1:43">
      <c r="A25" s="28"/>
      <c r="B25" s="33" t="s">
        <v>3024</v>
      </c>
      <c r="C25" s="30" t="s">
        <v>3025</v>
      </c>
      <c r="D25" s="30" t="s">
        <v>3026</v>
      </c>
      <c r="E25" s="30" t="s">
        <v>3027</v>
      </c>
      <c r="F25" s="30" t="s">
        <v>3028</v>
      </c>
      <c r="G25" s="30" t="s">
        <v>3029</v>
      </c>
      <c r="H25" s="30" t="s">
        <v>3030</v>
      </c>
      <c r="I25" s="30" t="s">
        <v>3031</v>
      </c>
      <c r="J25" s="30" t="s">
        <v>3032</v>
      </c>
      <c r="K25" s="30" t="s">
        <v>2969</v>
      </c>
      <c r="L25" s="30" t="s">
        <v>3033</v>
      </c>
      <c r="M25" s="30" t="s">
        <v>3034</v>
      </c>
      <c r="N25" s="30" t="s">
        <v>3035</v>
      </c>
      <c r="O25" s="30" t="s">
        <v>3036</v>
      </c>
      <c r="P25" s="30" t="s">
        <v>3037</v>
      </c>
      <c r="Q25" s="30" t="s">
        <v>3038</v>
      </c>
      <c r="R25" s="30" t="s">
        <v>3039</v>
      </c>
      <c r="S25" s="30" t="s">
        <v>3040</v>
      </c>
      <c r="T25" s="30" t="s">
        <v>3041</v>
      </c>
      <c r="U25" s="30" t="s">
        <v>2614</v>
      </c>
      <c r="V25" s="30" t="s">
        <v>3042</v>
      </c>
      <c r="W25" s="30" t="s">
        <v>3043</v>
      </c>
      <c r="X25" s="30" t="s">
        <v>3044</v>
      </c>
      <c r="Y25" s="30" t="s">
        <v>3045</v>
      </c>
      <c r="Z25" s="30" t="s">
        <v>3046</v>
      </c>
      <c r="AA25" s="30" t="s">
        <v>3047</v>
      </c>
      <c r="AB25" s="30" t="s">
        <v>3048</v>
      </c>
      <c r="AC25" s="30" t="s">
        <v>3049</v>
      </c>
      <c r="AD25" s="30" t="s">
        <v>3050</v>
      </c>
      <c r="AE25" s="30" t="s">
        <v>3051</v>
      </c>
      <c r="AF25" s="30" t="s">
        <v>3052</v>
      </c>
      <c r="AG25" s="30" t="s">
        <v>3053</v>
      </c>
      <c r="AH25" s="30" t="s">
        <v>3054</v>
      </c>
      <c r="AI25" s="30" t="s">
        <v>3055</v>
      </c>
      <c r="AJ25" s="30" t="s">
        <v>3056</v>
      </c>
      <c r="AK25" s="30" t="s">
        <v>3057</v>
      </c>
      <c r="AL25" s="30" t="s">
        <v>3058</v>
      </c>
      <c r="AM25" s="30" t="s">
        <v>2608</v>
      </c>
      <c r="AN25" s="30" t="s">
        <v>3059</v>
      </c>
      <c r="AO25" s="30" t="s">
        <v>3060</v>
      </c>
      <c r="AP25" s="30" t="s">
        <v>3061</v>
      </c>
      <c r="AQ25" s="30" t="s">
        <v>3062</v>
      </c>
    </row>
    <row r="26" ht="13.5" spans="1:43">
      <c r="A26" s="32" t="s">
        <v>3063</v>
      </c>
      <c r="B26" s="33" t="s">
        <v>3064</v>
      </c>
      <c r="C26" s="30" t="s">
        <v>67</v>
      </c>
      <c r="D26" s="30" t="s">
        <v>67</v>
      </c>
      <c r="E26" s="30" t="s">
        <v>67</v>
      </c>
      <c r="F26" s="30" t="s">
        <v>67</v>
      </c>
      <c r="G26" s="30" t="s">
        <v>67</v>
      </c>
      <c r="H26" s="30" t="s">
        <v>67</v>
      </c>
      <c r="I26" s="30" t="s">
        <v>67</v>
      </c>
      <c r="J26" s="30" t="s">
        <v>67</v>
      </c>
      <c r="K26" s="30" t="s">
        <v>67</v>
      </c>
      <c r="L26" s="30" t="s">
        <v>67</v>
      </c>
      <c r="M26" s="30" t="s">
        <v>67</v>
      </c>
      <c r="N26" s="30" t="s">
        <v>67</v>
      </c>
      <c r="O26" s="30" t="s">
        <v>67</v>
      </c>
      <c r="P26" s="30" t="s">
        <v>67</v>
      </c>
      <c r="Q26" s="30" t="s">
        <v>67</v>
      </c>
      <c r="R26" s="30" t="s">
        <v>67</v>
      </c>
      <c r="S26" s="30" t="s">
        <v>67</v>
      </c>
      <c r="T26" s="30" t="s">
        <v>67</v>
      </c>
      <c r="U26" s="30" t="s">
        <v>67</v>
      </c>
      <c r="V26" s="30" t="s">
        <v>67</v>
      </c>
      <c r="W26" s="30" t="s">
        <v>67</v>
      </c>
      <c r="X26" s="30" t="s">
        <v>67</v>
      </c>
      <c r="Y26" s="30" t="s">
        <v>67</v>
      </c>
      <c r="Z26" s="30" t="s">
        <v>67</v>
      </c>
      <c r="AA26" s="30" t="s">
        <v>67</v>
      </c>
      <c r="AB26" s="30" t="s">
        <v>67</v>
      </c>
      <c r="AC26" s="30" t="s">
        <v>67</v>
      </c>
      <c r="AD26" s="30" t="s">
        <v>67</v>
      </c>
      <c r="AE26" s="30" t="s">
        <v>67</v>
      </c>
      <c r="AF26" s="30" t="s">
        <v>67</v>
      </c>
      <c r="AG26" s="30" t="s">
        <v>67</v>
      </c>
      <c r="AH26" s="30" t="s">
        <v>67</v>
      </c>
      <c r="AI26" s="30" t="s">
        <v>67</v>
      </c>
      <c r="AJ26" s="30" t="s">
        <v>67</v>
      </c>
      <c r="AK26" s="30" t="s">
        <v>67</v>
      </c>
      <c r="AL26" s="30" t="s">
        <v>67</v>
      </c>
      <c r="AM26" s="30" t="s">
        <v>67</v>
      </c>
      <c r="AN26" s="30" t="s">
        <v>67</v>
      </c>
      <c r="AO26" s="30" t="s">
        <v>67</v>
      </c>
      <c r="AP26" s="30" t="s">
        <v>67</v>
      </c>
      <c r="AQ26" s="30" t="s">
        <v>67</v>
      </c>
    </row>
    <row r="27" ht="13.5" spans="1:43">
      <c r="A27" s="28"/>
      <c r="B27" s="33" t="s">
        <v>3065</v>
      </c>
      <c r="C27" s="30" t="s">
        <v>67</v>
      </c>
      <c r="D27" s="30" t="s">
        <v>67</v>
      </c>
      <c r="E27" s="30" t="s">
        <v>67</v>
      </c>
      <c r="F27" s="30" t="s">
        <v>67</v>
      </c>
      <c r="G27" s="30" t="s">
        <v>67</v>
      </c>
      <c r="H27" s="30" t="s">
        <v>67</v>
      </c>
      <c r="I27" s="30" t="s">
        <v>67</v>
      </c>
      <c r="J27" s="30" t="s">
        <v>67</v>
      </c>
      <c r="K27" s="30" t="s">
        <v>67</v>
      </c>
      <c r="L27" s="30" t="s">
        <v>67</v>
      </c>
      <c r="M27" s="30" t="s">
        <v>67</v>
      </c>
      <c r="N27" s="30" t="s">
        <v>67</v>
      </c>
      <c r="O27" s="30" t="s">
        <v>67</v>
      </c>
      <c r="P27" s="30" t="s">
        <v>67</v>
      </c>
      <c r="Q27" s="30" t="s">
        <v>67</v>
      </c>
      <c r="R27" s="30" t="s">
        <v>67</v>
      </c>
      <c r="S27" s="30" t="s">
        <v>67</v>
      </c>
      <c r="T27" s="30" t="s">
        <v>67</v>
      </c>
      <c r="U27" s="30" t="s">
        <v>67</v>
      </c>
      <c r="V27" s="30" t="s">
        <v>67</v>
      </c>
      <c r="W27" s="30" t="s">
        <v>67</v>
      </c>
      <c r="X27" s="30" t="s">
        <v>67</v>
      </c>
      <c r="Y27" s="30" t="s">
        <v>67</v>
      </c>
      <c r="Z27" s="30" t="s">
        <v>67</v>
      </c>
      <c r="AA27" s="30" t="s">
        <v>67</v>
      </c>
      <c r="AB27" s="30" t="s">
        <v>67</v>
      </c>
      <c r="AC27" s="30" t="s">
        <v>67</v>
      </c>
      <c r="AD27" s="30" t="s">
        <v>67</v>
      </c>
      <c r="AE27" s="30" t="s">
        <v>67</v>
      </c>
      <c r="AF27" s="30" t="s">
        <v>67</v>
      </c>
      <c r="AG27" s="30" t="s">
        <v>67</v>
      </c>
      <c r="AH27" s="30" t="s">
        <v>67</v>
      </c>
      <c r="AI27" s="30" t="s">
        <v>67</v>
      </c>
      <c r="AJ27" s="30" t="s">
        <v>67</v>
      </c>
      <c r="AK27" s="30" t="s">
        <v>67</v>
      </c>
      <c r="AL27" s="30" t="s">
        <v>67</v>
      </c>
      <c r="AM27" s="30" t="s">
        <v>67</v>
      </c>
      <c r="AN27" s="30" t="s">
        <v>67</v>
      </c>
      <c r="AO27" s="30" t="s">
        <v>67</v>
      </c>
      <c r="AP27" s="30" t="s">
        <v>67</v>
      </c>
      <c r="AQ27" s="30" t="s">
        <v>67</v>
      </c>
    </row>
    <row r="28" ht="13.5" spans="1:43">
      <c r="A28" s="28"/>
      <c r="B28" s="33" t="s">
        <v>3066</v>
      </c>
      <c r="C28" s="30" t="s">
        <v>2928</v>
      </c>
      <c r="D28" s="30" t="s">
        <v>2908</v>
      </c>
      <c r="E28" s="30" t="s">
        <v>2906</v>
      </c>
      <c r="F28" s="30" t="s">
        <v>2929</v>
      </c>
      <c r="G28" s="30" t="s">
        <v>577</v>
      </c>
      <c r="H28" s="30" t="s">
        <v>2930</v>
      </c>
      <c r="I28" s="30" t="s">
        <v>2931</v>
      </c>
      <c r="J28" s="30" t="s">
        <v>2932</v>
      </c>
      <c r="K28" s="30" t="s">
        <v>2933</v>
      </c>
      <c r="L28" s="30" t="s">
        <v>2894</v>
      </c>
      <c r="M28" s="30" t="s">
        <v>2934</v>
      </c>
      <c r="N28" s="30" t="s">
        <v>2935</v>
      </c>
      <c r="O28" s="30" t="s">
        <v>2936</v>
      </c>
      <c r="P28" s="30" t="s">
        <v>2895</v>
      </c>
      <c r="Q28" s="30" t="s">
        <v>2937</v>
      </c>
      <c r="R28" s="30" t="s">
        <v>2938</v>
      </c>
      <c r="S28" s="30" t="s">
        <v>2939</v>
      </c>
      <c r="T28" s="30" t="s">
        <v>2940</v>
      </c>
      <c r="U28" s="30" t="s">
        <v>2941</v>
      </c>
      <c r="V28" s="30" t="s">
        <v>2895</v>
      </c>
      <c r="W28" s="30" t="s">
        <v>2898</v>
      </c>
      <c r="X28" s="30" t="s">
        <v>2942</v>
      </c>
      <c r="Y28" s="30" t="s">
        <v>577</v>
      </c>
      <c r="Z28" s="30" t="s">
        <v>2943</v>
      </c>
      <c r="AA28" s="30" t="s">
        <v>2944</v>
      </c>
      <c r="AB28" s="30" t="s">
        <v>2945</v>
      </c>
      <c r="AC28" s="30" t="s">
        <v>2936</v>
      </c>
      <c r="AD28" s="30" t="s">
        <v>2898</v>
      </c>
      <c r="AE28" s="30" t="s">
        <v>2897</v>
      </c>
      <c r="AF28" s="30" t="s">
        <v>2946</v>
      </c>
      <c r="AG28" s="30" t="s">
        <v>2947</v>
      </c>
      <c r="AH28" s="30" t="s">
        <v>2902</v>
      </c>
      <c r="AI28" s="30" t="s">
        <v>2948</v>
      </c>
      <c r="AJ28" s="30" t="s">
        <v>2911</v>
      </c>
      <c r="AK28" s="30" t="s">
        <v>2898</v>
      </c>
      <c r="AL28" s="30" t="s">
        <v>2949</v>
      </c>
      <c r="AM28" s="30" t="s">
        <v>2950</v>
      </c>
      <c r="AN28" s="30" t="s">
        <v>2951</v>
      </c>
      <c r="AO28" s="30" t="s">
        <v>2952</v>
      </c>
      <c r="AP28" s="30" t="s">
        <v>2944</v>
      </c>
      <c r="AQ28" s="30" t="s">
        <v>2896</v>
      </c>
    </row>
    <row r="29" ht="13.5" spans="1:43">
      <c r="A29" s="32" t="s">
        <v>3067</v>
      </c>
      <c r="B29" s="33" t="s">
        <v>3068</v>
      </c>
      <c r="C29" s="30" t="s">
        <v>2920</v>
      </c>
      <c r="D29" s="30" t="s">
        <v>3069</v>
      </c>
      <c r="E29" s="30" t="s">
        <v>3070</v>
      </c>
      <c r="F29" s="30" t="s">
        <v>3071</v>
      </c>
      <c r="G29" s="30" t="s">
        <v>3072</v>
      </c>
      <c r="H29" s="30" t="s">
        <v>3073</v>
      </c>
      <c r="I29" s="30" t="s">
        <v>2894</v>
      </c>
      <c r="J29" s="30" t="s">
        <v>2907</v>
      </c>
      <c r="K29" s="30" t="s">
        <v>2910</v>
      </c>
      <c r="L29" s="30" t="s">
        <v>3074</v>
      </c>
      <c r="M29" s="30" t="s">
        <v>2913</v>
      </c>
      <c r="N29" s="30" t="s">
        <v>2922</v>
      </c>
      <c r="O29" s="30" t="s">
        <v>3075</v>
      </c>
      <c r="P29" s="30" t="s">
        <v>3076</v>
      </c>
      <c r="Q29" s="30" t="s">
        <v>2922</v>
      </c>
      <c r="R29" s="30" t="s">
        <v>2907</v>
      </c>
      <c r="S29" s="30" t="s">
        <v>3077</v>
      </c>
      <c r="T29" s="30" t="s">
        <v>2942</v>
      </c>
      <c r="U29" s="30" t="s">
        <v>3073</v>
      </c>
      <c r="V29" s="30" t="s">
        <v>2966</v>
      </c>
      <c r="W29" s="30" t="s">
        <v>3075</v>
      </c>
      <c r="X29" s="30" t="s">
        <v>3043</v>
      </c>
      <c r="Y29" s="30" t="s">
        <v>2907</v>
      </c>
      <c r="Z29" s="30" t="s">
        <v>2910</v>
      </c>
      <c r="AA29" s="30" t="s">
        <v>2918</v>
      </c>
      <c r="AB29" s="30" t="s">
        <v>3078</v>
      </c>
      <c r="AC29" s="30" t="s">
        <v>3079</v>
      </c>
      <c r="AD29" s="30" t="s">
        <v>2966</v>
      </c>
      <c r="AE29" s="30" t="s">
        <v>3075</v>
      </c>
      <c r="AF29" s="30" t="s">
        <v>3080</v>
      </c>
      <c r="AG29" s="30" t="s">
        <v>3081</v>
      </c>
      <c r="AH29" s="30" t="s">
        <v>2917</v>
      </c>
      <c r="AI29" s="30" t="s">
        <v>3077</v>
      </c>
      <c r="AJ29" s="30" t="s">
        <v>3082</v>
      </c>
      <c r="AK29" s="30" t="s">
        <v>3074</v>
      </c>
      <c r="AL29" s="30" t="s">
        <v>3083</v>
      </c>
      <c r="AM29" s="30" t="s">
        <v>2908</v>
      </c>
      <c r="AN29" s="30" t="s">
        <v>3080</v>
      </c>
      <c r="AO29" s="30" t="s">
        <v>3043</v>
      </c>
      <c r="AP29" s="30" t="s">
        <v>3070</v>
      </c>
      <c r="AQ29" s="30" t="s">
        <v>2910</v>
      </c>
    </row>
    <row r="30" ht="13.5" spans="1:43">
      <c r="A30" s="28"/>
      <c r="B30" s="33" t="s">
        <v>3084</v>
      </c>
      <c r="C30" s="30" t="s">
        <v>3085</v>
      </c>
      <c r="D30" s="30" t="s">
        <v>3086</v>
      </c>
      <c r="E30" s="30" t="s">
        <v>3087</v>
      </c>
      <c r="F30" s="30" t="s">
        <v>3088</v>
      </c>
      <c r="G30" s="30" t="s">
        <v>3089</v>
      </c>
      <c r="H30" s="30" t="s">
        <v>3090</v>
      </c>
      <c r="I30" s="30" t="s">
        <v>3091</v>
      </c>
      <c r="J30" s="30" t="s">
        <v>3092</v>
      </c>
      <c r="K30" s="30" t="s">
        <v>3093</v>
      </c>
      <c r="L30" s="30" t="s">
        <v>3094</v>
      </c>
      <c r="M30" s="30" t="s">
        <v>3095</v>
      </c>
      <c r="N30" s="30" t="s">
        <v>3096</v>
      </c>
      <c r="O30" s="30" t="s">
        <v>3097</v>
      </c>
      <c r="P30" s="30" t="s">
        <v>3098</v>
      </c>
      <c r="Q30" s="30" t="s">
        <v>3099</v>
      </c>
      <c r="R30" s="30" t="s">
        <v>3100</v>
      </c>
      <c r="S30" s="30" t="s">
        <v>3101</v>
      </c>
      <c r="T30" s="30" t="s">
        <v>3102</v>
      </c>
      <c r="U30" s="30" t="s">
        <v>3103</v>
      </c>
      <c r="V30" s="30" t="s">
        <v>3104</v>
      </c>
      <c r="W30" s="30" t="s">
        <v>3105</v>
      </c>
      <c r="X30" s="30" t="s">
        <v>3106</v>
      </c>
      <c r="Y30" s="30" t="s">
        <v>3107</v>
      </c>
      <c r="Z30" s="30" t="s">
        <v>3108</v>
      </c>
      <c r="AA30" s="30" t="s">
        <v>3109</v>
      </c>
      <c r="AB30" s="30" t="s">
        <v>3110</v>
      </c>
      <c r="AC30" s="30" t="s">
        <v>3111</v>
      </c>
      <c r="AD30" s="30" t="s">
        <v>3112</v>
      </c>
      <c r="AE30" s="30" t="s">
        <v>3113</v>
      </c>
      <c r="AF30" s="30" t="s">
        <v>3114</v>
      </c>
      <c r="AG30" s="30" t="s">
        <v>3115</v>
      </c>
      <c r="AH30" s="30" t="s">
        <v>3116</v>
      </c>
      <c r="AI30" s="30" t="s">
        <v>3117</v>
      </c>
      <c r="AJ30" s="30" t="s">
        <v>3118</v>
      </c>
      <c r="AK30" s="30" t="s">
        <v>3119</v>
      </c>
      <c r="AL30" s="30" t="s">
        <v>3120</v>
      </c>
      <c r="AM30" s="30" t="s">
        <v>3121</v>
      </c>
      <c r="AN30" s="30" t="s">
        <v>3122</v>
      </c>
      <c r="AO30" s="30" t="s">
        <v>3123</v>
      </c>
      <c r="AP30" s="30" t="s">
        <v>3124</v>
      </c>
      <c r="AQ30" s="30" t="s">
        <v>3125</v>
      </c>
    </row>
    <row r="31" ht="13.5" spans="1:43">
      <c r="A31" s="28"/>
      <c r="B31" s="33" t="s">
        <v>3126</v>
      </c>
      <c r="C31" s="30" t="s">
        <v>3127</v>
      </c>
      <c r="D31" s="30" t="s">
        <v>3128</v>
      </c>
      <c r="E31" s="30" t="s">
        <v>3129</v>
      </c>
      <c r="F31" s="30" t="s">
        <v>3130</v>
      </c>
      <c r="G31" s="30" t="s">
        <v>3131</v>
      </c>
      <c r="H31" s="30" t="s">
        <v>3132</v>
      </c>
      <c r="I31" s="30" t="s">
        <v>3133</v>
      </c>
      <c r="J31" s="30" t="s">
        <v>3134</v>
      </c>
      <c r="K31" s="30" t="s">
        <v>3135</v>
      </c>
      <c r="L31" s="30" t="s">
        <v>3136</v>
      </c>
      <c r="M31" s="30" t="s">
        <v>3137</v>
      </c>
      <c r="N31" s="30" t="s">
        <v>3138</v>
      </c>
      <c r="O31" s="30" t="s">
        <v>3139</v>
      </c>
      <c r="P31" s="30" t="s">
        <v>3140</v>
      </c>
      <c r="Q31" s="30" t="s">
        <v>3141</v>
      </c>
      <c r="R31" s="30" t="s">
        <v>3142</v>
      </c>
      <c r="S31" s="30" t="s">
        <v>3143</v>
      </c>
      <c r="T31" s="30" t="s">
        <v>3144</v>
      </c>
      <c r="U31" s="30" t="s">
        <v>3145</v>
      </c>
      <c r="V31" s="30" t="s">
        <v>3146</v>
      </c>
      <c r="W31" s="30" t="s">
        <v>3102</v>
      </c>
      <c r="X31" s="30" t="s">
        <v>3147</v>
      </c>
      <c r="Y31" s="30" t="s">
        <v>3148</v>
      </c>
      <c r="Z31" s="30" t="s">
        <v>3149</v>
      </c>
      <c r="AA31" s="30" t="s">
        <v>3150</v>
      </c>
      <c r="AB31" s="30" t="s">
        <v>3151</v>
      </c>
      <c r="AC31" s="30" t="s">
        <v>3152</v>
      </c>
      <c r="AD31" s="30" t="s">
        <v>3153</v>
      </c>
      <c r="AE31" s="30" t="s">
        <v>3154</v>
      </c>
      <c r="AF31" s="30" t="s">
        <v>3155</v>
      </c>
      <c r="AG31" s="30" t="s">
        <v>3156</v>
      </c>
      <c r="AH31" s="30" t="s">
        <v>3157</v>
      </c>
      <c r="AI31" s="30" t="s">
        <v>3158</v>
      </c>
      <c r="AJ31" s="30" t="s">
        <v>3159</v>
      </c>
      <c r="AK31" s="30" t="s">
        <v>3160</v>
      </c>
      <c r="AL31" s="30" t="s">
        <v>3161</v>
      </c>
      <c r="AM31" s="30" t="s">
        <v>3162</v>
      </c>
      <c r="AN31" s="30" t="s">
        <v>3163</v>
      </c>
      <c r="AO31" s="30" t="s">
        <v>3164</v>
      </c>
      <c r="AP31" s="30" t="s">
        <v>3165</v>
      </c>
      <c r="AQ31" s="30" t="s">
        <v>3166</v>
      </c>
    </row>
    <row r="32" ht="13.5" spans="1:43">
      <c r="A32" s="32" t="s">
        <v>3167</v>
      </c>
      <c r="B32" s="33" t="s">
        <v>3168</v>
      </c>
      <c r="C32" s="30" t="s">
        <v>3169</v>
      </c>
      <c r="D32" s="30" t="s">
        <v>3170</v>
      </c>
      <c r="E32" s="30" t="s">
        <v>3171</v>
      </c>
      <c r="F32" s="30" t="s">
        <v>3172</v>
      </c>
      <c r="G32" s="30" t="s">
        <v>3173</v>
      </c>
      <c r="H32" s="30" t="s">
        <v>3174</v>
      </c>
      <c r="I32" s="30" t="s">
        <v>3175</v>
      </c>
      <c r="J32" s="30" t="s">
        <v>3176</v>
      </c>
      <c r="K32" s="30" t="s">
        <v>3177</v>
      </c>
      <c r="L32" s="30" t="s">
        <v>3178</v>
      </c>
      <c r="M32" s="30" t="s">
        <v>3179</v>
      </c>
      <c r="N32" s="30" t="s">
        <v>3180</v>
      </c>
      <c r="O32" s="30" t="s">
        <v>3181</v>
      </c>
      <c r="P32" s="30" t="s">
        <v>3182</v>
      </c>
      <c r="Q32" s="30" t="s">
        <v>3183</v>
      </c>
      <c r="R32" s="30" t="s">
        <v>3184</v>
      </c>
      <c r="S32" s="30" t="s">
        <v>3185</v>
      </c>
      <c r="T32" s="30" t="s">
        <v>3186</v>
      </c>
      <c r="U32" s="30" t="s">
        <v>3187</v>
      </c>
      <c r="V32" s="30" t="s">
        <v>3188</v>
      </c>
      <c r="W32" s="30" t="s">
        <v>3189</v>
      </c>
      <c r="X32" s="30" t="s">
        <v>3190</v>
      </c>
      <c r="Y32" s="30" t="s">
        <v>3191</v>
      </c>
      <c r="Z32" s="30" t="s">
        <v>3192</v>
      </c>
      <c r="AA32" s="30" t="s">
        <v>3193</v>
      </c>
      <c r="AB32" s="30" t="s">
        <v>3194</v>
      </c>
      <c r="AC32" s="30" t="s">
        <v>3195</v>
      </c>
      <c r="AD32" s="30" t="s">
        <v>3196</v>
      </c>
      <c r="AE32" s="30" t="s">
        <v>3197</v>
      </c>
      <c r="AF32" s="30" t="s">
        <v>3198</v>
      </c>
      <c r="AG32" s="30" t="s">
        <v>3199</v>
      </c>
      <c r="AH32" s="30" t="s">
        <v>3200</v>
      </c>
      <c r="AI32" s="30" t="s">
        <v>3201</v>
      </c>
      <c r="AJ32" s="30" t="s">
        <v>3202</v>
      </c>
      <c r="AK32" s="30" t="s">
        <v>3203</v>
      </c>
      <c r="AL32" s="30" t="s">
        <v>2734</v>
      </c>
      <c r="AM32" s="30" t="s">
        <v>3204</v>
      </c>
      <c r="AN32" s="30" t="s">
        <v>3205</v>
      </c>
      <c r="AO32" s="30" t="s">
        <v>3206</v>
      </c>
      <c r="AP32" s="30" t="s">
        <v>3207</v>
      </c>
      <c r="AQ32" s="30" t="s">
        <v>3208</v>
      </c>
    </row>
    <row r="33" ht="13.5" spans="1:43">
      <c r="A33" s="28"/>
      <c r="B33" s="33" t="s">
        <v>3209</v>
      </c>
      <c r="C33" s="30" t="s">
        <v>3210</v>
      </c>
      <c r="D33" s="30" t="s">
        <v>3211</v>
      </c>
      <c r="E33" s="30" t="s">
        <v>3212</v>
      </c>
      <c r="F33" s="30" t="s">
        <v>3213</v>
      </c>
      <c r="G33" s="30" t="s">
        <v>3214</v>
      </c>
      <c r="H33" s="30" t="s">
        <v>3215</v>
      </c>
      <c r="I33" s="30" t="s">
        <v>3216</v>
      </c>
      <c r="J33" s="30" t="s">
        <v>3217</v>
      </c>
      <c r="K33" s="30" t="s">
        <v>3218</v>
      </c>
      <c r="L33" s="30" t="s">
        <v>3219</v>
      </c>
      <c r="M33" s="30" t="s">
        <v>3220</v>
      </c>
      <c r="N33" s="30" t="s">
        <v>3221</v>
      </c>
      <c r="O33" s="30" t="s">
        <v>3222</v>
      </c>
      <c r="P33" s="30" t="s">
        <v>3223</v>
      </c>
      <c r="Q33" s="30" t="s">
        <v>3224</v>
      </c>
      <c r="R33" s="30" t="s">
        <v>3224</v>
      </c>
      <c r="S33" s="30" t="s">
        <v>3225</v>
      </c>
      <c r="T33" s="30" t="s">
        <v>3226</v>
      </c>
      <c r="U33" s="30" t="s">
        <v>3227</v>
      </c>
      <c r="V33" s="30" t="s">
        <v>3228</v>
      </c>
      <c r="W33" s="30" t="s">
        <v>3229</v>
      </c>
      <c r="X33" s="30" t="s">
        <v>3230</v>
      </c>
      <c r="Y33" s="30" t="s">
        <v>3231</v>
      </c>
      <c r="Z33" s="30" t="s">
        <v>3232</v>
      </c>
      <c r="AA33" s="30" t="s">
        <v>3233</v>
      </c>
      <c r="AB33" s="30" t="s">
        <v>3234</v>
      </c>
      <c r="AC33" s="30" t="s">
        <v>3235</v>
      </c>
      <c r="AD33" s="30" t="s">
        <v>3236</v>
      </c>
      <c r="AE33" s="30" t="s">
        <v>3237</v>
      </c>
      <c r="AF33" s="30" t="s">
        <v>3238</v>
      </c>
      <c r="AG33" s="30" t="s">
        <v>3239</v>
      </c>
      <c r="AH33" s="30" t="s">
        <v>3240</v>
      </c>
      <c r="AI33" s="30" t="s">
        <v>3241</v>
      </c>
      <c r="AJ33" s="30" t="s">
        <v>3242</v>
      </c>
      <c r="AK33" s="30" t="s">
        <v>3243</v>
      </c>
      <c r="AL33" s="30" t="s">
        <v>3244</v>
      </c>
      <c r="AM33" s="30" t="s">
        <v>3245</v>
      </c>
      <c r="AN33" s="30" t="s">
        <v>3246</v>
      </c>
      <c r="AO33" s="30" t="s">
        <v>3247</v>
      </c>
      <c r="AP33" s="30" t="s">
        <v>3248</v>
      </c>
      <c r="AQ33" s="30" t="s">
        <v>3249</v>
      </c>
    </row>
    <row r="34" ht="13.5" spans="1:43">
      <c r="A34" s="28"/>
      <c r="B34" s="33" t="s">
        <v>3250</v>
      </c>
      <c r="C34" s="30" t="s">
        <v>3251</v>
      </c>
      <c r="D34" s="30" t="s">
        <v>3252</v>
      </c>
      <c r="E34" s="30" t="s">
        <v>3253</v>
      </c>
      <c r="F34" s="30" t="s">
        <v>3251</v>
      </c>
      <c r="G34" s="30" t="s">
        <v>3254</v>
      </c>
      <c r="H34" s="30" t="s">
        <v>3255</v>
      </c>
      <c r="I34" s="30" t="s">
        <v>3256</v>
      </c>
      <c r="J34" s="30" t="s">
        <v>3257</v>
      </c>
      <c r="K34" s="30" t="s">
        <v>3258</v>
      </c>
      <c r="L34" s="30" t="s">
        <v>2980</v>
      </c>
      <c r="M34" s="30" t="s">
        <v>3259</v>
      </c>
      <c r="N34" s="30" t="s">
        <v>3260</v>
      </c>
      <c r="O34" s="30" t="s">
        <v>3261</v>
      </c>
      <c r="P34" s="30" t="s">
        <v>3258</v>
      </c>
      <c r="Q34" s="30" t="s">
        <v>3262</v>
      </c>
      <c r="R34" s="30" t="s">
        <v>2965</v>
      </c>
      <c r="S34" s="30" t="s">
        <v>3263</v>
      </c>
      <c r="T34" s="30" t="s">
        <v>3264</v>
      </c>
      <c r="U34" s="30" t="s">
        <v>3265</v>
      </c>
      <c r="V34" s="30" t="s">
        <v>2609</v>
      </c>
      <c r="W34" s="30" t="s">
        <v>3266</v>
      </c>
      <c r="X34" s="30" t="s">
        <v>2465</v>
      </c>
      <c r="Y34" s="30" t="s">
        <v>3267</v>
      </c>
      <c r="Z34" s="30" t="s">
        <v>3263</v>
      </c>
      <c r="AA34" s="30" t="s">
        <v>3268</v>
      </c>
      <c r="AB34" s="30" t="s">
        <v>3269</v>
      </c>
      <c r="AC34" s="30" t="s">
        <v>2965</v>
      </c>
      <c r="AD34" s="30" t="s">
        <v>2965</v>
      </c>
      <c r="AE34" s="30" t="s">
        <v>2610</v>
      </c>
      <c r="AF34" s="30" t="s">
        <v>3270</v>
      </c>
      <c r="AG34" s="30" t="s">
        <v>3271</v>
      </c>
      <c r="AH34" s="30" t="s">
        <v>3272</v>
      </c>
      <c r="AI34" s="30" t="s">
        <v>3254</v>
      </c>
      <c r="AJ34" s="30" t="s">
        <v>3254</v>
      </c>
      <c r="AK34" s="30" t="s">
        <v>3273</v>
      </c>
      <c r="AL34" s="30" t="s">
        <v>3274</v>
      </c>
      <c r="AM34" s="30" t="s">
        <v>3275</v>
      </c>
      <c r="AN34" s="30" t="s">
        <v>3276</v>
      </c>
      <c r="AO34" s="30" t="s">
        <v>3277</v>
      </c>
      <c r="AP34" s="30" t="s">
        <v>3278</v>
      </c>
      <c r="AQ34" s="30" t="s">
        <v>3276</v>
      </c>
    </row>
    <row r="35" ht="13.5" spans="1:43">
      <c r="A35" s="28"/>
      <c r="B35" s="33" t="s">
        <v>3279</v>
      </c>
      <c r="C35" s="30" t="s">
        <v>3280</v>
      </c>
      <c r="D35" s="30" t="s">
        <v>3281</v>
      </c>
      <c r="E35" s="30" t="s">
        <v>3281</v>
      </c>
      <c r="F35" s="30" t="s">
        <v>3282</v>
      </c>
      <c r="G35" s="30" t="s">
        <v>3283</v>
      </c>
      <c r="H35" s="30" t="s">
        <v>3284</v>
      </c>
      <c r="I35" s="30" t="s">
        <v>3285</v>
      </c>
      <c r="J35" s="30" t="s">
        <v>3286</v>
      </c>
      <c r="K35" s="30" t="s">
        <v>2957</v>
      </c>
      <c r="L35" s="30" t="s">
        <v>3287</v>
      </c>
      <c r="M35" s="30" t="s">
        <v>3272</v>
      </c>
      <c r="N35" s="30" t="s">
        <v>3252</v>
      </c>
      <c r="O35" s="30" t="s">
        <v>3288</v>
      </c>
      <c r="P35" s="30" t="s">
        <v>3289</v>
      </c>
      <c r="Q35" s="30" t="s">
        <v>3290</v>
      </c>
      <c r="R35" s="30" t="s">
        <v>3291</v>
      </c>
      <c r="S35" s="30" t="s">
        <v>3292</v>
      </c>
      <c r="T35" s="30" t="s">
        <v>3293</v>
      </c>
      <c r="U35" s="30" t="s">
        <v>3294</v>
      </c>
      <c r="V35" s="30" t="s">
        <v>3264</v>
      </c>
      <c r="W35" s="30" t="s">
        <v>3295</v>
      </c>
      <c r="X35" s="30" t="s">
        <v>3253</v>
      </c>
      <c r="Y35" s="30" t="s">
        <v>3253</v>
      </c>
      <c r="Z35" s="30" t="s">
        <v>3272</v>
      </c>
      <c r="AA35" s="30" t="s">
        <v>3251</v>
      </c>
      <c r="AB35" s="30" t="s">
        <v>3254</v>
      </c>
      <c r="AC35" s="30" t="s">
        <v>3296</v>
      </c>
      <c r="AD35" s="30" t="s">
        <v>3297</v>
      </c>
      <c r="AE35" s="30" t="s">
        <v>3296</v>
      </c>
      <c r="AF35" s="30" t="s">
        <v>3251</v>
      </c>
      <c r="AG35" s="30" t="s">
        <v>3298</v>
      </c>
      <c r="AH35" s="30" t="s">
        <v>3299</v>
      </c>
      <c r="AI35" s="30" t="s">
        <v>3285</v>
      </c>
      <c r="AJ35" s="30" t="s">
        <v>3300</v>
      </c>
      <c r="AK35" s="30" t="s">
        <v>3301</v>
      </c>
      <c r="AL35" s="30" t="s">
        <v>3265</v>
      </c>
      <c r="AM35" s="30" t="s">
        <v>3302</v>
      </c>
      <c r="AN35" s="30" t="s">
        <v>3303</v>
      </c>
      <c r="AO35" s="30" t="s">
        <v>2609</v>
      </c>
      <c r="AP35" s="30" t="s">
        <v>3256</v>
      </c>
      <c r="AQ35" s="30" t="s">
        <v>3304</v>
      </c>
    </row>
    <row r="36" spans="1:43">
      <c r="A36" s="35"/>
      <c r="B36" s="36"/>
      <c r="C36" s="37"/>
      <c r="D36" s="2"/>
      <c r="E36" s="2"/>
      <c r="F36" s="2"/>
      <c r="G36" s="2"/>
      <c r="H36" s="2"/>
      <c r="I36" s="2"/>
      <c r="J36" s="2"/>
      <c r="K36" s="2"/>
      <c r="L36" s="2"/>
      <c r="M36" s="2"/>
      <c r="N36" s="2"/>
      <c r="O36" s="2"/>
      <c r="P36" s="2"/>
      <c r="Q36" s="2"/>
      <c r="R36" s="2"/>
      <c r="S36" s="2"/>
      <c r="T36" s="2"/>
      <c r="U36" s="2"/>
    </row>
    <row r="37" spans="1:43">
      <c r="A37" s="35"/>
      <c r="B37" s="36"/>
      <c r="C37" s="37"/>
      <c r="D37" s="2"/>
      <c r="E37" s="2"/>
      <c r="F37" s="2"/>
      <c r="G37" s="2"/>
      <c r="H37" s="2"/>
      <c r="I37" s="2"/>
      <c r="J37" s="2"/>
      <c r="K37" s="2"/>
      <c r="L37" s="2"/>
      <c r="M37" s="2"/>
      <c r="N37" s="2"/>
      <c r="O37" s="2"/>
      <c r="P37" s="2"/>
      <c r="Q37" s="2"/>
      <c r="R37" s="2"/>
      <c r="S37" s="2"/>
      <c r="T37" s="2"/>
      <c r="U37" s="2"/>
    </row>
    <row r="38" ht="15.5" spans="1:43">
      <c r="A38" s="3" t="s">
        <v>2584</v>
      </c>
      <c r="B38" s="36"/>
      <c r="C38" s="27" t="s">
        <v>2367</v>
      </c>
      <c r="D38" s="27" t="s">
        <v>2368</v>
      </c>
      <c r="E38" s="27" t="s">
        <v>2369</v>
      </c>
      <c r="F38" s="27" t="s">
        <v>2370</v>
      </c>
      <c r="G38" s="27" t="s">
        <v>2371</v>
      </c>
      <c r="H38" s="27" t="s">
        <v>2372</v>
      </c>
      <c r="I38" s="27" t="s">
        <v>2373</v>
      </c>
      <c r="J38" s="27" t="s">
        <v>2374</v>
      </c>
      <c r="K38" s="27" t="s">
        <v>2375</v>
      </c>
      <c r="L38" s="27" t="s">
        <v>2376</v>
      </c>
      <c r="M38" s="27" t="s">
        <v>2377</v>
      </c>
      <c r="N38" s="27" t="s">
        <v>2378</v>
      </c>
      <c r="O38" s="27" t="s">
        <v>2379</v>
      </c>
      <c r="P38" s="27" t="s">
        <v>2380</v>
      </c>
      <c r="Q38" s="27" t="s">
        <v>2381</v>
      </c>
      <c r="R38" s="27" t="s">
        <v>2382</v>
      </c>
      <c r="S38" s="27" t="s">
        <v>2383</v>
      </c>
      <c r="T38" s="27" t="s">
        <v>2384</v>
      </c>
      <c r="U38" s="27" t="s">
        <v>2385</v>
      </c>
      <c r="V38" s="27" t="s">
        <v>2386</v>
      </c>
      <c r="W38" s="27" t="s">
        <v>2387</v>
      </c>
      <c r="X38" s="27" t="s">
        <v>2388</v>
      </c>
      <c r="Y38" s="27" t="s">
        <v>2389</v>
      </c>
      <c r="Z38" s="27" t="s">
        <v>2390</v>
      </c>
      <c r="AA38" s="27" t="s">
        <v>2391</v>
      </c>
      <c r="AB38" s="27" t="s">
        <v>2392</v>
      </c>
      <c r="AC38" s="27" t="s">
        <v>2393</v>
      </c>
      <c r="AD38" s="27" t="s">
        <v>2394</v>
      </c>
      <c r="AE38" s="27" t="s">
        <v>2395</v>
      </c>
      <c r="AF38" s="27" t="s">
        <v>2396</v>
      </c>
      <c r="AG38" s="27" t="s">
        <v>2397</v>
      </c>
      <c r="AH38" s="27" t="s">
        <v>2398</v>
      </c>
      <c r="AI38" s="27" t="s">
        <v>2399</v>
      </c>
      <c r="AJ38" s="27" t="s">
        <v>2400</v>
      </c>
      <c r="AK38" s="27" t="s">
        <v>2401</v>
      </c>
      <c r="AL38" s="27" t="s">
        <v>2402</v>
      </c>
      <c r="AM38" s="27" t="s">
        <v>2403</v>
      </c>
      <c r="AN38" s="27" t="s">
        <v>2404</v>
      </c>
      <c r="AO38" s="27" t="s">
        <v>2405</v>
      </c>
      <c r="AP38" s="27" t="s">
        <v>2406</v>
      </c>
      <c r="AQ38" s="27" t="s">
        <v>2407</v>
      </c>
    </row>
    <row r="39" ht="13.5" spans="1:43">
      <c r="A39" s="38" t="s">
        <v>3305</v>
      </c>
      <c r="B39" s="39" t="s">
        <v>3306</v>
      </c>
      <c r="C39" s="40" t="s">
        <v>2414</v>
      </c>
      <c r="D39" s="40" t="s">
        <v>2426</v>
      </c>
      <c r="E39" s="40" t="s">
        <v>2421</v>
      </c>
      <c r="F39" s="40" t="s">
        <v>2421</v>
      </c>
      <c r="G39" s="40" t="s">
        <v>2426</v>
      </c>
      <c r="H39" s="40" t="s">
        <v>2421</v>
      </c>
      <c r="I39" s="40" t="s">
        <v>2426</v>
      </c>
      <c r="J39" s="40" t="s">
        <v>2426</v>
      </c>
      <c r="K39" s="40" t="s">
        <v>2425</v>
      </c>
      <c r="L39" s="40" t="s">
        <v>2425</v>
      </c>
      <c r="M39" s="40" t="s">
        <v>2425</v>
      </c>
      <c r="N39" s="40" t="s">
        <v>2425</v>
      </c>
      <c r="O39" s="40" t="s">
        <v>2413</v>
      </c>
      <c r="P39" s="40" t="s">
        <v>2426</v>
      </c>
      <c r="Q39" s="40" t="s">
        <v>2421</v>
      </c>
      <c r="R39" s="40" t="s">
        <v>2421</v>
      </c>
      <c r="S39" s="40" t="s">
        <v>2421</v>
      </c>
      <c r="T39" s="40" t="s">
        <v>2426</v>
      </c>
      <c r="U39" s="40" t="s">
        <v>2421</v>
      </c>
      <c r="V39" s="40" t="s">
        <v>2421</v>
      </c>
      <c r="W39" s="40" t="s">
        <v>2410</v>
      </c>
      <c r="X39" s="40" t="s">
        <v>2421</v>
      </c>
      <c r="Y39" s="40" t="s">
        <v>2429</v>
      </c>
      <c r="Z39" s="40" t="s">
        <v>2429</v>
      </c>
      <c r="AA39" s="40" t="s">
        <v>2429</v>
      </c>
      <c r="AB39" s="40" t="s">
        <v>2429</v>
      </c>
      <c r="AC39" s="40" t="s">
        <v>2427</v>
      </c>
      <c r="AD39" s="40" t="s">
        <v>2414</v>
      </c>
      <c r="AE39" s="40" t="s">
        <v>2414</v>
      </c>
      <c r="AF39" s="40" t="s">
        <v>2429</v>
      </c>
      <c r="AG39" s="40" t="s">
        <v>2426</v>
      </c>
      <c r="AH39" s="40" t="s">
        <v>2427</v>
      </c>
      <c r="AI39" s="40" t="s">
        <v>2427</v>
      </c>
      <c r="AJ39" s="40" t="s">
        <v>2429</v>
      </c>
      <c r="AK39" s="40" t="s">
        <v>2427</v>
      </c>
      <c r="AL39" s="40" t="s">
        <v>2427</v>
      </c>
      <c r="AM39" s="40" t="s">
        <v>2427</v>
      </c>
      <c r="AN39" s="40" t="s">
        <v>2429</v>
      </c>
      <c r="AO39" s="40" t="s">
        <v>2427</v>
      </c>
      <c r="AP39" s="40" t="s">
        <v>2429</v>
      </c>
      <c r="AQ39" s="40" t="s">
        <v>2429</v>
      </c>
    </row>
    <row r="40" ht="13.5" spans="1:43">
      <c r="A40" s="38"/>
      <c r="B40" s="39" t="s">
        <v>3307</v>
      </c>
      <c r="C40" s="40" t="s">
        <v>67</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40" t="s">
        <v>67</v>
      </c>
      <c r="AK40" s="40" t="s">
        <v>67</v>
      </c>
      <c r="AL40" s="40" t="s">
        <v>67</v>
      </c>
      <c r="AM40" s="40" t="s">
        <v>67</v>
      </c>
      <c r="AN40" s="40" t="s">
        <v>67</v>
      </c>
      <c r="AO40" s="40" t="s">
        <v>67</v>
      </c>
      <c r="AP40" s="40" t="s">
        <v>67</v>
      </c>
      <c r="AQ40" s="40" t="s">
        <v>67</v>
      </c>
    </row>
    <row r="41" ht="13.5" spans="1:43">
      <c r="A41" s="38"/>
      <c r="B41" s="39" t="s">
        <v>3308</v>
      </c>
      <c r="C41" s="40" t="s">
        <v>3309</v>
      </c>
      <c r="D41" s="40" t="s">
        <v>3310</v>
      </c>
      <c r="E41" s="40" t="s">
        <v>3311</v>
      </c>
      <c r="F41" s="40" t="s">
        <v>3312</v>
      </c>
      <c r="G41" s="40" t="s">
        <v>67</v>
      </c>
      <c r="H41" s="40" t="s">
        <v>3313</v>
      </c>
      <c r="I41" s="40" t="s">
        <v>3314</v>
      </c>
      <c r="J41" s="40" t="s">
        <v>2427</v>
      </c>
      <c r="K41" s="40" t="s">
        <v>3315</v>
      </c>
      <c r="L41" s="40" t="s">
        <v>3313</v>
      </c>
      <c r="M41" s="40" t="s">
        <v>3316</v>
      </c>
      <c r="N41" s="40" t="s">
        <v>3317</v>
      </c>
      <c r="O41" s="40" t="s">
        <v>3318</v>
      </c>
      <c r="P41" s="40" t="s">
        <v>3319</v>
      </c>
      <c r="Q41" s="40" t="s">
        <v>3320</v>
      </c>
      <c r="R41" s="40" t="s">
        <v>3321</v>
      </c>
      <c r="S41" s="40" t="s">
        <v>3318</v>
      </c>
      <c r="T41" s="40" t="s">
        <v>67</v>
      </c>
      <c r="U41" s="40" t="s">
        <v>3322</v>
      </c>
      <c r="V41" s="40" t="s">
        <v>3323</v>
      </c>
      <c r="W41" s="40" t="s">
        <v>67</v>
      </c>
      <c r="X41" s="40" t="s">
        <v>67</v>
      </c>
      <c r="Y41" s="40" t="s">
        <v>2832</v>
      </c>
      <c r="Z41" s="40" t="s">
        <v>3324</v>
      </c>
      <c r="AA41" s="40" t="s">
        <v>3325</v>
      </c>
      <c r="AB41" s="40" t="s">
        <v>3326</v>
      </c>
      <c r="AC41" s="40" t="s">
        <v>3327</v>
      </c>
      <c r="AD41" s="40" t="s">
        <v>3328</v>
      </c>
      <c r="AE41" s="40" t="s">
        <v>3329</v>
      </c>
      <c r="AF41" s="40" t="s">
        <v>3330</v>
      </c>
      <c r="AG41" s="40" t="s">
        <v>67</v>
      </c>
      <c r="AH41" s="40" t="s">
        <v>67</v>
      </c>
      <c r="AI41" s="40" t="s">
        <v>3331</v>
      </c>
      <c r="AJ41" s="40" t="s">
        <v>67</v>
      </c>
      <c r="AK41" s="40" t="s">
        <v>67</v>
      </c>
      <c r="AL41" s="40" t="s">
        <v>67</v>
      </c>
      <c r="AM41" s="40" t="s">
        <v>3332</v>
      </c>
      <c r="AN41" s="40" t="s">
        <v>67</v>
      </c>
      <c r="AO41" s="40" t="s">
        <v>3327</v>
      </c>
      <c r="AP41" s="40" t="s">
        <v>3333</v>
      </c>
      <c r="AQ41" s="40" t="s">
        <v>3334</v>
      </c>
    </row>
    <row r="42" ht="13.5" spans="1:43">
      <c r="A42" s="38"/>
      <c r="B42" s="39" t="s">
        <v>3335</v>
      </c>
      <c r="C42" s="40" t="s">
        <v>67</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40" t="s">
        <v>67</v>
      </c>
      <c r="AK42" s="40" t="s">
        <v>67</v>
      </c>
      <c r="AL42" s="40" t="s">
        <v>67</v>
      </c>
      <c r="AM42" s="40" t="s">
        <v>67</v>
      </c>
      <c r="AN42" s="40" t="s">
        <v>67</v>
      </c>
      <c r="AO42" s="40" t="s">
        <v>67</v>
      </c>
      <c r="AP42" s="40" t="s">
        <v>67</v>
      </c>
      <c r="AQ42" s="40" t="s">
        <v>67</v>
      </c>
    </row>
    <row r="43" ht="13.5" spans="1:43">
      <c r="A43" s="38"/>
      <c r="B43" s="39" t="s">
        <v>3336</v>
      </c>
      <c r="C43" s="40" t="s">
        <v>2659</v>
      </c>
      <c r="D43" s="40" t="s">
        <v>2423</v>
      </c>
      <c r="E43" s="40" t="s">
        <v>2412</v>
      </c>
      <c r="F43" s="40" t="s">
        <v>2412</v>
      </c>
      <c r="G43" s="40" t="s">
        <v>2416</v>
      </c>
      <c r="H43" s="40" t="s">
        <v>2412</v>
      </c>
      <c r="I43" s="40" t="s">
        <v>2412</v>
      </c>
      <c r="J43" s="40" t="s">
        <v>2422</v>
      </c>
      <c r="K43" s="40" t="s">
        <v>2422</v>
      </c>
      <c r="L43" s="40" t="s">
        <v>2659</v>
      </c>
      <c r="M43" s="40" t="s">
        <v>2659</v>
      </c>
      <c r="N43" s="40" t="s">
        <v>2660</v>
      </c>
      <c r="O43" s="40" t="s">
        <v>2416</v>
      </c>
      <c r="P43" s="40" t="s">
        <v>2660</v>
      </c>
      <c r="Q43" s="40" t="s">
        <v>2660</v>
      </c>
      <c r="R43" s="40" t="s">
        <v>2660</v>
      </c>
      <c r="S43" s="40" t="s">
        <v>2412</v>
      </c>
      <c r="T43" s="40" t="s">
        <v>2660</v>
      </c>
      <c r="U43" s="40" t="s">
        <v>2424</v>
      </c>
      <c r="V43" s="40" t="s">
        <v>2413</v>
      </c>
      <c r="W43" s="40" t="s">
        <v>2410</v>
      </c>
      <c r="X43" s="40" t="s">
        <v>2410</v>
      </c>
      <c r="Y43" s="40" t="s">
        <v>2410</v>
      </c>
      <c r="Z43" s="40" t="s">
        <v>2410</v>
      </c>
      <c r="AA43" s="40" t="s">
        <v>2410</v>
      </c>
      <c r="AB43" s="40" t="s">
        <v>2413</v>
      </c>
      <c r="AC43" s="40" t="s">
        <v>2417</v>
      </c>
      <c r="AD43" s="40" t="s">
        <v>2413</v>
      </c>
      <c r="AE43" s="40" t="s">
        <v>2413</v>
      </c>
      <c r="AF43" s="40" t="s">
        <v>2410</v>
      </c>
      <c r="AG43" s="40" t="s">
        <v>2425</v>
      </c>
      <c r="AH43" s="40" t="s">
        <v>67</v>
      </c>
      <c r="AI43" s="40" t="s">
        <v>67</v>
      </c>
      <c r="AJ43" s="40" t="s">
        <v>67</v>
      </c>
      <c r="AK43" s="40" t="s">
        <v>67</v>
      </c>
      <c r="AL43" s="40" t="s">
        <v>67</v>
      </c>
      <c r="AM43" s="40" t="s">
        <v>67</v>
      </c>
      <c r="AN43" s="40" t="s">
        <v>67</v>
      </c>
      <c r="AO43" s="40" t="s">
        <v>67</v>
      </c>
      <c r="AP43" s="40" t="s">
        <v>67</v>
      </c>
      <c r="AQ43" s="40" t="s">
        <v>67</v>
      </c>
    </row>
    <row r="44" ht="13.5" spans="1:43">
      <c r="A44" s="38"/>
      <c r="B44" s="39" t="s">
        <v>3337</v>
      </c>
      <c r="C44" s="40" t="s">
        <v>2429</v>
      </c>
      <c r="D44" s="40" t="s">
        <v>3338</v>
      </c>
      <c r="E44" s="40" t="s">
        <v>2429</v>
      </c>
      <c r="F44" s="40" t="s">
        <v>2429</v>
      </c>
      <c r="G44" s="40" t="s">
        <v>2429</v>
      </c>
      <c r="H44" s="40" t="s">
        <v>2429</v>
      </c>
      <c r="I44" s="40" t="s">
        <v>3339</v>
      </c>
      <c r="J44" s="40" t="s">
        <v>3340</v>
      </c>
      <c r="K44" s="40" t="s">
        <v>2429</v>
      </c>
      <c r="L44" s="40" t="s">
        <v>3341</v>
      </c>
      <c r="M44" s="40" t="s">
        <v>3342</v>
      </c>
      <c r="N44" s="40" t="s">
        <v>3343</v>
      </c>
      <c r="O44" s="40" t="s">
        <v>2427</v>
      </c>
      <c r="P44" s="40" t="s">
        <v>2429</v>
      </c>
      <c r="Q44" s="40" t="s">
        <v>2429</v>
      </c>
      <c r="R44" s="40" t="s">
        <v>2427</v>
      </c>
      <c r="S44" s="40" t="s">
        <v>2427</v>
      </c>
      <c r="T44" s="40" t="s">
        <v>2427</v>
      </c>
      <c r="U44" s="40" t="s">
        <v>3344</v>
      </c>
      <c r="V44" s="40" t="s">
        <v>3345</v>
      </c>
      <c r="W44" s="40" t="s">
        <v>3346</v>
      </c>
      <c r="X44" s="40" t="s">
        <v>3347</v>
      </c>
      <c r="Y44" s="40" t="s">
        <v>3348</v>
      </c>
      <c r="Z44" s="40" t="s">
        <v>3349</v>
      </c>
      <c r="AA44" s="40" t="s">
        <v>3350</v>
      </c>
      <c r="AB44" s="40" t="s">
        <v>3351</v>
      </c>
      <c r="AC44" s="40" t="s">
        <v>2429</v>
      </c>
      <c r="AD44" s="40" t="s">
        <v>3352</v>
      </c>
      <c r="AE44" s="40" t="s">
        <v>3353</v>
      </c>
      <c r="AF44" s="40" t="s">
        <v>3354</v>
      </c>
      <c r="AG44" s="40" t="s">
        <v>3355</v>
      </c>
      <c r="AH44" s="40" t="s">
        <v>3356</v>
      </c>
      <c r="AI44" s="40" t="s">
        <v>3357</v>
      </c>
      <c r="AJ44" s="40" t="s">
        <v>3358</v>
      </c>
      <c r="AK44" s="40" t="s">
        <v>3359</v>
      </c>
      <c r="AL44" s="40" t="s">
        <v>3360</v>
      </c>
      <c r="AM44" s="40" t="s">
        <v>3361</v>
      </c>
      <c r="AN44" s="40" t="s">
        <v>3362</v>
      </c>
      <c r="AO44" s="40" t="s">
        <v>3363</v>
      </c>
      <c r="AP44" s="40" t="s">
        <v>3364</v>
      </c>
      <c r="AQ44" s="40" t="s">
        <v>3365</v>
      </c>
    </row>
    <row r="45" ht="13.5" spans="1:43">
      <c r="A45" s="38"/>
      <c r="B45" s="39" t="s">
        <v>3366</v>
      </c>
      <c r="C45" s="40" t="s">
        <v>2660</v>
      </c>
      <c r="D45" s="40" t="s">
        <v>2417</v>
      </c>
      <c r="E45" s="40" t="s">
        <v>2423</v>
      </c>
      <c r="F45" s="40" t="s">
        <v>2423</v>
      </c>
      <c r="G45" s="40" t="s">
        <v>2417</v>
      </c>
      <c r="H45" s="40" t="s">
        <v>2417</v>
      </c>
      <c r="I45" s="40" t="s">
        <v>2416</v>
      </c>
      <c r="J45" s="40" t="s">
        <v>2660</v>
      </c>
      <c r="K45" s="40" t="s">
        <v>2412</v>
      </c>
      <c r="L45" s="40" t="s">
        <v>2422</v>
      </c>
      <c r="M45" s="40" t="s">
        <v>2659</v>
      </c>
      <c r="N45" s="40" t="s">
        <v>2660</v>
      </c>
      <c r="O45" s="40" t="s">
        <v>2423</v>
      </c>
      <c r="P45" s="40" t="s">
        <v>2416</v>
      </c>
      <c r="Q45" s="40" t="s">
        <v>2412</v>
      </c>
      <c r="R45" s="40" t="s">
        <v>2412</v>
      </c>
      <c r="S45" s="40" t="s">
        <v>2416</v>
      </c>
      <c r="T45" s="40" t="s">
        <v>2412</v>
      </c>
      <c r="U45" s="40" t="s">
        <v>2424</v>
      </c>
      <c r="V45" s="40" t="s">
        <v>2413</v>
      </c>
      <c r="W45" s="40" t="s">
        <v>2410</v>
      </c>
      <c r="X45" s="40" t="s">
        <v>2410</v>
      </c>
      <c r="Y45" s="40" t="s">
        <v>2418</v>
      </c>
      <c r="Z45" s="40" t="s">
        <v>2410</v>
      </c>
      <c r="AA45" s="40" t="s">
        <v>2410</v>
      </c>
      <c r="AB45" s="40" t="s">
        <v>2410</v>
      </c>
      <c r="AC45" s="40" t="s">
        <v>2413</v>
      </c>
      <c r="AD45" s="40" t="s">
        <v>2413</v>
      </c>
      <c r="AE45" s="40" t="s">
        <v>2410</v>
      </c>
      <c r="AF45" s="40" t="s">
        <v>2410</v>
      </c>
      <c r="AG45" s="40" t="s">
        <v>2428</v>
      </c>
      <c r="AH45" s="40" t="s">
        <v>2428</v>
      </c>
      <c r="AI45" s="40" t="s">
        <v>2428</v>
      </c>
      <c r="AJ45" s="40" t="s">
        <v>2428</v>
      </c>
      <c r="AK45" s="40" t="s">
        <v>2414</v>
      </c>
      <c r="AL45" s="40" t="s">
        <v>2414</v>
      </c>
      <c r="AM45" s="40" t="s">
        <v>2414</v>
      </c>
      <c r="AN45" s="40" t="s">
        <v>2414</v>
      </c>
      <c r="AO45" s="40" t="s">
        <v>2414</v>
      </c>
      <c r="AP45" s="40" t="s">
        <v>2429</v>
      </c>
      <c r="AQ45" s="40" t="s">
        <v>2429</v>
      </c>
    </row>
    <row r="46" ht="13.5" spans="1:43">
      <c r="A46" s="38"/>
      <c r="B46" s="39" t="s">
        <v>3367</v>
      </c>
      <c r="C46" s="40" t="s">
        <v>67</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40" t="s">
        <v>67</v>
      </c>
      <c r="AK46" s="40" t="s">
        <v>67</v>
      </c>
      <c r="AL46" s="40" t="s">
        <v>67</v>
      </c>
      <c r="AM46" s="40" t="s">
        <v>67</v>
      </c>
      <c r="AN46" s="40" t="s">
        <v>67</v>
      </c>
      <c r="AO46" s="40" t="s">
        <v>67</v>
      </c>
      <c r="AP46" s="40" t="s">
        <v>67</v>
      </c>
      <c r="AQ46" s="40" t="s">
        <v>67</v>
      </c>
    </row>
    <row r="47" ht="13.5" spans="1:43">
      <c r="A47" s="38"/>
      <c r="B47" s="39" t="s">
        <v>3368</v>
      </c>
      <c r="C47" s="40" t="s">
        <v>2427</v>
      </c>
      <c r="D47" s="40" t="s">
        <v>2427</v>
      </c>
      <c r="E47" s="40" t="s">
        <v>3369</v>
      </c>
      <c r="F47" s="40" t="s">
        <v>3370</v>
      </c>
      <c r="G47" s="40" t="s">
        <v>2429</v>
      </c>
      <c r="H47" s="40" t="s">
        <v>3371</v>
      </c>
      <c r="I47" s="40" t="s">
        <v>3372</v>
      </c>
      <c r="J47" s="40" t="s">
        <v>3373</v>
      </c>
      <c r="K47" s="40" t="s">
        <v>3374</v>
      </c>
      <c r="L47" s="40" t="s">
        <v>2427</v>
      </c>
      <c r="M47" s="40" t="s">
        <v>2429</v>
      </c>
      <c r="N47" s="40" t="s">
        <v>2414</v>
      </c>
      <c r="O47" s="40" t="s">
        <v>2429</v>
      </c>
      <c r="P47" s="40" t="s">
        <v>2429</v>
      </c>
      <c r="Q47" s="40" t="s">
        <v>3375</v>
      </c>
      <c r="R47" s="40" t="s">
        <v>2427</v>
      </c>
      <c r="S47" s="40" t="s">
        <v>2429</v>
      </c>
      <c r="T47" s="40" t="s">
        <v>2427</v>
      </c>
      <c r="U47" s="40" t="s">
        <v>2429</v>
      </c>
      <c r="V47" s="40" t="s">
        <v>2414</v>
      </c>
      <c r="W47" s="40" t="s">
        <v>2429</v>
      </c>
      <c r="X47" s="40" t="s">
        <v>2429</v>
      </c>
      <c r="Y47" s="40" t="s">
        <v>2427</v>
      </c>
      <c r="Z47" s="40" t="s">
        <v>3376</v>
      </c>
      <c r="AA47" s="40" t="s">
        <v>2427</v>
      </c>
      <c r="AB47" s="40" t="s">
        <v>2429</v>
      </c>
      <c r="AC47" s="40" t="s">
        <v>67</v>
      </c>
      <c r="AD47" s="40" t="s">
        <v>67</v>
      </c>
      <c r="AE47" s="40" t="s">
        <v>67</v>
      </c>
      <c r="AF47" s="40" t="s">
        <v>67</v>
      </c>
      <c r="AG47" s="40" t="s">
        <v>67</v>
      </c>
      <c r="AH47" s="40" t="s">
        <v>67</v>
      </c>
      <c r="AI47" s="40" t="s">
        <v>67</v>
      </c>
      <c r="AJ47" s="40" t="s">
        <v>67</v>
      </c>
      <c r="AK47" s="40" t="s">
        <v>67</v>
      </c>
      <c r="AL47" s="40" t="s">
        <v>67</v>
      </c>
      <c r="AM47" s="40" t="s">
        <v>67</v>
      </c>
      <c r="AN47" s="40" t="s">
        <v>67</v>
      </c>
      <c r="AO47" s="40" t="s">
        <v>67</v>
      </c>
      <c r="AP47" s="40" t="s">
        <v>67</v>
      </c>
      <c r="AQ47" s="40" t="s">
        <v>67</v>
      </c>
    </row>
    <row r="48" ht="13.5" spans="1:43">
      <c r="A48" s="38"/>
      <c r="B48" s="39" t="s">
        <v>3377</v>
      </c>
      <c r="C48" s="40" t="s">
        <v>67</v>
      </c>
      <c r="D48" s="40" t="s">
        <v>67</v>
      </c>
      <c r="E48" s="40" t="s">
        <v>67</v>
      </c>
      <c r="F48" s="40" t="s">
        <v>67</v>
      </c>
      <c r="G48" s="40" t="s">
        <v>67</v>
      </c>
      <c r="H48" s="40" t="s">
        <v>67</v>
      </c>
      <c r="I48" s="40" t="s">
        <v>67</v>
      </c>
      <c r="J48" s="40" t="s">
        <v>67</v>
      </c>
      <c r="K48" s="40" t="s">
        <v>3374</v>
      </c>
      <c r="L48" s="40" t="s">
        <v>2427</v>
      </c>
      <c r="M48" s="40" t="s">
        <v>2429</v>
      </c>
      <c r="N48" s="40" t="s">
        <v>2414</v>
      </c>
      <c r="O48" s="40" t="s">
        <v>2429</v>
      </c>
      <c r="P48" s="40" t="s">
        <v>2429</v>
      </c>
      <c r="Q48" s="40" t="s">
        <v>3375</v>
      </c>
      <c r="R48" s="40" t="s">
        <v>2427</v>
      </c>
      <c r="S48" s="40" t="s">
        <v>2429</v>
      </c>
      <c r="T48" s="40" t="s">
        <v>2427</v>
      </c>
      <c r="U48" s="40" t="s">
        <v>2429</v>
      </c>
      <c r="V48" s="40" t="s">
        <v>2414</v>
      </c>
      <c r="W48" s="40" t="s">
        <v>2429</v>
      </c>
      <c r="X48" s="40" t="s">
        <v>67</v>
      </c>
      <c r="Y48" s="40" t="s">
        <v>67</v>
      </c>
      <c r="Z48" s="40" t="s">
        <v>67</v>
      </c>
      <c r="AA48" s="40" t="s">
        <v>67</v>
      </c>
      <c r="AB48" s="40" t="s">
        <v>67</v>
      </c>
      <c r="AC48" s="40" t="s">
        <v>67</v>
      </c>
      <c r="AD48" s="40" t="s">
        <v>67</v>
      </c>
      <c r="AE48" s="40" t="s">
        <v>67</v>
      </c>
      <c r="AF48" s="40" t="s">
        <v>67</v>
      </c>
      <c r="AG48" s="40" t="s">
        <v>67</v>
      </c>
      <c r="AH48" s="40" t="s">
        <v>67</v>
      </c>
      <c r="AI48" s="40" t="s">
        <v>67</v>
      </c>
      <c r="AJ48" s="40" t="s">
        <v>67</v>
      </c>
      <c r="AK48" s="40" t="s">
        <v>67</v>
      </c>
      <c r="AL48" s="40" t="s">
        <v>67</v>
      </c>
      <c r="AM48" s="40" t="s">
        <v>67</v>
      </c>
      <c r="AN48" s="40" t="s">
        <v>67</v>
      </c>
      <c r="AO48" s="40" t="s">
        <v>67</v>
      </c>
      <c r="AP48" s="40" t="s">
        <v>67</v>
      </c>
      <c r="AQ48" s="40" t="s">
        <v>67</v>
      </c>
    </row>
    <row r="49" ht="13.5" spans="1:43">
      <c r="A49" s="38"/>
      <c r="B49" s="39" t="s">
        <v>3378</v>
      </c>
      <c r="C49" s="40" t="s">
        <v>67</v>
      </c>
      <c r="D49" s="40" t="s">
        <v>67</v>
      </c>
      <c r="E49" s="40" t="s">
        <v>67</v>
      </c>
      <c r="F49" s="40" t="s">
        <v>67</v>
      </c>
      <c r="G49" s="40" t="s">
        <v>67</v>
      </c>
      <c r="H49" s="40" t="s">
        <v>67</v>
      </c>
      <c r="I49" s="40" t="s">
        <v>67</v>
      </c>
      <c r="J49" s="40" t="s">
        <v>67</v>
      </c>
      <c r="K49" s="40" t="s">
        <v>2429</v>
      </c>
      <c r="L49" s="40" t="s">
        <v>3379</v>
      </c>
      <c r="M49" s="40" t="s">
        <v>2414</v>
      </c>
      <c r="N49" s="40" t="s">
        <v>2414</v>
      </c>
      <c r="O49" s="40" t="s">
        <v>2426</v>
      </c>
      <c r="P49" s="40" t="s">
        <v>2414</v>
      </c>
      <c r="Q49" s="40" t="s">
        <v>2427</v>
      </c>
      <c r="R49" s="40" t="s">
        <v>2427</v>
      </c>
      <c r="S49" s="40" t="s">
        <v>2429</v>
      </c>
      <c r="T49" s="40" t="s">
        <v>2427</v>
      </c>
      <c r="U49" s="40" t="s">
        <v>2414</v>
      </c>
      <c r="V49" s="40" t="s">
        <v>2429</v>
      </c>
      <c r="W49" s="40" t="s">
        <v>2429</v>
      </c>
      <c r="X49" s="40" t="s">
        <v>3380</v>
      </c>
      <c r="Y49" s="40" t="s">
        <v>3381</v>
      </c>
      <c r="Z49" s="40" t="s">
        <v>3382</v>
      </c>
      <c r="AA49" s="40" t="s">
        <v>3383</v>
      </c>
      <c r="AB49" s="40" t="s">
        <v>3384</v>
      </c>
      <c r="AC49" s="40" t="s">
        <v>3385</v>
      </c>
      <c r="AD49" s="40" t="s">
        <v>3386</v>
      </c>
      <c r="AE49" s="40" t="s">
        <v>3387</v>
      </c>
      <c r="AF49" s="40" t="s">
        <v>2499</v>
      </c>
      <c r="AG49" s="40" t="s">
        <v>2429</v>
      </c>
      <c r="AH49" s="40" t="s">
        <v>2429</v>
      </c>
      <c r="AI49" s="40" t="s">
        <v>3388</v>
      </c>
      <c r="AJ49" s="40" t="s">
        <v>3389</v>
      </c>
      <c r="AK49" s="40" t="s">
        <v>3390</v>
      </c>
      <c r="AL49" s="40" t="s">
        <v>3391</v>
      </c>
      <c r="AM49" s="40" t="s">
        <v>3392</v>
      </c>
      <c r="AN49" s="40" t="s">
        <v>3393</v>
      </c>
      <c r="AO49" s="40" t="s">
        <v>3394</v>
      </c>
      <c r="AP49" s="40" t="s">
        <v>3395</v>
      </c>
      <c r="AQ49" s="40" t="s">
        <v>3396</v>
      </c>
    </row>
    <row r="50" ht="13.5" spans="1:43">
      <c r="A50" s="38"/>
      <c r="B50" s="39" t="s">
        <v>3397</v>
      </c>
      <c r="C50" s="40" t="s">
        <v>67</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3398</v>
      </c>
      <c r="Y50" s="40" t="s">
        <v>67</v>
      </c>
      <c r="Z50" s="40" t="s">
        <v>3399</v>
      </c>
      <c r="AA50" s="40" t="s">
        <v>67</v>
      </c>
      <c r="AB50" s="40" t="s">
        <v>3400</v>
      </c>
      <c r="AC50" s="40" t="s">
        <v>67</v>
      </c>
      <c r="AD50" s="40" t="s">
        <v>3401</v>
      </c>
      <c r="AE50" s="40" t="s">
        <v>67</v>
      </c>
      <c r="AF50" s="40" t="s">
        <v>3402</v>
      </c>
      <c r="AG50" s="40" t="s">
        <v>67</v>
      </c>
      <c r="AH50" s="40" t="s">
        <v>3403</v>
      </c>
      <c r="AI50" s="40" t="s">
        <v>3404</v>
      </c>
      <c r="AJ50" s="40" t="s">
        <v>3405</v>
      </c>
      <c r="AK50" s="40" t="s">
        <v>3406</v>
      </c>
      <c r="AL50" s="40" t="s">
        <v>3407</v>
      </c>
      <c r="AM50" s="40" t="s">
        <v>3408</v>
      </c>
      <c r="AN50" s="40" t="s">
        <v>3409</v>
      </c>
      <c r="AO50" s="40" t="s">
        <v>3410</v>
      </c>
      <c r="AP50" s="40" t="s">
        <v>3411</v>
      </c>
      <c r="AQ50" s="40" t="s">
        <v>3412</v>
      </c>
    </row>
    <row r="51" ht="13.5" spans="1:43">
      <c r="A51" s="38"/>
      <c r="B51" s="39" t="s">
        <v>3413</v>
      </c>
      <c r="C51" s="40" t="s">
        <v>67</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40" t="s">
        <v>67</v>
      </c>
      <c r="AK51" s="40" t="s">
        <v>67</v>
      </c>
      <c r="AL51" s="40" t="s">
        <v>67</v>
      </c>
      <c r="AM51" s="40" t="s">
        <v>67</v>
      </c>
      <c r="AN51" s="40" t="s">
        <v>67</v>
      </c>
      <c r="AO51" s="40" t="s">
        <v>67</v>
      </c>
      <c r="AP51" s="40" t="s">
        <v>67</v>
      </c>
      <c r="AQ51" s="40" t="s">
        <v>67</v>
      </c>
    </row>
    <row r="52" ht="13.5" spans="1:43">
      <c r="A52" s="38"/>
      <c r="B52" s="39" t="s">
        <v>3414</v>
      </c>
      <c r="C52" s="40" t="s">
        <v>67</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40" t="s">
        <v>67</v>
      </c>
      <c r="AK52" s="40" t="s">
        <v>67</v>
      </c>
      <c r="AL52" s="40" t="s">
        <v>67</v>
      </c>
      <c r="AM52" s="40" t="s">
        <v>67</v>
      </c>
      <c r="AN52" s="40" t="s">
        <v>67</v>
      </c>
      <c r="AO52" s="40" t="s">
        <v>67</v>
      </c>
      <c r="AP52" s="40" t="s">
        <v>67</v>
      </c>
      <c r="AQ52" s="40" t="s">
        <v>67</v>
      </c>
    </row>
    <row r="53" ht="13.5" spans="1:43">
      <c r="A53" s="38"/>
      <c r="B53" s="39" t="s">
        <v>3415</v>
      </c>
      <c r="C53" s="40" t="s">
        <v>67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3398</v>
      </c>
      <c r="Y53" s="40" t="s">
        <v>67</v>
      </c>
      <c r="Z53" s="40" t="s">
        <v>3399</v>
      </c>
      <c r="AA53" s="40" t="s">
        <v>67</v>
      </c>
      <c r="AB53" s="40" t="s">
        <v>3400</v>
      </c>
      <c r="AC53" s="40" t="s">
        <v>67</v>
      </c>
      <c r="AD53" s="40" t="s">
        <v>3401</v>
      </c>
      <c r="AE53" s="40" t="s">
        <v>67</v>
      </c>
      <c r="AF53" s="40" t="s">
        <v>3402</v>
      </c>
      <c r="AG53" s="40" t="s">
        <v>67</v>
      </c>
      <c r="AH53" s="40" t="s">
        <v>3403</v>
      </c>
      <c r="AI53" s="40" t="s">
        <v>3404</v>
      </c>
      <c r="AJ53" s="40" t="s">
        <v>3405</v>
      </c>
      <c r="AK53" s="40" t="s">
        <v>3406</v>
      </c>
      <c r="AL53" s="40" t="s">
        <v>3407</v>
      </c>
      <c r="AM53" s="40" t="s">
        <v>3408</v>
      </c>
      <c r="AN53" s="40" t="s">
        <v>3409</v>
      </c>
      <c r="AO53" s="40" t="s">
        <v>3410</v>
      </c>
      <c r="AP53" s="40" t="s">
        <v>3411</v>
      </c>
      <c r="AQ53" s="40" t="s">
        <v>3412</v>
      </c>
    </row>
    <row r="54" ht="13.5" spans="1:43">
      <c r="A54" s="38"/>
      <c r="B54" s="39" t="s">
        <v>3416</v>
      </c>
      <c r="C54" s="40" t="s">
        <v>2415</v>
      </c>
      <c r="D54" s="40" t="s">
        <v>2415</v>
      </c>
      <c r="E54" s="40" t="s">
        <v>2420</v>
      </c>
      <c r="F54" s="40" t="s">
        <v>2415</v>
      </c>
      <c r="G54" s="40" t="s">
        <v>2660</v>
      </c>
      <c r="H54" s="40" t="s">
        <v>2423</v>
      </c>
      <c r="I54" s="40" t="s">
        <v>2416</v>
      </c>
      <c r="J54" s="40" t="s">
        <v>2417</v>
      </c>
      <c r="K54" s="40" t="s">
        <v>2424</v>
      </c>
      <c r="L54" s="40" t="s">
        <v>2416</v>
      </c>
      <c r="M54" s="40" t="s">
        <v>2410</v>
      </c>
      <c r="N54" s="40" t="s">
        <v>2410</v>
      </c>
      <c r="O54" s="40" t="s">
        <v>2418</v>
      </c>
      <c r="P54" s="40" t="s">
        <v>2410</v>
      </c>
      <c r="Q54" s="40" t="s">
        <v>2425</v>
      </c>
      <c r="R54" s="40" t="s">
        <v>2425</v>
      </c>
      <c r="S54" s="40" t="s">
        <v>2425</v>
      </c>
      <c r="T54" s="40" t="s">
        <v>2426</v>
      </c>
      <c r="U54" s="40" t="s">
        <v>2426</v>
      </c>
      <c r="V54" s="40" t="s">
        <v>2421</v>
      </c>
      <c r="W54" s="40" t="s">
        <v>2414</v>
      </c>
      <c r="X54" s="40" t="s">
        <v>2429</v>
      </c>
      <c r="Y54" s="40" t="s">
        <v>2414</v>
      </c>
      <c r="Z54" s="40" t="s">
        <v>2414</v>
      </c>
      <c r="AA54" s="40" t="s">
        <v>2414</v>
      </c>
      <c r="AB54" s="40" t="s">
        <v>2414</v>
      </c>
      <c r="AC54" s="40" t="s">
        <v>2421</v>
      </c>
      <c r="AD54" s="40" t="s">
        <v>2421</v>
      </c>
      <c r="AE54" s="40" t="s">
        <v>2421</v>
      </c>
      <c r="AF54" s="40" t="s">
        <v>2414</v>
      </c>
      <c r="AG54" s="40" t="s">
        <v>2426</v>
      </c>
      <c r="AH54" s="40" t="s">
        <v>2414</v>
      </c>
      <c r="AI54" s="40" t="s">
        <v>2429</v>
      </c>
      <c r="AJ54" s="40" t="s">
        <v>2414</v>
      </c>
      <c r="AK54" s="40" t="s">
        <v>3417</v>
      </c>
      <c r="AL54" s="40" t="s">
        <v>3418</v>
      </c>
      <c r="AM54" s="40" t="s">
        <v>2427</v>
      </c>
      <c r="AN54" s="40" t="s">
        <v>3419</v>
      </c>
      <c r="AO54" s="40" t="s">
        <v>2427</v>
      </c>
      <c r="AP54" s="40" t="s">
        <v>2429</v>
      </c>
      <c r="AQ54" s="40" t="s">
        <v>2429</v>
      </c>
    </row>
    <row r="55" ht="13.5" spans="1:43">
      <c r="A55" s="38"/>
      <c r="B55" s="39" t="s">
        <v>3420</v>
      </c>
      <c r="C55" s="40" t="s">
        <v>2427</v>
      </c>
      <c r="D55" s="40" t="s">
        <v>2427</v>
      </c>
      <c r="E55" s="40" t="s">
        <v>2427</v>
      </c>
      <c r="F55" s="40" t="s">
        <v>3421</v>
      </c>
      <c r="G55" s="40" t="s">
        <v>3422</v>
      </c>
      <c r="H55" s="40" t="s">
        <v>3423</v>
      </c>
      <c r="I55" s="40" t="s">
        <v>3424</v>
      </c>
      <c r="J55" s="40" t="s">
        <v>3425</v>
      </c>
      <c r="K55" s="40" t="s">
        <v>2427</v>
      </c>
      <c r="L55" s="40" t="s">
        <v>2427</v>
      </c>
      <c r="M55" s="40" t="s">
        <v>2429</v>
      </c>
      <c r="N55" s="40" t="s">
        <v>2427</v>
      </c>
      <c r="O55" s="40" t="s">
        <v>2427</v>
      </c>
      <c r="P55" s="40" t="s">
        <v>2427</v>
      </c>
      <c r="Q55" s="40" t="s">
        <v>2414</v>
      </c>
      <c r="R55" s="40" t="s">
        <v>2414</v>
      </c>
      <c r="S55" s="40" t="s">
        <v>2414</v>
      </c>
      <c r="T55" s="40" t="s">
        <v>2429</v>
      </c>
      <c r="U55" s="40" t="s">
        <v>2429</v>
      </c>
      <c r="V55" s="40" t="s">
        <v>2429</v>
      </c>
      <c r="W55" s="40" t="s">
        <v>2429</v>
      </c>
      <c r="X55" s="40" t="s">
        <v>2427</v>
      </c>
      <c r="Y55" s="40" t="s">
        <v>3426</v>
      </c>
      <c r="Z55" s="40" t="s">
        <v>3427</v>
      </c>
      <c r="AA55" s="40" t="s">
        <v>3428</v>
      </c>
      <c r="AB55" s="40" t="s">
        <v>67</v>
      </c>
      <c r="AC55" s="40" t="s">
        <v>67</v>
      </c>
      <c r="AD55" s="40" t="s">
        <v>67</v>
      </c>
      <c r="AE55" s="40" t="s">
        <v>67</v>
      </c>
      <c r="AF55" s="40" t="s">
        <v>67</v>
      </c>
      <c r="AG55" s="40" t="s">
        <v>67</v>
      </c>
      <c r="AH55" s="40" t="s">
        <v>67</v>
      </c>
      <c r="AI55" s="40" t="s">
        <v>67</v>
      </c>
      <c r="AJ55" s="40" t="s">
        <v>67</v>
      </c>
      <c r="AK55" s="40" t="s">
        <v>67</v>
      </c>
      <c r="AL55" s="40" t="s">
        <v>67</v>
      </c>
      <c r="AM55" s="40" t="s">
        <v>67</v>
      </c>
      <c r="AN55" s="40" t="s">
        <v>67</v>
      </c>
      <c r="AO55" s="40" t="s">
        <v>67</v>
      </c>
      <c r="AP55" s="40" t="s">
        <v>67</v>
      </c>
      <c r="AQ55" s="40" t="s">
        <v>67</v>
      </c>
    </row>
    <row r="56" ht="13.5" spans="1:43">
      <c r="A56" s="38"/>
      <c r="B56" s="39" t="s">
        <v>3429</v>
      </c>
      <c r="C56" s="40" t="s">
        <v>67</v>
      </c>
      <c r="D56" s="40" t="s">
        <v>67</v>
      </c>
      <c r="E56" s="40" t="s">
        <v>67</v>
      </c>
      <c r="F56" s="40" t="s">
        <v>67</v>
      </c>
      <c r="G56" s="40" t="s">
        <v>67</v>
      </c>
      <c r="H56" s="40" t="s">
        <v>67</v>
      </c>
      <c r="I56" s="40" t="s">
        <v>67</v>
      </c>
      <c r="J56" s="40" t="s">
        <v>67</v>
      </c>
      <c r="K56" s="40" t="s">
        <v>67</v>
      </c>
      <c r="L56" s="40" t="s">
        <v>67</v>
      </c>
      <c r="M56" s="40" t="s">
        <v>67</v>
      </c>
      <c r="N56" s="40" t="s">
        <v>67</v>
      </c>
      <c r="O56" s="40" t="s">
        <v>67</v>
      </c>
      <c r="P56" s="40" t="s">
        <v>3430</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40" t="s">
        <v>67</v>
      </c>
      <c r="AK56" s="40" t="s">
        <v>67</v>
      </c>
      <c r="AL56" s="40" t="s">
        <v>67</v>
      </c>
      <c r="AM56" s="40" t="s">
        <v>67</v>
      </c>
      <c r="AN56" s="40" t="s">
        <v>67</v>
      </c>
      <c r="AO56" s="40" t="s">
        <v>67</v>
      </c>
      <c r="AP56" s="40" t="s">
        <v>67</v>
      </c>
      <c r="AQ56" s="40" t="s">
        <v>67</v>
      </c>
    </row>
    <row r="57" ht="13.5" spans="1:43">
      <c r="A57" s="38"/>
      <c r="B57" s="39" t="s">
        <v>3431</v>
      </c>
      <c r="C57" s="40" t="s">
        <v>67</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40" t="s">
        <v>67</v>
      </c>
      <c r="AK57" s="40" t="s">
        <v>3432</v>
      </c>
      <c r="AL57" s="40" t="s">
        <v>67</v>
      </c>
      <c r="AM57" s="40" t="s">
        <v>67</v>
      </c>
      <c r="AN57" s="40" t="s">
        <v>67</v>
      </c>
      <c r="AO57" s="40" t="s">
        <v>67</v>
      </c>
      <c r="AP57" s="40" t="s">
        <v>67</v>
      </c>
      <c r="AQ57" s="40" t="s">
        <v>67</v>
      </c>
    </row>
    <row r="58" ht="13.5" spans="1:43">
      <c r="A58" s="38"/>
      <c r="B58" s="39" t="s">
        <v>3433</v>
      </c>
      <c r="C58" s="40" t="s">
        <v>67</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40" t="s">
        <v>67</v>
      </c>
      <c r="AK58" s="40" t="s">
        <v>67</v>
      </c>
      <c r="AL58" s="40" t="s">
        <v>67</v>
      </c>
      <c r="AM58" s="40" t="s">
        <v>67</v>
      </c>
      <c r="AN58" s="40" t="s">
        <v>67</v>
      </c>
      <c r="AO58" s="40" t="s">
        <v>67</v>
      </c>
      <c r="AP58" s="40" t="s">
        <v>67</v>
      </c>
      <c r="AQ58" s="40" t="s">
        <v>67</v>
      </c>
    </row>
    <row r="59" ht="13.5" spans="1:43">
      <c r="A59" s="38"/>
      <c r="B59" s="39" t="s">
        <v>3434</v>
      </c>
      <c r="C59" s="40" t="s">
        <v>67</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40" t="s">
        <v>67</v>
      </c>
      <c r="AK59" s="40" t="s">
        <v>67</v>
      </c>
      <c r="AL59" s="40" t="s">
        <v>67</v>
      </c>
      <c r="AM59" s="40" t="s">
        <v>67</v>
      </c>
      <c r="AN59" s="40" t="s">
        <v>67</v>
      </c>
      <c r="AO59" s="40" t="s">
        <v>67</v>
      </c>
      <c r="AP59" s="40" t="s">
        <v>67</v>
      </c>
      <c r="AQ59" s="40" t="s">
        <v>67</v>
      </c>
    </row>
    <row r="60" ht="13.5" spans="1:43">
      <c r="A60" s="38"/>
      <c r="B60" s="39" t="s">
        <v>3435</v>
      </c>
      <c r="C60" s="40" t="s">
        <v>67</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40" t="s">
        <v>67</v>
      </c>
      <c r="AK60" s="40" t="s">
        <v>67</v>
      </c>
      <c r="AL60" s="40" t="s">
        <v>67</v>
      </c>
      <c r="AM60" s="40" t="s">
        <v>67</v>
      </c>
      <c r="AN60" s="40" t="s">
        <v>67</v>
      </c>
      <c r="AO60" s="40" t="s">
        <v>67</v>
      </c>
      <c r="AP60" s="40" t="s">
        <v>67</v>
      </c>
      <c r="AQ60" s="40" t="s">
        <v>67</v>
      </c>
    </row>
    <row r="61" ht="13.5" spans="1:43">
      <c r="A61" s="38"/>
      <c r="B61" s="39" t="s">
        <v>3436</v>
      </c>
      <c r="C61" s="40" t="s">
        <v>67</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40" t="s">
        <v>67</v>
      </c>
      <c r="AK61" s="40" t="s">
        <v>67</v>
      </c>
      <c r="AL61" s="40" t="s">
        <v>67</v>
      </c>
      <c r="AM61" s="40" t="s">
        <v>67</v>
      </c>
      <c r="AN61" s="40" t="s">
        <v>67</v>
      </c>
      <c r="AO61" s="40" t="s">
        <v>67</v>
      </c>
      <c r="AP61" s="40" t="s">
        <v>67</v>
      </c>
      <c r="AQ61" s="40" t="s">
        <v>67</v>
      </c>
    </row>
    <row r="62" ht="13.5" spans="1:43">
      <c r="A62" s="38"/>
      <c r="B62" s="39" t="s">
        <v>3437</v>
      </c>
      <c r="C62" s="40" t="s">
        <v>67</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40" t="s">
        <v>67</v>
      </c>
      <c r="AK62" s="40" t="s">
        <v>67</v>
      </c>
      <c r="AL62" s="40" t="s">
        <v>67</v>
      </c>
      <c r="AM62" s="40" t="s">
        <v>67</v>
      </c>
      <c r="AN62" s="40" t="s">
        <v>67</v>
      </c>
      <c r="AO62" s="40" t="s">
        <v>67</v>
      </c>
      <c r="AP62" s="40" t="s">
        <v>67</v>
      </c>
      <c r="AQ62" s="40" t="s">
        <v>67</v>
      </c>
    </row>
    <row r="63" ht="13.5" spans="1:43">
      <c r="A63" s="38"/>
      <c r="B63" s="39" t="s">
        <v>3438</v>
      </c>
      <c r="C63" s="40" t="s">
        <v>67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40" t="s">
        <v>67</v>
      </c>
      <c r="AK63" s="40" t="s">
        <v>67</v>
      </c>
      <c r="AL63" s="40" t="s">
        <v>67</v>
      </c>
      <c r="AM63" s="40" t="s">
        <v>67</v>
      </c>
      <c r="AN63" s="40" t="s">
        <v>67</v>
      </c>
      <c r="AO63" s="40" t="s">
        <v>67</v>
      </c>
      <c r="AP63" s="40" t="s">
        <v>67</v>
      </c>
      <c r="AQ63" s="40" t="s">
        <v>67</v>
      </c>
    </row>
    <row r="64" ht="13.5" spans="1:43">
      <c r="A64" s="38"/>
      <c r="B64" s="39" t="s">
        <v>3439</v>
      </c>
      <c r="C64" s="40" t="s">
        <v>67</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40" t="s">
        <v>67</v>
      </c>
      <c r="AK64" s="40" t="s">
        <v>67</v>
      </c>
      <c r="AL64" s="40" t="s">
        <v>67</v>
      </c>
      <c r="AM64" s="40" t="s">
        <v>67</v>
      </c>
      <c r="AN64" s="40" t="s">
        <v>67</v>
      </c>
      <c r="AO64" s="40" t="s">
        <v>67</v>
      </c>
      <c r="AP64" s="40" t="s">
        <v>67</v>
      </c>
      <c r="AQ64" s="40" t="s">
        <v>67</v>
      </c>
    </row>
    <row r="65" ht="13.5" spans="1:43">
      <c r="A65" s="38"/>
      <c r="B65" s="39" t="s">
        <v>3440</v>
      </c>
      <c r="C65" s="40" t="s">
        <v>67</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40" t="s">
        <v>67</v>
      </c>
      <c r="AK65" s="40" t="s">
        <v>67</v>
      </c>
      <c r="AL65" s="40" t="s">
        <v>67</v>
      </c>
      <c r="AM65" s="40" t="s">
        <v>67</v>
      </c>
      <c r="AN65" s="40" t="s">
        <v>67</v>
      </c>
      <c r="AO65" s="40" t="s">
        <v>67</v>
      </c>
      <c r="AP65" s="40" t="s">
        <v>67</v>
      </c>
      <c r="AQ65" s="40" t="s">
        <v>67</v>
      </c>
    </row>
    <row r="66" ht="13.5" spans="1:43">
      <c r="A66" s="38"/>
      <c r="B66" s="39" t="s">
        <v>3441</v>
      </c>
      <c r="C66" s="40" t="s">
        <v>2429</v>
      </c>
      <c r="D66" s="40" t="s">
        <v>2429</v>
      </c>
      <c r="E66" s="40" t="s">
        <v>2429</v>
      </c>
      <c r="F66" s="40" t="s">
        <v>2429</v>
      </c>
      <c r="G66" s="40" t="s">
        <v>2429</v>
      </c>
      <c r="H66" s="40" t="s">
        <v>2429</v>
      </c>
      <c r="I66" s="40" t="s">
        <v>2429</v>
      </c>
      <c r="J66" s="40" t="s">
        <v>2429</v>
      </c>
      <c r="K66" s="40" t="s">
        <v>2429</v>
      </c>
      <c r="L66" s="40" t="s">
        <v>2429</v>
      </c>
      <c r="M66" s="40" t="s">
        <v>2427</v>
      </c>
      <c r="N66" s="40" t="s">
        <v>3442</v>
      </c>
      <c r="O66" s="40" t="s">
        <v>3443</v>
      </c>
      <c r="P66" s="40" t="s">
        <v>3444</v>
      </c>
      <c r="Q66" s="40" t="s">
        <v>3445</v>
      </c>
      <c r="R66" s="40" t="s">
        <v>3446</v>
      </c>
      <c r="S66" s="40" t="s">
        <v>3447</v>
      </c>
      <c r="T66" s="40" t="s">
        <v>3448</v>
      </c>
      <c r="U66" s="40" t="s">
        <v>3449</v>
      </c>
      <c r="V66" s="40" t="s">
        <v>3450</v>
      </c>
      <c r="W66" s="40" t="s">
        <v>3451</v>
      </c>
      <c r="X66" s="40" t="s">
        <v>3452</v>
      </c>
      <c r="Y66" s="40" t="s">
        <v>3453</v>
      </c>
      <c r="Z66" s="40" t="s">
        <v>3454</v>
      </c>
      <c r="AA66" s="40" t="s">
        <v>3455</v>
      </c>
      <c r="AB66" s="40" t="s">
        <v>3456</v>
      </c>
      <c r="AC66" s="40" t="s">
        <v>3457</v>
      </c>
      <c r="AD66" s="40" t="s">
        <v>3458</v>
      </c>
      <c r="AE66" s="40" t="s">
        <v>3459</v>
      </c>
      <c r="AF66" s="40" t="s">
        <v>3460</v>
      </c>
      <c r="AG66" s="40" t="s">
        <v>3461</v>
      </c>
      <c r="AH66" s="40" t="s">
        <v>3462</v>
      </c>
      <c r="AI66" s="40" t="s">
        <v>3463</v>
      </c>
      <c r="AJ66" s="40" t="s">
        <v>3464</v>
      </c>
      <c r="AK66" s="40" t="s">
        <v>3465</v>
      </c>
      <c r="AL66" s="40" t="s">
        <v>3466</v>
      </c>
      <c r="AM66" s="40" t="s">
        <v>3467</v>
      </c>
      <c r="AN66" s="40" t="s">
        <v>3468</v>
      </c>
      <c r="AO66" s="40" t="s">
        <v>2427</v>
      </c>
      <c r="AP66" s="40" t="s">
        <v>2427</v>
      </c>
      <c r="AQ66" s="40" t="s">
        <v>2427</v>
      </c>
    </row>
    <row r="67" ht="13.5" spans="1:43">
      <c r="A67" s="38"/>
      <c r="B67" s="39" t="s">
        <v>3469</v>
      </c>
      <c r="C67" s="40" t="s">
        <v>2595</v>
      </c>
      <c r="D67" s="40" t="s">
        <v>2650</v>
      </c>
      <c r="E67" s="40" t="s">
        <v>2648</v>
      </c>
      <c r="F67" s="40" t="s">
        <v>2650</v>
      </c>
      <c r="G67" s="40" t="s">
        <v>2596</v>
      </c>
      <c r="H67" s="40" t="s">
        <v>2651</v>
      </c>
      <c r="I67" s="40" t="s">
        <v>3470</v>
      </c>
      <c r="J67" s="40" t="s">
        <v>3470</v>
      </c>
      <c r="K67" s="40" t="s">
        <v>3470</v>
      </c>
      <c r="L67" s="40" t="s">
        <v>2650</v>
      </c>
      <c r="M67" s="40" t="s">
        <v>2598</v>
      </c>
      <c r="N67" s="40" t="s">
        <v>2597</v>
      </c>
      <c r="O67" s="40" t="s">
        <v>2598</v>
      </c>
      <c r="P67" s="40" t="s">
        <v>3471</v>
      </c>
      <c r="Q67" s="40" t="s">
        <v>3472</v>
      </c>
      <c r="R67" s="40" t="s">
        <v>3473</v>
      </c>
      <c r="S67" s="40" t="s">
        <v>3473</v>
      </c>
      <c r="T67" s="40" t="s">
        <v>2600</v>
      </c>
      <c r="U67" s="40" t="s">
        <v>2603</v>
      </c>
      <c r="V67" s="40" t="s">
        <v>3474</v>
      </c>
      <c r="W67" s="40" t="s">
        <v>2603</v>
      </c>
      <c r="X67" s="40" t="s">
        <v>3475</v>
      </c>
      <c r="Y67" s="40" t="s">
        <v>2422</v>
      </c>
      <c r="Z67" s="40" t="s">
        <v>2422</v>
      </c>
      <c r="AA67" s="40" t="s">
        <v>2422</v>
      </c>
      <c r="AB67" s="40" t="s">
        <v>2659</v>
      </c>
      <c r="AC67" s="40" t="s">
        <v>2415</v>
      </c>
      <c r="AD67" s="40" t="s">
        <v>2659</v>
      </c>
      <c r="AE67" s="40" t="s">
        <v>2659</v>
      </c>
      <c r="AF67" s="40" t="s">
        <v>2412</v>
      </c>
      <c r="AG67" s="40" t="s">
        <v>2415</v>
      </c>
      <c r="AH67" s="40" t="s">
        <v>2423</v>
      </c>
      <c r="AI67" s="40" t="s">
        <v>2417</v>
      </c>
      <c r="AJ67" s="40" t="s">
        <v>2424</v>
      </c>
      <c r="AK67" s="40" t="s">
        <v>2428</v>
      </c>
      <c r="AL67" s="40" t="s">
        <v>2428</v>
      </c>
      <c r="AM67" s="40" t="s">
        <v>2428</v>
      </c>
      <c r="AN67" s="40" t="s">
        <v>2428</v>
      </c>
      <c r="AO67" s="40" t="s">
        <v>2425</v>
      </c>
      <c r="AP67" s="40" t="s">
        <v>2425</v>
      </c>
      <c r="AQ67" s="40" t="s">
        <v>2418</v>
      </c>
    </row>
    <row r="68" ht="13.5" spans="1:43">
      <c r="A68" s="38" t="s">
        <v>3476</v>
      </c>
      <c r="B68" s="39" t="s">
        <v>3477</v>
      </c>
      <c r="C68" s="40" t="s">
        <v>67</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40" t="s">
        <v>67</v>
      </c>
      <c r="AK68" s="40" t="s">
        <v>67</v>
      </c>
      <c r="AL68" s="40" t="s">
        <v>67</v>
      </c>
      <c r="AM68" s="40" t="s">
        <v>67</v>
      </c>
      <c r="AN68" s="40" t="s">
        <v>67</v>
      </c>
      <c r="AO68" s="40" t="s">
        <v>67</v>
      </c>
      <c r="AP68" s="40" t="s">
        <v>67</v>
      </c>
      <c r="AQ68" s="40" t="s">
        <v>67</v>
      </c>
    </row>
    <row r="69" ht="13.5" spans="1:43">
      <c r="A69" s="38"/>
      <c r="B69" s="39" t="s">
        <v>3478</v>
      </c>
      <c r="C69" s="40" t="s">
        <v>67</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40" t="s">
        <v>67</v>
      </c>
      <c r="AK69" s="40" t="s">
        <v>67</v>
      </c>
      <c r="AL69" s="40" t="s">
        <v>67</v>
      </c>
      <c r="AM69" s="40" t="s">
        <v>67</v>
      </c>
      <c r="AN69" s="40" t="s">
        <v>67</v>
      </c>
      <c r="AO69" s="40" t="s">
        <v>67</v>
      </c>
      <c r="AP69" s="40" t="s">
        <v>67</v>
      </c>
      <c r="AQ69" s="40" t="s">
        <v>67</v>
      </c>
    </row>
    <row r="70" ht="13.5" spans="1:43">
      <c r="A70" s="38"/>
      <c r="B70" s="39" t="s">
        <v>3479</v>
      </c>
      <c r="C70" s="40" t="s">
        <v>67</v>
      </c>
      <c r="D70" s="40" t="s">
        <v>67</v>
      </c>
      <c r="E70" s="40" t="s">
        <v>67</v>
      </c>
      <c r="F70" s="40" t="s">
        <v>67</v>
      </c>
      <c r="G70" s="40" t="s">
        <v>67</v>
      </c>
      <c r="H70" s="40" t="s">
        <v>67</v>
      </c>
      <c r="I70" s="40" t="s">
        <v>67</v>
      </c>
      <c r="J70" s="40" t="s">
        <v>67</v>
      </c>
      <c r="K70" s="40" t="s">
        <v>67</v>
      </c>
      <c r="L70" s="40" t="s">
        <v>67</v>
      </c>
      <c r="M70" s="40" t="s">
        <v>67</v>
      </c>
      <c r="N70" s="40" t="s">
        <v>67</v>
      </c>
      <c r="O70" s="40" t="s">
        <v>67</v>
      </c>
      <c r="P70" s="40" t="s">
        <v>67</v>
      </c>
      <c r="Q70" s="40" t="s">
        <v>67</v>
      </c>
      <c r="R70" s="40" t="s">
        <v>67</v>
      </c>
      <c r="S70" s="40" t="s">
        <v>67</v>
      </c>
      <c r="T70" s="40" t="s">
        <v>67</v>
      </c>
      <c r="U70" s="40" t="s">
        <v>67</v>
      </c>
      <c r="V70" s="40" t="s">
        <v>67</v>
      </c>
      <c r="W70" s="40" t="s">
        <v>67</v>
      </c>
      <c r="X70" s="40" t="s">
        <v>67</v>
      </c>
      <c r="Y70" s="40" t="s">
        <v>67</v>
      </c>
      <c r="Z70" s="40" t="s">
        <v>67</v>
      </c>
      <c r="AA70" s="40" t="s">
        <v>67</v>
      </c>
      <c r="AB70" s="40" t="s">
        <v>67</v>
      </c>
      <c r="AC70" s="40" t="s">
        <v>67</v>
      </c>
      <c r="AD70" s="40" t="s">
        <v>67</v>
      </c>
      <c r="AE70" s="40" t="s">
        <v>67</v>
      </c>
      <c r="AF70" s="40" t="s">
        <v>67</v>
      </c>
      <c r="AG70" s="40" t="s">
        <v>67</v>
      </c>
      <c r="AH70" s="40" t="s">
        <v>67</v>
      </c>
      <c r="AI70" s="40" t="s">
        <v>67</v>
      </c>
      <c r="AJ70" s="40" t="s">
        <v>67</v>
      </c>
      <c r="AK70" s="40" t="s">
        <v>67</v>
      </c>
      <c r="AL70" s="40" t="s">
        <v>67</v>
      </c>
      <c r="AM70" s="40" t="s">
        <v>67</v>
      </c>
      <c r="AN70" s="40" t="s">
        <v>67</v>
      </c>
      <c r="AO70" s="40" t="s">
        <v>67</v>
      </c>
      <c r="AP70" s="40" t="s">
        <v>67</v>
      </c>
      <c r="AQ70" s="40" t="s">
        <v>67</v>
      </c>
    </row>
    <row r="71" ht="13.5" spans="1:43">
      <c r="A71" s="38"/>
      <c r="B71" s="39" t="s">
        <v>3480</v>
      </c>
      <c r="C71" s="40" t="s">
        <v>67</v>
      </c>
      <c r="D71" s="40" t="s">
        <v>67</v>
      </c>
      <c r="E71" s="40" t="s">
        <v>67</v>
      </c>
      <c r="F71" s="40" t="s">
        <v>67</v>
      </c>
      <c r="G71" s="40" t="s">
        <v>67</v>
      </c>
      <c r="H71" s="40" t="s">
        <v>67</v>
      </c>
      <c r="I71" s="40" t="s">
        <v>67</v>
      </c>
      <c r="J71" s="40" t="s">
        <v>67</v>
      </c>
      <c r="K71" s="40" t="s">
        <v>67</v>
      </c>
      <c r="L71" s="40" t="s">
        <v>67</v>
      </c>
      <c r="M71" s="40" t="s">
        <v>67</v>
      </c>
      <c r="N71" s="40" t="s">
        <v>67</v>
      </c>
      <c r="O71" s="40" t="s">
        <v>67</v>
      </c>
      <c r="P71" s="40" t="s">
        <v>67</v>
      </c>
      <c r="Q71" s="40" t="s">
        <v>67</v>
      </c>
      <c r="R71" s="40" t="s">
        <v>67</v>
      </c>
      <c r="S71" s="40" t="s">
        <v>67</v>
      </c>
      <c r="T71" s="40" t="s">
        <v>67</v>
      </c>
      <c r="U71" s="40" t="s">
        <v>67</v>
      </c>
      <c r="V71" s="40" t="s">
        <v>67</v>
      </c>
      <c r="W71" s="40" t="s">
        <v>67</v>
      </c>
      <c r="X71" s="40" t="s">
        <v>67</v>
      </c>
      <c r="Y71" s="40" t="s">
        <v>67</v>
      </c>
      <c r="Z71" s="40" t="s">
        <v>67</v>
      </c>
      <c r="AA71" s="40" t="s">
        <v>67</v>
      </c>
      <c r="AB71" s="40" t="s">
        <v>67</v>
      </c>
      <c r="AC71" s="40" t="s">
        <v>67</v>
      </c>
      <c r="AD71" s="40" t="s">
        <v>67</v>
      </c>
      <c r="AE71" s="40" t="s">
        <v>67</v>
      </c>
      <c r="AF71" s="40" t="s">
        <v>67</v>
      </c>
      <c r="AG71" s="40" t="s">
        <v>67</v>
      </c>
      <c r="AH71" s="40" t="s">
        <v>67</v>
      </c>
      <c r="AI71" s="40" t="s">
        <v>67</v>
      </c>
      <c r="AJ71" s="40" t="s">
        <v>67</v>
      </c>
      <c r="AK71" s="40" t="s">
        <v>67</v>
      </c>
      <c r="AL71" s="40" t="s">
        <v>67</v>
      </c>
      <c r="AM71" s="40" t="s">
        <v>67</v>
      </c>
      <c r="AN71" s="40" t="s">
        <v>67</v>
      </c>
      <c r="AO71" s="40" t="s">
        <v>67</v>
      </c>
      <c r="AP71" s="40" t="s">
        <v>67</v>
      </c>
      <c r="AQ71" s="40" t="s">
        <v>67</v>
      </c>
    </row>
    <row r="72" ht="13.5" spans="1:43">
      <c r="A72" s="38"/>
      <c r="B72" s="39" t="s">
        <v>3481</v>
      </c>
      <c r="C72" s="40" t="s">
        <v>3482</v>
      </c>
      <c r="D72" s="40" t="s">
        <v>3483</v>
      </c>
      <c r="E72" s="40" t="s">
        <v>3484</v>
      </c>
      <c r="F72" s="40" t="s">
        <v>3485</v>
      </c>
      <c r="G72" s="40" t="s">
        <v>3486</v>
      </c>
      <c r="H72" s="40" t="s">
        <v>3487</v>
      </c>
      <c r="I72" s="40" t="s">
        <v>3488</v>
      </c>
      <c r="J72" s="40" t="s">
        <v>3489</v>
      </c>
      <c r="K72" s="40" t="s">
        <v>3490</v>
      </c>
      <c r="L72" s="40" t="s">
        <v>3491</v>
      </c>
      <c r="M72" s="40" t="s">
        <v>3492</v>
      </c>
      <c r="N72" s="40" t="s">
        <v>3493</v>
      </c>
      <c r="O72" s="40" t="s">
        <v>3494</v>
      </c>
      <c r="P72" s="40" t="s">
        <v>3495</v>
      </c>
      <c r="Q72" s="40" t="s">
        <v>3325</v>
      </c>
      <c r="R72" s="40" t="s">
        <v>3496</v>
      </c>
      <c r="S72" s="40" t="s">
        <v>3326</v>
      </c>
      <c r="T72" s="40" t="s">
        <v>3497</v>
      </c>
      <c r="U72" s="40" t="s">
        <v>3498</v>
      </c>
      <c r="V72" s="40" t="s">
        <v>3499</v>
      </c>
      <c r="W72" s="40" t="s">
        <v>3500</v>
      </c>
      <c r="X72" s="40" t="s">
        <v>3501</v>
      </c>
      <c r="Y72" s="40" t="s">
        <v>3502</v>
      </c>
      <c r="Z72" s="40" t="s">
        <v>3503</v>
      </c>
      <c r="AA72" s="40" t="s">
        <v>3504</v>
      </c>
      <c r="AB72" s="40" t="s">
        <v>3505</v>
      </c>
      <c r="AC72" s="40" t="s">
        <v>3506</v>
      </c>
      <c r="AD72" s="40" t="s">
        <v>3507</v>
      </c>
      <c r="AE72" s="40" t="s">
        <v>3508</v>
      </c>
      <c r="AF72" s="40" t="s">
        <v>3509</v>
      </c>
      <c r="AG72" s="40" t="s">
        <v>3510</v>
      </c>
      <c r="AH72" s="40" t="s">
        <v>3511</v>
      </c>
      <c r="AI72" s="40" t="s">
        <v>3309</v>
      </c>
      <c r="AJ72" s="40" t="s">
        <v>3512</v>
      </c>
      <c r="AK72" s="40" t="s">
        <v>3513</v>
      </c>
      <c r="AL72" s="40" t="s">
        <v>3514</v>
      </c>
      <c r="AM72" s="40" t="s">
        <v>3515</v>
      </c>
      <c r="AN72" s="40" t="s">
        <v>3516</v>
      </c>
      <c r="AO72" s="40" t="s">
        <v>67</v>
      </c>
      <c r="AP72" s="40" t="s">
        <v>67</v>
      </c>
      <c r="AQ72" s="40" t="s">
        <v>67</v>
      </c>
    </row>
    <row r="73" ht="13.5" spans="1:43">
      <c r="A73" s="38"/>
      <c r="B73" s="39" t="s">
        <v>3517</v>
      </c>
      <c r="C73" s="40" t="s">
        <v>2527</v>
      </c>
      <c r="D73" s="40" t="s">
        <v>2527</v>
      </c>
      <c r="E73" s="40" t="s">
        <v>3518</v>
      </c>
      <c r="F73" s="40" t="s">
        <v>3519</v>
      </c>
      <c r="G73" s="40" t="s">
        <v>3520</v>
      </c>
      <c r="H73" s="40" t="s">
        <v>3521</v>
      </c>
      <c r="I73" s="40" t="s">
        <v>3522</v>
      </c>
      <c r="J73" s="40" t="s">
        <v>3523</v>
      </c>
      <c r="K73" s="40" t="s">
        <v>3523</v>
      </c>
      <c r="L73" s="40" t="s">
        <v>3523</v>
      </c>
      <c r="M73" s="40" t="s">
        <v>3524</v>
      </c>
      <c r="N73" s="40" t="s">
        <v>3525</v>
      </c>
      <c r="O73" s="40" t="s">
        <v>3525</v>
      </c>
      <c r="P73" s="40" t="s">
        <v>3525</v>
      </c>
      <c r="Q73" s="40" t="s">
        <v>3526</v>
      </c>
      <c r="R73" s="40" t="s">
        <v>3527</v>
      </c>
      <c r="S73" s="40" t="s">
        <v>3528</v>
      </c>
      <c r="T73" s="40" t="s">
        <v>3529</v>
      </c>
      <c r="U73" s="40" t="s">
        <v>3530</v>
      </c>
      <c r="V73" s="40" t="s">
        <v>3530</v>
      </c>
      <c r="W73" s="40" t="s">
        <v>3530</v>
      </c>
      <c r="X73" s="40" t="s">
        <v>3530</v>
      </c>
      <c r="Y73" s="40" t="s">
        <v>3531</v>
      </c>
      <c r="Z73" s="40" t="s">
        <v>3532</v>
      </c>
      <c r="AA73" s="40" t="s">
        <v>3533</v>
      </c>
      <c r="AB73" s="40" t="s">
        <v>3533</v>
      </c>
      <c r="AC73" s="40" t="s">
        <v>3534</v>
      </c>
      <c r="AD73" s="40" t="s">
        <v>3535</v>
      </c>
      <c r="AE73" s="40" t="s">
        <v>3535</v>
      </c>
      <c r="AF73" s="40" t="s">
        <v>67</v>
      </c>
      <c r="AG73" s="40" t="s">
        <v>67</v>
      </c>
      <c r="AH73" s="40" t="s">
        <v>67</v>
      </c>
      <c r="AI73" s="40" t="s">
        <v>67</v>
      </c>
      <c r="AJ73" s="40" t="s">
        <v>67</v>
      </c>
      <c r="AK73" s="40" t="s">
        <v>67</v>
      </c>
      <c r="AL73" s="40" t="s">
        <v>67</v>
      </c>
      <c r="AM73" s="40" t="s">
        <v>67</v>
      </c>
      <c r="AN73" s="40" t="s">
        <v>67</v>
      </c>
      <c r="AO73" s="40" t="s">
        <v>67</v>
      </c>
      <c r="AP73" s="40" t="s">
        <v>67</v>
      </c>
      <c r="AQ73" s="40" t="s">
        <v>67</v>
      </c>
    </row>
    <row r="74" ht="13.5" spans="1:43">
      <c r="A74" s="38"/>
      <c r="B74" s="39" t="s">
        <v>3536</v>
      </c>
      <c r="C74" s="40" t="s">
        <v>67</v>
      </c>
      <c r="D74" s="40" t="s">
        <v>67</v>
      </c>
      <c r="E74" s="40" t="s">
        <v>67</v>
      </c>
      <c r="F74" s="40" t="s">
        <v>67</v>
      </c>
      <c r="G74" s="40" t="s">
        <v>67</v>
      </c>
      <c r="H74" s="40" t="s">
        <v>67</v>
      </c>
      <c r="I74" s="40" t="s">
        <v>67</v>
      </c>
      <c r="J74" s="40" t="s">
        <v>67</v>
      </c>
      <c r="K74" s="40" t="s">
        <v>67</v>
      </c>
      <c r="L74" s="40" t="s">
        <v>67</v>
      </c>
      <c r="M74" s="40" t="s">
        <v>67</v>
      </c>
      <c r="N74" s="40" t="s">
        <v>67</v>
      </c>
      <c r="O74" s="40" t="s">
        <v>67</v>
      </c>
      <c r="P74" s="40" t="s">
        <v>67</v>
      </c>
      <c r="Q74" s="40" t="s">
        <v>67</v>
      </c>
      <c r="R74" s="40" t="s">
        <v>67</v>
      </c>
      <c r="S74" s="40" t="s">
        <v>67</v>
      </c>
      <c r="T74" s="40" t="s">
        <v>67</v>
      </c>
      <c r="U74" s="40" t="s">
        <v>67</v>
      </c>
      <c r="V74" s="40" t="s">
        <v>67</v>
      </c>
      <c r="W74" s="40" t="s">
        <v>67</v>
      </c>
      <c r="X74" s="40" t="s">
        <v>67</v>
      </c>
      <c r="Y74" s="40" t="s">
        <v>67</v>
      </c>
      <c r="Z74" s="40" t="s">
        <v>67</v>
      </c>
      <c r="AA74" s="40" t="s">
        <v>67</v>
      </c>
      <c r="AB74" s="40" t="s">
        <v>67</v>
      </c>
      <c r="AC74" s="40" t="s">
        <v>67</v>
      </c>
      <c r="AD74" s="40" t="s">
        <v>67</v>
      </c>
      <c r="AE74" s="40" t="s">
        <v>67</v>
      </c>
      <c r="AF74" s="40" t="s">
        <v>67</v>
      </c>
      <c r="AG74" s="40" t="s">
        <v>67</v>
      </c>
      <c r="AH74" s="40" t="s">
        <v>67</v>
      </c>
      <c r="AI74" s="40" t="s">
        <v>67</v>
      </c>
      <c r="AJ74" s="40" t="s">
        <v>67</v>
      </c>
      <c r="AK74" s="40" t="s">
        <v>67</v>
      </c>
      <c r="AL74" s="40" t="s">
        <v>67</v>
      </c>
      <c r="AM74" s="40" t="s">
        <v>67</v>
      </c>
      <c r="AN74" s="40" t="s">
        <v>67</v>
      </c>
      <c r="AO74" s="40" t="s">
        <v>67</v>
      </c>
      <c r="AP74" s="40" t="s">
        <v>67</v>
      </c>
      <c r="AQ74" s="40" t="s">
        <v>67</v>
      </c>
    </row>
    <row r="75" ht="13.5" spans="1:43">
      <c r="A75" s="38"/>
      <c r="B75" s="39" t="s">
        <v>3537</v>
      </c>
      <c r="C75" s="40" t="s">
        <v>2427</v>
      </c>
      <c r="D75" s="40" t="s">
        <v>2427</v>
      </c>
      <c r="E75" s="40" t="s">
        <v>2427</v>
      </c>
      <c r="F75" s="40" t="s">
        <v>2427</v>
      </c>
      <c r="G75" s="40" t="s">
        <v>2427</v>
      </c>
      <c r="H75" s="40" t="s">
        <v>2427</v>
      </c>
      <c r="I75" s="40" t="s">
        <v>2427</v>
      </c>
      <c r="J75" s="40" t="s">
        <v>2427</v>
      </c>
      <c r="K75" s="40" t="s">
        <v>3538</v>
      </c>
      <c r="L75" s="40" t="s">
        <v>3539</v>
      </c>
      <c r="M75" s="40" t="s">
        <v>2429</v>
      </c>
      <c r="N75" s="40" t="s">
        <v>2427</v>
      </c>
      <c r="O75" s="40" t="s">
        <v>3540</v>
      </c>
      <c r="P75" s="40" t="s">
        <v>3541</v>
      </c>
      <c r="Q75" s="40" t="s">
        <v>3542</v>
      </c>
      <c r="R75" s="40" t="s">
        <v>3528</v>
      </c>
      <c r="S75" s="40" t="s">
        <v>3543</v>
      </c>
      <c r="T75" s="40" t="s">
        <v>3544</v>
      </c>
      <c r="U75" s="40" t="s">
        <v>3545</v>
      </c>
      <c r="V75" s="40" t="s">
        <v>3546</v>
      </c>
      <c r="W75" s="40" t="s">
        <v>3547</v>
      </c>
      <c r="X75" s="40" t="s">
        <v>3548</v>
      </c>
      <c r="Y75" s="40" t="s">
        <v>67</v>
      </c>
      <c r="Z75" s="40" t="s">
        <v>67</v>
      </c>
      <c r="AA75" s="40" t="s">
        <v>67</v>
      </c>
      <c r="AB75" s="40" t="s">
        <v>67</v>
      </c>
      <c r="AC75" s="40" t="s">
        <v>67</v>
      </c>
      <c r="AD75" s="40" t="s">
        <v>67</v>
      </c>
      <c r="AE75" s="40" t="s">
        <v>67</v>
      </c>
      <c r="AF75" s="40" t="s">
        <v>67</v>
      </c>
      <c r="AG75" s="40" t="s">
        <v>67</v>
      </c>
      <c r="AH75" s="40" t="s">
        <v>67</v>
      </c>
      <c r="AI75" s="40" t="s">
        <v>67</v>
      </c>
      <c r="AJ75" s="40" t="s">
        <v>67</v>
      </c>
      <c r="AK75" s="40" t="s">
        <v>67</v>
      </c>
      <c r="AL75" s="40" t="s">
        <v>67</v>
      </c>
      <c r="AM75" s="40" t="s">
        <v>67</v>
      </c>
      <c r="AN75" s="40" t="s">
        <v>67</v>
      </c>
      <c r="AO75" s="40" t="s">
        <v>67</v>
      </c>
      <c r="AP75" s="40" t="s">
        <v>67</v>
      </c>
      <c r="AQ75" s="40" t="s">
        <v>67</v>
      </c>
    </row>
    <row r="76" ht="13.5" spans="1:43">
      <c r="A76" s="38"/>
      <c r="B76" s="39" t="s">
        <v>3549</v>
      </c>
      <c r="C76" s="40" t="s">
        <v>2417</v>
      </c>
      <c r="D76" s="40" t="s">
        <v>2417</v>
      </c>
      <c r="E76" s="40" t="s">
        <v>2417</v>
      </c>
      <c r="F76" s="40" t="s">
        <v>2423</v>
      </c>
      <c r="G76" s="40" t="s">
        <v>2423</v>
      </c>
      <c r="H76" s="40" t="s">
        <v>2423</v>
      </c>
      <c r="I76" s="40" t="s">
        <v>2416</v>
      </c>
      <c r="J76" s="40" t="s">
        <v>2416</v>
      </c>
      <c r="K76" s="40" t="s">
        <v>2417</v>
      </c>
      <c r="L76" s="40" t="s">
        <v>2417</v>
      </c>
      <c r="M76" s="40" t="s">
        <v>2413</v>
      </c>
      <c r="N76" s="40" t="s">
        <v>2424</v>
      </c>
      <c r="O76" s="40" t="s">
        <v>2424</v>
      </c>
      <c r="P76" s="40" t="s">
        <v>2413</v>
      </c>
      <c r="Q76" s="40" t="s">
        <v>2428</v>
      </c>
      <c r="R76" s="40" t="s">
        <v>2428</v>
      </c>
      <c r="S76" s="40" t="s">
        <v>2426</v>
      </c>
      <c r="T76" s="40" t="s">
        <v>2426</v>
      </c>
      <c r="U76" s="40" t="s">
        <v>2426</v>
      </c>
      <c r="V76" s="40" t="s">
        <v>2426</v>
      </c>
      <c r="W76" s="40" t="s">
        <v>2426</v>
      </c>
      <c r="X76" s="40" t="s">
        <v>2426</v>
      </c>
      <c r="Y76" s="40" t="s">
        <v>67</v>
      </c>
      <c r="Z76" s="40" t="s">
        <v>2414</v>
      </c>
      <c r="AA76" s="40" t="s">
        <v>67</v>
      </c>
      <c r="AB76" s="40" t="s">
        <v>2414</v>
      </c>
      <c r="AC76" s="40" t="s">
        <v>67</v>
      </c>
      <c r="AD76" s="40" t="s">
        <v>2429</v>
      </c>
      <c r="AE76" s="40" t="s">
        <v>67</v>
      </c>
      <c r="AF76" s="40" t="s">
        <v>2429</v>
      </c>
      <c r="AG76" s="40" t="s">
        <v>2427</v>
      </c>
      <c r="AH76" s="40" t="s">
        <v>2427</v>
      </c>
      <c r="AI76" s="40" t="s">
        <v>2427</v>
      </c>
      <c r="AJ76" s="40" t="s">
        <v>2429</v>
      </c>
      <c r="AK76" s="40" t="s">
        <v>2427</v>
      </c>
      <c r="AL76" s="40" t="s">
        <v>3550</v>
      </c>
      <c r="AM76" s="40" t="s">
        <v>3551</v>
      </c>
      <c r="AN76" s="40" t="s">
        <v>3552</v>
      </c>
      <c r="AO76" s="40" t="s">
        <v>3553</v>
      </c>
      <c r="AP76" s="40" t="s">
        <v>3554</v>
      </c>
      <c r="AQ76" s="40" t="s">
        <v>3555</v>
      </c>
    </row>
    <row r="77" ht="13.5" spans="1:43">
      <c r="A77" s="38"/>
      <c r="B77" s="39" t="s">
        <v>3556</v>
      </c>
      <c r="C77" s="40" t="s">
        <v>3557</v>
      </c>
      <c r="D77" s="40" t="s">
        <v>3558</v>
      </c>
      <c r="E77" s="40" t="s">
        <v>3559</v>
      </c>
      <c r="F77" s="40" t="s">
        <v>3560</v>
      </c>
      <c r="G77" s="40" t="s">
        <v>3561</v>
      </c>
      <c r="H77" s="40" t="s">
        <v>3562</v>
      </c>
      <c r="I77" s="40" t="s">
        <v>3563</v>
      </c>
      <c r="J77" s="40" t="s">
        <v>3564</v>
      </c>
      <c r="K77" s="40" t="s">
        <v>2421</v>
      </c>
      <c r="L77" s="40" t="s">
        <v>2421</v>
      </c>
      <c r="M77" s="40" t="s">
        <v>2429</v>
      </c>
      <c r="N77" s="40" t="s">
        <v>2414</v>
      </c>
      <c r="O77" s="40" t="s">
        <v>3565</v>
      </c>
      <c r="P77" s="40" t="s">
        <v>3566</v>
      </c>
      <c r="Q77" s="40" t="s">
        <v>2429</v>
      </c>
      <c r="R77" s="40" t="s">
        <v>2429</v>
      </c>
      <c r="S77" s="40" t="s">
        <v>2429</v>
      </c>
      <c r="T77" s="40" t="s">
        <v>2429</v>
      </c>
      <c r="U77" s="40" t="s">
        <v>2427</v>
      </c>
      <c r="V77" s="40" t="s">
        <v>2427</v>
      </c>
      <c r="W77" s="40" t="s">
        <v>3567</v>
      </c>
      <c r="X77" s="40" t="s">
        <v>3568</v>
      </c>
      <c r="Y77" s="40" t="s">
        <v>67</v>
      </c>
      <c r="Z77" s="40" t="s">
        <v>2429</v>
      </c>
      <c r="AA77" s="40" t="s">
        <v>67</v>
      </c>
      <c r="AB77" s="40" t="s">
        <v>2429</v>
      </c>
      <c r="AC77" s="40" t="s">
        <v>67</v>
      </c>
      <c r="AD77" s="40" t="s">
        <v>2414</v>
      </c>
      <c r="AE77" s="40" t="s">
        <v>67</v>
      </c>
      <c r="AF77" s="40" t="s">
        <v>2429</v>
      </c>
      <c r="AG77" s="40" t="s">
        <v>2429</v>
      </c>
      <c r="AH77" s="40" t="s">
        <v>2429</v>
      </c>
      <c r="AI77" s="40" t="s">
        <v>2429</v>
      </c>
      <c r="AJ77" s="40" t="s">
        <v>2427</v>
      </c>
      <c r="AK77" s="40" t="s">
        <v>2427</v>
      </c>
      <c r="AL77" s="40" t="s">
        <v>2427</v>
      </c>
      <c r="AM77" s="40" t="s">
        <v>3569</v>
      </c>
      <c r="AN77" s="40" t="s">
        <v>3570</v>
      </c>
      <c r="AO77" s="40" t="s">
        <v>3571</v>
      </c>
      <c r="AP77" s="40" t="s">
        <v>3572</v>
      </c>
      <c r="AQ77" s="40" t="s">
        <v>3573</v>
      </c>
    </row>
    <row r="78" ht="13.5" spans="1:43">
      <c r="A78" s="38"/>
      <c r="B78" s="39" t="s">
        <v>3574</v>
      </c>
      <c r="C78" s="40" t="s">
        <v>67</v>
      </c>
      <c r="D78" s="40" t="s">
        <v>67</v>
      </c>
      <c r="E78" s="40" t="s">
        <v>67</v>
      </c>
      <c r="F78" s="40" t="s">
        <v>67</v>
      </c>
      <c r="G78" s="40" t="s">
        <v>67</v>
      </c>
      <c r="H78" s="40" t="s">
        <v>67</v>
      </c>
      <c r="I78" s="40" t="s">
        <v>67</v>
      </c>
      <c r="J78" s="40" t="s">
        <v>67</v>
      </c>
      <c r="K78" s="40" t="s">
        <v>67</v>
      </c>
      <c r="L78" s="40" t="s">
        <v>67</v>
      </c>
      <c r="M78" s="40" t="s">
        <v>67</v>
      </c>
      <c r="N78" s="40" t="s">
        <v>67</v>
      </c>
      <c r="O78" s="40" t="s">
        <v>67</v>
      </c>
      <c r="P78" s="40" t="s">
        <v>67</v>
      </c>
      <c r="Q78" s="40" t="s">
        <v>67</v>
      </c>
      <c r="R78" s="40" t="s">
        <v>67</v>
      </c>
      <c r="S78" s="40" t="s">
        <v>67</v>
      </c>
      <c r="T78" s="40" t="s">
        <v>67</v>
      </c>
      <c r="U78" s="40" t="s">
        <v>67</v>
      </c>
      <c r="V78" s="40" t="s">
        <v>67</v>
      </c>
      <c r="W78" s="40" t="s">
        <v>67</v>
      </c>
      <c r="X78" s="40" t="s">
        <v>67</v>
      </c>
      <c r="Y78" s="40" t="s">
        <v>67</v>
      </c>
      <c r="Z78" s="40" t="s">
        <v>67</v>
      </c>
      <c r="AA78" s="40" t="s">
        <v>67</v>
      </c>
      <c r="AB78" s="40" t="s">
        <v>67</v>
      </c>
      <c r="AC78" s="40" t="s">
        <v>67</v>
      </c>
      <c r="AD78" s="40" t="s">
        <v>67</v>
      </c>
      <c r="AE78" s="40" t="s">
        <v>67</v>
      </c>
      <c r="AF78" s="40" t="s">
        <v>67</v>
      </c>
      <c r="AG78" s="40" t="s">
        <v>67</v>
      </c>
      <c r="AH78" s="40" t="s">
        <v>67</v>
      </c>
      <c r="AI78" s="40" t="s">
        <v>67</v>
      </c>
      <c r="AJ78" s="40" t="s">
        <v>67</v>
      </c>
      <c r="AK78" s="40" t="s">
        <v>67</v>
      </c>
      <c r="AL78" s="40" t="s">
        <v>67</v>
      </c>
      <c r="AM78" s="40" t="s">
        <v>67</v>
      </c>
      <c r="AN78" s="40" t="s">
        <v>67</v>
      </c>
      <c r="AO78" s="40" t="s">
        <v>67</v>
      </c>
      <c r="AP78" s="40" t="s">
        <v>67</v>
      </c>
      <c r="AQ78" s="40" t="s">
        <v>67</v>
      </c>
    </row>
    <row r="79" ht="13.5" spans="1:43">
      <c r="A79" s="38"/>
      <c r="B79" s="39" t="s">
        <v>3575</v>
      </c>
      <c r="C79" s="40" t="s">
        <v>67</v>
      </c>
      <c r="D79" s="40" t="s">
        <v>67</v>
      </c>
      <c r="E79" s="40" t="s">
        <v>67</v>
      </c>
      <c r="F79" s="40" t="s">
        <v>67</v>
      </c>
      <c r="G79" s="40" t="s">
        <v>67</v>
      </c>
      <c r="H79" s="40" t="s">
        <v>67</v>
      </c>
      <c r="I79" s="40" t="s">
        <v>67</v>
      </c>
      <c r="J79" s="40" t="s">
        <v>67</v>
      </c>
      <c r="K79" s="40" t="s">
        <v>67</v>
      </c>
      <c r="L79" s="40" t="s">
        <v>67</v>
      </c>
      <c r="M79" s="40" t="s">
        <v>67</v>
      </c>
      <c r="N79" s="40" t="s">
        <v>67</v>
      </c>
      <c r="O79" s="40" t="s">
        <v>67</v>
      </c>
      <c r="P79" s="40" t="s">
        <v>67</v>
      </c>
      <c r="Q79" s="40" t="s">
        <v>67</v>
      </c>
      <c r="R79" s="40" t="s">
        <v>67</v>
      </c>
      <c r="S79" s="40" t="s">
        <v>67</v>
      </c>
      <c r="T79" s="40" t="s">
        <v>67</v>
      </c>
      <c r="U79" s="40" t="s">
        <v>67</v>
      </c>
      <c r="V79" s="40" t="s">
        <v>67</v>
      </c>
      <c r="W79" s="40" t="s">
        <v>67</v>
      </c>
      <c r="X79" s="40" t="s">
        <v>67</v>
      </c>
      <c r="Y79" s="40" t="s">
        <v>67</v>
      </c>
      <c r="Z79" s="40" t="s">
        <v>67</v>
      </c>
      <c r="AA79" s="40" t="s">
        <v>67</v>
      </c>
      <c r="AB79" s="40" t="s">
        <v>67</v>
      </c>
      <c r="AC79" s="40" t="s">
        <v>67</v>
      </c>
      <c r="AD79" s="40" t="s">
        <v>67</v>
      </c>
      <c r="AE79" s="40" t="s">
        <v>67</v>
      </c>
      <c r="AF79" s="40" t="s">
        <v>67</v>
      </c>
      <c r="AG79" s="40" t="s">
        <v>67</v>
      </c>
      <c r="AH79" s="40" t="s">
        <v>67</v>
      </c>
      <c r="AI79" s="40" t="s">
        <v>67</v>
      </c>
      <c r="AJ79" s="40" t="s">
        <v>67</v>
      </c>
      <c r="AK79" s="40" t="s">
        <v>67</v>
      </c>
      <c r="AL79" s="40" t="s">
        <v>67</v>
      </c>
      <c r="AM79" s="40" t="s">
        <v>67</v>
      </c>
      <c r="AN79" s="40" t="s">
        <v>67</v>
      </c>
      <c r="AO79" s="40" t="s">
        <v>67</v>
      </c>
      <c r="AP79" s="40" t="s">
        <v>67</v>
      </c>
      <c r="AQ79" s="40" t="s">
        <v>67</v>
      </c>
    </row>
    <row r="80" ht="13.5" spans="1:43">
      <c r="A80" s="38"/>
      <c r="B80" s="39" t="s">
        <v>3576</v>
      </c>
      <c r="C80" s="40" t="s">
        <v>3577</v>
      </c>
      <c r="D80" s="40" t="s">
        <v>3578</v>
      </c>
      <c r="E80" s="40" t="s">
        <v>3579</v>
      </c>
      <c r="F80" s="40" t="s">
        <v>3580</v>
      </c>
      <c r="G80" s="40" t="s">
        <v>3581</v>
      </c>
      <c r="H80" s="40" t="s">
        <v>3582</v>
      </c>
      <c r="I80" s="40" t="s">
        <v>3583</v>
      </c>
      <c r="J80" s="40" t="s">
        <v>3584</v>
      </c>
      <c r="K80" s="40" t="s">
        <v>2427</v>
      </c>
      <c r="L80" s="40" t="s">
        <v>2427</v>
      </c>
      <c r="M80" s="40" t="s">
        <v>2427</v>
      </c>
      <c r="N80" s="40" t="s">
        <v>2427</v>
      </c>
      <c r="O80" s="40" t="s">
        <v>2427</v>
      </c>
      <c r="P80" s="40" t="s">
        <v>2427</v>
      </c>
      <c r="Q80" s="40" t="s">
        <v>2427</v>
      </c>
      <c r="R80" s="40" t="s">
        <v>2427</v>
      </c>
      <c r="S80" s="40" t="s">
        <v>3585</v>
      </c>
      <c r="T80" s="40" t="s">
        <v>3586</v>
      </c>
      <c r="U80" s="40" t="s">
        <v>3587</v>
      </c>
      <c r="V80" s="40" t="s">
        <v>3588</v>
      </c>
      <c r="W80" s="40" t="s">
        <v>67</v>
      </c>
      <c r="X80" s="40" t="s">
        <v>67</v>
      </c>
      <c r="Y80" s="40" t="s">
        <v>67</v>
      </c>
      <c r="Z80" s="40" t="s">
        <v>67</v>
      </c>
      <c r="AA80" s="40" t="s">
        <v>67</v>
      </c>
      <c r="AB80" s="40" t="s">
        <v>67</v>
      </c>
      <c r="AC80" s="40" t="s">
        <v>67</v>
      </c>
      <c r="AD80" s="40" t="s">
        <v>67</v>
      </c>
      <c r="AE80" s="40" t="s">
        <v>67</v>
      </c>
      <c r="AF80" s="40" t="s">
        <v>67</v>
      </c>
      <c r="AG80" s="40" t="s">
        <v>67</v>
      </c>
      <c r="AH80" s="40" t="s">
        <v>67</v>
      </c>
      <c r="AI80" s="40" t="s">
        <v>67</v>
      </c>
      <c r="AJ80" s="40" t="s">
        <v>67</v>
      </c>
      <c r="AK80" s="40" t="s">
        <v>67</v>
      </c>
      <c r="AL80" s="40" t="s">
        <v>67</v>
      </c>
      <c r="AM80" s="40" t="s">
        <v>67</v>
      </c>
      <c r="AN80" s="40" t="s">
        <v>67</v>
      </c>
      <c r="AO80" s="40" t="s">
        <v>67</v>
      </c>
      <c r="AP80" s="40" t="s">
        <v>67</v>
      </c>
      <c r="AQ80" s="40" t="s">
        <v>67</v>
      </c>
    </row>
    <row r="81" ht="13.5" spans="1:43">
      <c r="A81" s="38"/>
      <c r="B81" s="39" t="s">
        <v>3589</v>
      </c>
      <c r="C81" s="40" t="s">
        <v>3590</v>
      </c>
      <c r="D81" s="40" t="s">
        <v>3591</v>
      </c>
      <c r="E81" s="40" t="s">
        <v>3592</v>
      </c>
      <c r="F81" s="40" t="s">
        <v>3593</v>
      </c>
      <c r="G81" s="40" t="s">
        <v>3594</v>
      </c>
      <c r="H81" s="40" t="s">
        <v>3595</v>
      </c>
      <c r="I81" s="40" t="s">
        <v>3596</v>
      </c>
      <c r="J81" s="40" t="s">
        <v>3597</v>
      </c>
      <c r="K81" s="40" t="s">
        <v>3598</v>
      </c>
      <c r="L81" s="40" t="s">
        <v>3599</v>
      </c>
      <c r="M81" s="40" t="s">
        <v>3600</v>
      </c>
      <c r="N81" s="40" t="s">
        <v>3601</v>
      </c>
      <c r="O81" s="40" t="s">
        <v>2427</v>
      </c>
      <c r="P81" s="40" t="s">
        <v>2427</v>
      </c>
      <c r="Q81" s="40" t="s">
        <v>2427</v>
      </c>
      <c r="R81" s="40" t="s">
        <v>2427</v>
      </c>
      <c r="S81" s="40" t="s">
        <v>3602</v>
      </c>
      <c r="T81" s="40" t="s">
        <v>3603</v>
      </c>
      <c r="U81" s="40" t="s">
        <v>3604</v>
      </c>
      <c r="V81" s="40" t="s">
        <v>2427</v>
      </c>
      <c r="W81" s="40" t="s">
        <v>2427</v>
      </c>
      <c r="X81" s="40" t="s">
        <v>2427</v>
      </c>
      <c r="Y81" s="40" t="s">
        <v>2427</v>
      </c>
      <c r="Z81" s="40" t="s">
        <v>2427</v>
      </c>
      <c r="AA81" s="40" t="s">
        <v>2427</v>
      </c>
      <c r="AB81" s="40" t="s">
        <v>2427</v>
      </c>
      <c r="AC81" s="40" t="s">
        <v>2427</v>
      </c>
      <c r="AD81" s="40" t="s">
        <v>2427</v>
      </c>
      <c r="AE81" s="40" t="s">
        <v>2427</v>
      </c>
      <c r="AF81" s="40" t="s">
        <v>2427</v>
      </c>
      <c r="AG81" s="40" t="s">
        <v>2427</v>
      </c>
      <c r="AH81" s="40" t="s">
        <v>2427</v>
      </c>
      <c r="AI81" s="40" t="s">
        <v>2427</v>
      </c>
      <c r="AJ81" s="40" t="s">
        <v>2427</v>
      </c>
      <c r="AK81" s="40" t="s">
        <v>3605</v>
      </c>
      <c r="AL81" s="40" t="s">
        <v>3606</v>
      </c>
      <c r="AM81" s="40" t="s">
        <v>3607</v>
      </c>
      <c r="AN81" s="40" t="s">
        <v>3608</v>
      </c>
      <c r="AO81" s="40" t="s">
        <v>3609</v>
      </c>
      <c r="AP81" s="40" t="s">
        <v>3610</v>
      </c>
      <c r="AQ81" s="40" t="s">
        <v>3611</v>
      </c>
    </row>
    <row r="82" ht="13.5" spans="1:43">
      <c r="A82" s="38"/>
      <c r="B82" s="39" t="s">
        <v>3612</v>
      </c>
      <c r="C82" s="40" t="s">
        <v>67</v>
      </c>
      <c r="D82" s="40" t="s">
        <v>67</v>
      </c>
      <c r="E82" s="40" t="s">
        <v>67</v>
      </c>
      <c r="F82" s="40" t="s">
        <v>67</v>
      </c>
      <c r="G82" s="40" t="s">
        <v>67</v>
      </c>
      <c r="H82" s="40" t="s">
        <v>67</v>
      </c>
      <c r="I82" s="40" t="s">
        <v>67</v>
      </c>
      <c r="J82" s="40" t="s">
        <v>67</v>
      </c>
      <c r="K82" s="40" t="s">
        <v>67</v>
      </c>
      <c r="L82" s="40" t="s">
        <v>67</v>
      </c>
      <c r="M82" s="40" t="s">
        <v>67</v>
      </c>
      <c r="N82" s="40" t="s">
        <v>67</v>
      </c>
      <c r="O82" s="40" t="s">
        <v>67</v>
      </c>
      <c r="P82" s="40" t="s">
        <v>67</v>
      </c>
      <c r="Q82" s="40" t="s">
        <v>67</v>
      </c>
      <c r="R82" s="40" t="s">
        <v>67</v>
      </c>
      <c r="S82" s="40" t="s">
        <v>67</v>
      </c>
      <c r="T82" s="40" t="s">
        <v>67</v>
      </c>
      <c r="U82" s="40" t="s">
        <v>67</v>
      </c>
      <c r="V82" s="40" t="s">
        <v>67</v>
      </c>
      <c r="W82" s="40" t="s">
        <v>67</v>
      </c>
      <c r="X82" s="40" t="s">
        <v>67</v>
      </c>
      <c r="Y82" s="40" t="s">
        <v>67</v>
      </c>
      <c r="Z82" s="40" t="s">
        <v>67</v>
      </c>
      <c r="AA82" s="40" t="s">
        <v>67</v>
      </c>
      <c r="AB82" s="40" t="s">
        <v>67</v>
      </c>
      <c r="AC82" s="40" t="s">
        <v>67</v>
      </c>
      <c r="AD82" s="40" t="s">
        <v>67</v>
      </c>
      <c r="AE82" s="40" t="s">
        <v>67</v>
      </c>
      <c r="AF82" s="40" t="s">
        <v>67</v>
      </c>
      <c r="AG82" s="40" t="s">
        <v>67</v>
      </c>
      <c r="AH82" s="40" t="s">
        <v>67</v>
      </c>
      <c r="AI82" s="40" t="s">
        <v>67</v>
      </c>
      <c r="AJ82" s="40" t="s">
        <v>67</v>
      </c>
      <c r="AK82" s="40" t="s">
        <v>67</v>
      </c>
      <c r="AL82" s="40" t="s">
        <v>67</v>
      </c>
      <c r="AM82" s="40" t="s">
        <v>67</v>
      </c>
      <c r="AN82" s="40" t="s">
        <v>67</v>
      </c>
      <c r="AO82" s="40" t="s">
        <v>67</v>
      </c>
      <c r="AP82" s="40" t="s">
        <v>67</v>
      </c>
      <c r="AQ82" s="40" t="s">
        <v>67</v>
      </c>
    </row>
    <row r="83" ht="13.5" spans="1:43">
      <c r="A83" s="38"/>
      <c r="B83" s="39" t="s">
        <v>3613</v>
      </c>
      <c r="C83" s="40" t="s">
        <v>67</v>
      </c>
      <c r="D83" s="40" t="s">
        <v>67</v>
      </c>
      <c r="E83" s="40" t="s">
        <v>67</v>
      </c>
      <c r="F83" s="40" t="s">
        <v>67</v>
      </c>
      <c r="G83" s="40" t="s">
        <v>67</v>
      </c>
      <c r="H83" s="40" t="s">
        <v>67</v>
      </c>
      <c r="I83" s="40" t="s">
        <v>67</v>
      </c>
      <c r="J83" s="40" t="s">
        <v>67</v>
      </c>
      <c r="K83" s="40" t="s">
        <v>67</v>
      </c>
      <c r="L83" s="40" t="s">
        <v>67</v>
      </c>
      <c r="M83" s="40" t="s">
        <v>67</v>
      </c>
      <c r="N83" s="40" t="s">
        <v>67</v>
      </c>
      <c r="O83" s="40" t="s">
        <v>67</v>
      </c>
      <c r="P83" s="40" t="s">
        <v>67</v>
      </c>
      <c r="Q83" s="40" t="s">
        <v>67</v>
      </c>
      <c r="R83" s="40" t="s">
        <v>67</v>
      </c>
      <c r="S83" s="40" t="s">
        <v>67</v>
      </c>
      <c r="T83" s="40" t="s">
        <v>67</v>
      </c>
      <c r="U83" s="40" t="s">
        <v>67</v>
      </c>
      <c r="V83" s="40" t="s">
        <v>67</v>
      </c>
      <c r="W83" s="40" t="s">
        <v>67</v>
      </c>
      <c r="X83" s="40" t="s">
        <v>67</v>
      </c>
      <c r="Y83" s="40" t="s">
        <v>67</v>
      </c>
      <c r="Z83" s="40" t="s">
        <v>67</v>
      </c>
      <c r="AA83" s="40" t="s">
        <v>67</v>
      </c>
      <c r="AB83" s="40" t="s">
        <v>67</v>
      </c>
      <c r="AC83" s="40" t="s">
        <v>67</v>
      </c>
      <c r="AD83" s="40" t="s">
        <v>67</v>
      </c>
      <c r="AE83" s="40" t="s">
        <v>67</v>
      </c>
      <c r="AF83" s="40" t="s">
        <v>67</v>
      </c>
      <c r="AG83" s="40" t="s">
        <v>67</v>
      </c>
      <c r="AH83" s="40" t="s">
        <v>67</v>
      </c>
      <c r="AI83" s="40" t="s">
        <v>67</v>
      </c>
      <c r="AJ83" s="40" t="s">
        <v>67</v>
      </c>
      <c r="AK83" s="40" t="s">
        <v>67</v>
      </c>
      <c r="AL83" s="40" t="s">
        <v>67</v>
      </c>
      <c r="AM83" s="40" t="s">
        <v>67</v>
      </c>
      <c r="AN83" s="40" t="s">
        <v>67</v>
      </c>
      <c r="AO83" s="40" t="s">
        <v>67</v>
      </c>
      <c r="AP83" s="40" t="s">
        <v>67</v>
      </c>
      <c r="AQ83" s="40" t="s">
        <v>67</v>
      </c>
    </row>
    <row r="84" ht="13.5" spans="1:43">
      <c r="A84" s="38"/>
      <c r="B84" s="39" t="s">
        <v>3614</v>
      </c>
      <c r="C84" s="40" t="s">
        <v>3615</v>
      </c>
      <c r="D84" s="40" t="s">
        <v>2488</v>
      </c>
      <c r="E84" s="40" t="s">
        <v>3616</v>
      </c>
      <c r="F84" s="40" t="s">
        <v>3617</v>
      </c>
      <c r="G84" s="40" t="s">
        <v>3618</v>
      </c>
      <c r="H84" s="40" t="s">
        <v>3619</v>
      </c>
      <c r="I84" s="40" t="s">
        <v>3620</v>
      </c>
      <c r="J84" s="40" t="s">
        <v>3621</v>
      </c>
      <c r="K84" s="40" t="s">
        <v>3622</v>
      </c>
      <c r="L84" s="40" t="s">
        <v>3623</v>
      </c>
      <c r="M84" s="40" t="s">
        <v>3624</v>
      </c>
      <c r="N84" s="40" t="s">
        <v>3625</v>
      </c>
      <c r="O84" s="40" t="s">
        <v>3586</v>
      </c>
      <c r="P84" s="40" t="s">
        <v>3626</v>
      </c>
      <c r="Q84" s="40" t="s">
        <v>3627</v>
      </c>
      <c r="R84" s="40" t="s">
        <v>3628</v>
      </c>
      <c r="S84" s="40" t="s">
        <v>3629</v>
      </c>
      <c r="T84" s="40" t="s">
        <v>3630</v>
      </c>
      <c r="U84" s="40" t="s">
        <v>3631</v>
      </c>
      <c r="V84" s="40" t="s">
        <v>3632</v>
      </c>
      <c r="W84" s="40" t="s">
        <v>3633</v>
      </c>
      <c r="X84" s="40" t="s">
        <v>3334</v>
      </c>
      <c r="Y84" s="40" t="s">
        <v>3634</v>
      </c>
      <c r="Z84" s="40" t="s">
        <v>3331</v>
      </c>
      <c r="AA84" s="40" t="s">
        <v>3635</v>
      </c>
      <c r="AB84" s="40" t="s">
        <v>3636</v>
      </c>
      <c r="AC84" s="40" t="s">
        <v>3637</v>
      </c>
      <c r="AD84" s="40" t="s">
        <v>3638</v>
      </c>
      <c r="AE84" s="40" t="s">
        <v>3635</v>
      </c>
      <c r="AF84" s="40" t="s">
        <v>3639</v>
      </c>
      <c r="AG84" s="40" t="s">
        <v>3640</v>
      </c>
      <c r="AH84" s="40" t="s">
        <v>3641</v>
      </c>
      <c r="AI84" s="40" t="s">
        <v>3642</v>
      </c>
      <c r="AJ84" s="40" t="s">
        <v>3642</v>
      </c>
      <c r="AK84" s="40" t="s">
        <v>3643</v>
      </c>
      <c r="AL84" s="40" t="s">
        <v>3328</v>
      </c>
      <c r="AM84" s="40" t="s">
        <v>3633</v>
      </c>
      <c r="AN84" s="40" t="s">
        <v>3644</v>
      </c>
      <c r="AO84" s="40" t="s">
        <v>3327</v>
      </c>
      <c r="AP84" s="40" t="s">
        <v>67</v>
      </c>
      <c r="AQ84" s="40" t="s">
        <v>67</v>
      </c>
    </row>
    <row r="85" ht="13.5" spans="1:43">
      <c r="A85" s="38"/>
      <c r="B85" s="39" t="s">
        <v>3645</v>
      </c>
      <c r="C85" s="40" t="s">
        <v>2427</v>
      </c>
      <c r="D85" s="40" t="s">
        <v>2429</v>
      </c>
      <c r="E85" s="40" t="s">
        <v>2429</v>
      </c>
      <c r="F85" s="40" t="s">
        <v>2429</v>
      </c>
      <c r="G85" s="40" t="s">
        <v>2427</v>
      </c>
      <c r="H85" s="40" t="s">
        <v>2427</v>
      </c>
      <c r="I85" s="40" t="s">
        <v>2429</v>
      </c>
      <c r="J85" s="40" t="s">
        <v>2427</v>
      </c>
      <c r="K85" s="40" t="s">
        <v>2427</v>
      </c>
      <c r="L85" s="40" t="s">
        <v>2427</v>
      </c>
      <c r="M85" s="40" t="s">
        <v>2427</v>
      </c>
      <c r="N85" s="40" t="s">
        <v>2427</v>
      </c>
      <c r="O85" s="40" t="s">
        <v>2427</v>
      </c>
      <c r="P85" s="40" t="s">
        <v>2427</v>
      </c>
      <c r="Q85" s="40" t="s">
        <v>3646</v>
      </c>
      <c r="R85" s="40" t="s">
        <v>3647</v>
      </c>
      <c r="S85" s="40" t="s">
        <v>3648</v>
      </c>
      <c r="T85" s="40" t="s">
        <v>3649</v>
      </c>
      <c r="U85" s="40" t="s">
        <v>3650</v>
      </c>
      <c r="V85" s="40" t="s">
        <v>3651</v>
      </c>
      <c r="W85" s="40" t="s">
        <v>3652</v>
      </c>
      <c r="X85" s="40" t="s">
        <v>3653</v>
      </c>
      <c r="Y85" s="40" t="s">
        <v>3654</v>
      </c>
      <c r="Z85" s="40" t="s">
        <v>3655</v>
      </c>
      <c r="AA85" s="40" t="s">
        <v>3656</v>
      </c>
      <c r="AB85" s="40" t="s">
        <v>3657</v>
      </c>
      <c r="AC85" s="40" t="s">
        <v>3658</v>
      </c>
      <c r="AD85" s="40" t="s">
        <v>3659</v>
      </c>
      <c r="AE85" s="40" t="s">
        <v>3660</v>
      </c>
      <c r="AF85" s="40" t="s">
        <v>3661</v>
      </c>
      <c r="AG85" s="40" t="s">
        <v>3662</v>
      </c>
      <c r="AH85" s="40" t="s">
        <v>3663</v>
      </c>
      <c r="AI85" s="40" t="s">
        <v>3664</v>
      </c>
      <c r="AJ85" s="40" t="s">
        <v>3665</v>
      </c>
      <c r="AK85" s="40" t="s">
        <v>3666</v>
      </c>
      <c r="AL85" s="40" t="s">
        <v>3667</v>
      </c>
      <c r="AM85" s="40" t="s">
        <v>3668</v>
      </c>
      <c r="AN85" s="40" t="s">
        <v>3669</v>
      </c>
      <c r="AO85" s="40" t="s">
        <v>3632</v>
      </c>
      <c r="AP85" s="40" t="s">
        <v>67</v>
      </c>
      <c r="AQ85" s="40" t="s">
        <v>67</v>
      </c>
    </row>
    <row r="86" ht="13.5" spans="1:43">
      <c r="A86" s="38"/>
      <c r="B86" s="39" t="s">
        <v>3670</v>
      </c>
      <c r="C86" s="40" t="s">
        <v>67</v>
      </c>
      <c r="D86" s="40" t="s">
        <v>67</v>
      </c>
      <c r="E86" s="40" t="s">
        <v>67</v>
      </c>
      <c r="F86" s="40" t="s">
        <v>67</v>
      </c>
      <c r="G86" s="40" t="s">
        <v>67</v>
      </c>
      <c r="H86" s="40" t="s">
        <v>67</v>
      </c>
      <c r="I86" s="40" t="s">
        <v>67</v>
      </c>
      <c r="J86" s="40" t="s">
        <v>67</v>
      </c>
      <c r="K86" s="40" t="s">
        <v>67</v>
      </c>
      <c r="L86" s="40" t="s">
        <v>67</v>
      </c>
      <c r="M86" s="40" t="s">
        <v>67</v>
      </c>
      <c r="N86" s="40" t="s">
        <v>67</v>
      </c>
      <c r="O86" s="40" t="s">
        <v>67</v>
      </c>
      <c r="P86" s="40" t="s">
        <v>67</v>
      </c>
      <c r="Q86" s="40" t="s">
        <v>67</v>
      </c>
      <c r="R86" s="40" t="s">
        <v>67</v>
      </c>
      <c r="S86" s="40" t="s">
        <v>67</v>
      </c>
      <c r="T86" s="40" t="s">
        <v>67</v>
      </c>
      <c r="U86" s="40" t="s">
        <v>67</v>
      </c>
      <c r="V86" s="40" t="s">
        <v>67</v>
      </c>
      <c r="W86" s="40" t="s">
        <v>67</v>
      </c>
      <c r="X86" s="40" t="s">
        <v>67</v>
      </c>
      <c r="Y86" s="40" t="s">
        <v>67</v>
      </c>
      <c r="Z86" s="40" t="s">
        <v>67</v>
      </c>
      <c r="AA86" s="40" t="s">
        <v>67</v>
      </c>
      <c r="AB86" s="40" t="s">
        <v>67</v>
      </c>
      <c r="AC86" s="40" t="s">
        <v>67</v>
      </c>
      <c r="AD86" s="40" t="s">
        <v>67</v>
      </c>
      <c r="AE86" s="40" t="s">
        <v>67</v>
      </c>
      <c r="AF86" s="40" t="s">
        <v>3535</v>
      </c>
      <c r="AG86" s="40" t="s">
        <v>3535</v>
      </c>
      <c r="AH86" s="40" t="s">
        <v>3535</v>
      </c>
      <c r="AI86" s="40" t="s">
        <v>3535</v>
      </c>
      <c r="AJ86" s="40" t="s">
        <v>3535</v>
      </c>
      <c r="AK86" s="40" t="s">
        <v>67</v>
      </c>
      <c r="AL86" s="40" t="s">
        <v>67</v>
      </c>
      <c r="AM86" s="40" t="s">
        <v>67</v>
      </c>
      <c r="AN86" s="40" t="s">
        <v>67</v>
      </c>
      <c r="AO86" s="40" t="s">
        <v>67</v>
      </c>
      <c r="AP86" s="40" t="s">
        <v>67</v>
      </c>
      <c r="AQ86" s="40" t="s">
        <v>67</v>
      </c>
    </row>
    <row r="87" ht="13.5" spans="1:43">
      <c r="A87" s="38"/>
      <c r="B87" s="39" t="s">
        <v>3671</v>
      </c>
      <c r="C87" s="40" t="s">
        <v>67</v>
      </c>
      <c r="D87" s="40" t="s">
        <v>67</v>
      </c>
      <c r="E87" s="40" t="s">
        <v>67</v>
      </c>
      <c r="F87" s="40" t="s">
        <v>67</v>
      </c>
      <c r="G87" s="40" t="s">
        <v>67</v>
      </c>
      <c r="H87" s="40" t="s">
        <v>67</v>
      </c>
      <c r="I87" s="40" t="s">
        <v>67</v>
      </c>
      <c r="J87" s="40" t="s">
        <v>67</v>
      </c>
      <c r="K87" s="40" t="s">
        <v>67</v>
      </c>
      <c r="L87" s="40" t="s">
        <v>67</v>
      </c>
      <c r="M87" s="40" t="s">
        <v>67</v>
      </c>
      <c r="N87" s="40" t="s">
        <v>67</v>
      </c>
      <c r="O87" s="40" t="s">
        <v>67</v>
      </c>
      <c r="P87" s="40" t="s">
        <v>67</v>
      </c>
      <c r="Q87" s="40" t="s">
        <v>67</v>
      </c>
      <c r="R87" s="40" t="s">
        <v>67</v>
      </c>
      <c r="S87" s="40" t="s">
        <v>67</v>
      </c>
      <c r="T87" s="40" t="s">
        <v>67</v>
      </c>
      <c r="U87" s="40" t="s">
        <v>67</v>
      </c>
      <c r="V87" s="40" t="s">
        <v>67</v>
      </c>
      <c r="W87" s="40" t="s">
        <v>67</v>
      </c>
      <c r="X87" s="40" t="s">
        <v>67</v>
      </c>
      <c r="Y87" s="40" t="s">
        <v>67</v>
      </c>
      <c r="Z87" s="40" t="s">
        <v>67</v>
      </c>
      <c r="AA87" s="40" t="s">
        <v>67</v>
      </c>
      <c r="AB87" s="40" t="s">
        <v>67</v>
      </c>
      <c r="AC87" s="40" t="s">
        <v>67</v>
      </c>
      <c r="AD87" s="40" t="s">
        <v>67</v>
      </c>
      <c r="AE87" s="40" t="s">
        <v>67</v>
      </c>
      <c r="AF87" s="40" t="s">
        <v>67</v>
      </c>
      <c r="AG87" s="40" t="s">
        <v>67</v>
      </c>
      <c r="AH87" s="40" t="s">
        <v>67</v>
      </c>
      <c r="AI87" s="40" t="s">
        <v>67</v>
      </c>
      <c r="AJ87" s="40" t="s">
        <v>67</v>
      </c>
      <c r="AK87" s="40" t="s">
        <v>67</v>
      </c>
      <c r="AL87" s="40" t="s">
        <v>67</v>
      </c>
      <c r="AM87" s="40" t="s">
        <v>67</v>
      </c>
      <c r="AN87" s="40" t="s">
        <v>67</v>
      </c>
      <c r="AO87" s="40" t="s">
        <v>67</v>
      </c>
      <c r="AP87" s="40" t="s">
        <v>67</v>
      </c>
      <c r="AQ87" s="40" t="s">
        <v>67</v>
      </c>
    </row>
    <row r="88" ht="13.5" spans="1:43">
      <c r="A88" s="38"/>
      <c r="B88" s="39" t="s">
        <v>3672</v>
      </c>
      <c r="C88" s="40" t="s">
        <v>67</v>
      </c>
      <c r="D88" s="40" t="s">
        <v>67</v>
      </c>
      <c r="E88" s="40" t="s">
        <v>67</v>
      </c>
      <c r="F88" s="40" t="s">
        <v>67</v>
      </c>
      <c r="G88" s="40" t="s">
        <v>67</v>
      </c>
      <c r="H88" s="40" t="s">
        <v>67</v>
      </c>
      <c r="I88" s="40" t="s">
        <v>67</v>
      </c>
      <c r="J88" s="40" t="s">
        <v>67</v>
      </c>
      <c r="K88" s="40" t="s">
        <v>67</v>
      </c>
      <c r="L88" s="40" t="s">
        <v>67</v>
      </c>
      <c r="M88" s="40" t="s">
        <v>67</v>
      </c>
      <c r="N88" s="40" t="s">
        <v>67</v>
      </c>
      <c r="O88" s="40" t="s">
        <v>67</v>
      </c>
      <c r="P88" s="40" t="s">
        <v>67</v>
      </c>
      <c r="Q88" s="40" t="s">
        <v>67</v>
      </c>
      <c r="R88" s="40" t="s">
        <v>67</v>
      </c>
      <c r="S88" s="40" t="s">
        <v>67</v>
      </c>
      <c r="T88" s="40" t="s">
        <v>67</v>
      </c>
      <c r="U88" s="40" t="s">
        <v>67</v>
      </c>
      <c r="V88" s="40" t="s">
        <v>67</v>
      </c>
      <c r="W88" s="40" t="s">
        <v>67</v>
      </c>
      <c r="X88" s="40" t="s">
        <v>67</v>
      </c>
      <c r="Y88" s="40" t="s">
        <v>67</v>
      </c>
      <c r="Z88" s="40" t="s">
        <v>67</v>
      </c>
      <c r="AA88" s="40" t="s">
        <v>67</v>
      </c>
      <c r="AB88" s="40" t="s">
        <v>67</v>
      </c>
      <c r="AC88" s="40" t="s">
        <v>67</v>
      </c>
      <c r="AD88" s="40" t="s">
        <v>67</v>
      </c>
      <c r="AE88" s="40" t="s">
        <v>67</v>
      </c>
      <c r="AF88" s="40" t="s">
        <v>67</v>
      </c>
      <c r="AG88" s="40" t="s">
        <v>67</v>
      </c>
      <c r="AH88" s="40" t="s">
        <v>67</v>
      </c>
      <c r="AI88" s="40" t="s">
        <v>67</v>
      </c>
      <c r="AJ88" s="40" t="s">
        <v>67</v>
      </c>
      <c r="AK88" s="40" t="s">
        <v>67</v>
      </c>
      <c r="AL88" s="40" t="s">
        <v>67</v>
      </c>
      <c r="AM88" s="40" t="s">
        <v>67</v>
      </c>
      <c r="AN88" s="40" t="s">
        <v>67</v>
      </c>
      <c r="AO88" s="40" t="s">
        <v>67</v>
      </c>
      <c r="AP88" s="40" t="s">
        <v>67</v>
      </c>
      <c r="AQ88" s="40" t="s">
        <v>67</v>
      </c>
    </row>
    <row r="89" ht="13.5" spans="1:43">
      <c r="A89" s="38"/>
      <c r="B89" s="39" t="s">
        <v>3673</v>
      </c>
      <c r="C89" s="40" t="s">
        <v>67</v>
      </c>
      <c r="D89" s="40" t="s">
        <v>67</v>
      </c>
      <c r="E89" s="40" t="s">
        <v>67</v>
      </c>
      <c r="F89" s="40" t="s">
        <v>67</v>
      </c>
      <c r="G89" s="40" t="s">
        <v>67</v>
      </c>
      <c r="H89" s="40" t="s">
        <v>67</v>
      </c>
      <c r="I89" s="40" t="s">
        <v>67</v>
      </c>
      <c r="J89" s="40" t="s">
        <v>67</v>
      </c>
      <c r="K89" s="40" t="s">
        <v>67</v>
      </c>
      <c r="L89" s="40" t="s">
        <v>67</v>
      </c>
      <c r="M89" s="40" t="s">
        <v>67</v>
      </c>
      <c r="N89" s="40" t="s">
        <v>67</v>
      </c>
      <c r="O89" s="40" t="s">
        <v>67</v>
      </c>
      <c r="P89" s="40" t="s">
        <v>67</v>
      </c>
      <c r="Q89" s="40" t="s">
        <v>67</v>
      </c>
      <c r="R89" s="40" t="s">
        <v>67</v>
      </c>
      <c r="S89" s="40" t="s">
        <v>67</v>
      </c>
      <c r="T89" s="40" t="s">
        <v>67</v>
      </c>
      <c r="U89" s="40" t="s">
        <v>67</v>
      </c>
      <c r="V89" s="40" t="s">
        <v>67</v>
      </c>
      <c r="W89" s="40" t="s">
        <v>67</v>
      </c>
      <c r="X89" s="40" t="s">
        <v>67</v>
      </c>
      <c r="Y89" s="40" t="s">
        <v>67</v>
      </c>
      <c r="Z89" s="40" t="s">
        <v>67</v>
      </c>
      <c r="AA89" s="40" t="s">
        <v>67</v>
      </c>
      <c r="AB89" s="40" t="s">
        <v>67</v>
      </c>
      <c r="AC89" s="40" t="s">
        <v>67</v>
      </c>
      <c r="AD89" s="40" t="s">
        <v>67</v>
      </c>
      <c r="AE89" s="40" t="s">
        <v>67</v>
      </c>
      <c r="AF89" s="40" t="s">
        <v>67</v>
      </c>
      <c r="AG89" s="40" t="s">
        <v>67</v>
      </c>
      <c r="AH89" s="40" t="s">
        <v>67</v>
      </c>
      <c r="AI89" s="40" t="s">
        <v>67</v>
      </c>
      <c r="AJ89" s="40" t="s">
        <v>67</v>
      </c>
      <c r="AK89" s="40" t="s">
        <v>67</v>
      </c>
      <c r="AL89" s="40" t="s">
        <v>67</v>
      </c>
      <c r="AM89" s="40" t="s">
        <v>67</v>
      </c>
      <c r="AN89" s="40" t="s">
        <v>67</v>
      </c>
      <c r="AO89" s="40" t="s">
        <v>67</v>
      </c>
      <c r="AP89" s="40" t="s">
        <v>67</v>
      </c>
      <c r="AQ89" s="40" t="s">
        <v>67</v>
      </c>
    </row>
    <row r="90" ht="13.5" spans="1:43">
      <c r="A90" s="38"/>
      <c r="B90" s="39" t="s">
        <v>3674</v>
      </c>
      <c r="C90" s="40" t="s">
        <v>67</v>
      </c>
      <c r="D90" s="40" t="s">
        <v>67</v>
      </c>
      <c r="E90" s="40" t="s">
        <v>67</v>
      </c>
      <c r="F90" s="40" t="s">
        <v>67</v>
      </c>
      <c r="G90" s="40" t="s">
        <v>67</v>
      </c>
      <c r="H90" s="40" t="s">
        <v>67</v>
      </c>
      <c r="I90" s="40" t="s">
        <v>67</v>
      </c>
      <c r="J90" s="40" t="s">
        <v>67</v>
      </c>
      <c r="K90" s="40" t="s">
        <v>67</v>
      </c>
      <c r="L90" s="40" t="s">
        <v>67</v>
      </c>
      <c r="M90" s="40" t="s">
        <v>67</v>
      </c>
      <c r="N90" s="40" t="s">
        <v>67</v>
      </c>
      <c r="O90" s="40" t="s">
        <v>67</v>
      </c>
      <c r="P90" s="40" t="s">
        <v>67</v>
      </c>
      <c r="Q90" s="40" t="s">
        <v>67</v>
      </c>
      <c r="R90" s="40" t="s">
        <v>67</v>
      </c>
      <c r="S90" s="40" t="s">
        <v>67</v>
      </c>
      <c r="T90" s="40" t="s">
        <v>67</v>
      </c>
      <c r="U90" s="40" t="s">
        <v>67</v>
      </c>
      <c r="V90" s="40" t="s">
        <v>67</v>
      </c>
      <c r="W90" s="40" t="s">
        <v>67</v>
      </c>
      <c r="X90" s="40" t="s">
        <v>67</v>
      </c>
      <c r="Y90" s="40" t="s">
        <v>67</v>
      </c>
      <c r="Z90" s="40" t="s">
        <v>67</v>
      </c>
      <c r="AA90" s="40" t="s">
        <v>67</v>
      </c>
      <c r="AB90" s="40" t="s">
        <v>67</v>
      </c>
      <c r="AC90" s="40" t="s">
        <v>67</v>
      </c>
      <c r="AD90" s="40" t="s">
        <v>67</v>
      </c>
      <c r="AE90" s="40" t="s">
        <v>67</v>
      </c>
      <c r="AF90" s="40" t="s">
        <v>67</v>
      </c>
      <c r="AG90" s="40" t="s">
        <v>67</v>
      </c>
      <c r="AH90" s="40" t="s">
        <v>67</v>
      </c>
      <c r="AI90" s="40" t="s">
        <v>67</v>
      </c>
      <c r="AJ90" s="40" t="s">
        <v>67</v>
      </c>
      <c r="AK90" s="40" t="s">
        <v>67</v>
      </c>
      <c r="AL90" s="40" t="s">
        <v>67</v>
      </c>
      <c r="AM90" s="40" t="s">
        <v>67</v>
      </c>
      <c r="AN90" s="40" t="s">
        <v>67</v>
      </c>
      <c r="AO90" s="40" t="s">
        <v>67</v>
      </c>
      <c r="AP90" s="40" t="s">
        <v>67</v>
      </c>
      <c r="AQ90" s="40" t="s">
        <v>67</v>
      </c>
    </row>
    <row r="91" ht="13.5" spans="1:43">
      <c r="A91" s="38"/>
      <c r="B91" s="39" t="s">
        <v>3675</v>
      </c>
      <c r="C91" s="40" t="s">
        <v>67</v>
      </c>
      <c r="D91" s="40" t="s">
        <v>67</v>
      </c>
      <c r="E91" s="40" t="s">
        <v>67</v>
      </c>
      <c r="F91" s="40" t="s">
        <v>67</v>
      </c>
      <c r="G91" s="40" t="s">
        <v>67</v>
      </c>
      <c r="H91" s="40" t="s">
        <v>67</v>
      </c>
      <c r="I91" s="40" t="s">
        <v>67</v>
      </c>
      <c r="J91" s="40" t="s">
        <v>67</v>
      </c>
      <c r="K91" s="40" t="s">
        <v>67</v>
      </c>
      <c r="L91" s="40" t="s">
        <v>67</v>
      </c>
      <c r="M91" s="40" t="s">
        <v>67</v>
      </c>
      <c r="N91" s="40" t="s">
        <v>67</v>
      </c>
      <c r="O91" s="40" t="s">
        <v>67</v>
      </c>
      <c r="P91" s="40" t="s">
        <v>67</v>
      </c>
      <c r="Q91" s="40" t="s">
        <v>67</v>
      </c>
      <c r="R91" s="40" t="s">
        <v>67</v>
      </c>
      <c r="S91" s="40" t="s">
        <v>67</v>
      </c>
      <c r="T91" s="40" t="s">
        <v>67</v>
      </c>
      <c r="U91" s="40" t="s">
        <v>67</v>
      </c>
      <c r="V91" s="40" t="s">
        <v>67</v>
      </c>
      <c r="W91" s="40" t="s">
        <v>67</v>
      </c>
      <c r="X91" s="40" t="s">
        <v>67</v>
      </c>
      <c r="Y91" s="40" t="s">
        <v>67</v>
      </c>
      <c r="Z91" s="40" t="s">
        <v>67</v>
      </c>
      <c r="AA91" s="40" t="s">
        <v>67</v>
      </c>
      <c r="AB91" s="40" t="s">
        <v>67</v>
      </c>
      <c r="AC91" s="40" t="s">
        <v>67</v>
      </c>
      <c r="AD91" s="40" t="s">
        <v>67</v>
      </c>
      <c r="AE91" s="40" t="s">
        <v>67</v>
      </c>
      <c r="AF91" s="40" t="s">
        <v>67</v>
      </c>
      <c r="AG91" s="40" t="s">
        <v>67</v>
      </c>
      <c r="AH91" s="40" t="s">
        <v>67</v>
      </c>
      <c r="AI91" s="40" t="s">
        <v>67</v>
      </c>
      <c r="AJ91" s="40" t="s">
        <v>67</v>
      </c>
      <c r="AK91" s="40" t="s">
        <v>67</v>
      </c>
      <c r="AL91" s="40" t="s">
        <v>67</v>
      </c>
      <c r="AM91" s="40" t="s">
        <v>67</v>
      </c>
      <c r="AN91" s="40" t="s">
        <v>67</v>
      </c>
      <c r="AO91" s="40" t="s">
        <v>67</v>
      </c>
      <c r="AP91" s="40" t="s">
        <v>67</v>
      </c>
      <c r="AQ91" s="40" t="s">
        <v>67</v>
      </c>
    </row>
    <row r="92" ht="13.5" spans="1:43">
      <c r="A92" s="38"/>
      <c r="B92" s="39" t="s">
        <v>3435</v>
      </c>
      <c r="C92" s="40" t="s">
        <v>67</v>
      </c>
      <c r="D92" s="40" t="s">
        <v>67</v>
      </c>
      <c r="E92" s="40" t="s">
        <v>67</v>
      </c>
      <c r="F92" s="40" t="s">
        <v>67</v>
      </c>
      <c r="G92" s="40" t="s">
        <v>67</v>
      </c>
      <c r="H92" s="40" t="s">
        <v>67</v>
      </c>
      <c r="I92" s="40" t="s">
        <v>67</v>
      </c>
      <c r="J92" s="40" t="s">
        <v>67</v>
      </c>
      <c r="K92" s="40" t="s">
        <v>67</v>
      </c>
      <c r="L92" s="40" t="s">
        <v>67</v>
      </c>
      <c r="M92" s="40" t="s">
        <v>67</v>
      </c>
      <c r="N92" s="40" t="s">
        <v>67</v>
      </c>
      <c r="O92" s="40" t="s">
        <v>67</v>
      </c>
      <c r="P92" s="40" t="s">
        <v>67</v>
      </c>
      <c r="Q92" s="40" t="s">
        <v>67</v>
      </c>
      <c r="R92" s="40" t="s">
        <v>67</v>
      </c>
      <c r="S92" s="40" t="s">
        <v>67</v>
      </c>
      <c r="T92" s="40" t="s">
        <v>67</v>
      </c>
      <c r="U92" s="40" t="s">
        <v>67</v>
      </c>
      <c r="V92" s="40" t="s">
        <v>67</v>
      </c>
      <c r="W92" s="40" t="s">
        <v>67</v>
      </c>
      <c r="X92" s="40" t="s">
        <v>67</v>
      </c>
      <c r="Y92" s="40" t="s">
        <v>67</v>
      </c>
      <c r="Z92" s="40" t="s">
        <v>67</v>
      </c>
      <c r="AA92" s="40" t="s">
        <v>67</v>
      </c>
      <c r="AB92" s="40" t="s">
        <v>67</v>
      </c>
      <c r="AC92" s="40" t="s">
        <v>67</v>
      </c>
      <c r="AD92" s="40" t="s">
        <v>67</v>
      </c>
      <c r="AE92" s="40" t="s">
        <v>67</v>
      </c>
      <c r="AF92" s="40" t="s">
        <v>67</v>
      </c>
      <c r="AG92" s="40" t="s">
        <v>67</v>
      </c>
      <c r="AH92" s="40" t="s">
        <v>67</v>
      </c>
      <c r="AI92" s="40" t="s">
        <v>67</v>
      </c>
      <c r="AJ92" s="40" t="s">
        <v>67</v>
      </c>
      <c r="AK92" s="40" t="s">
        <v>67</v>
      </c>
      <c r="AL92" s="40" t="s">
        <v>67</v>
      </c>
      <c r="AM92" s="40" t="s">
        <v>67</v>
      </c>
      <c r="AN92" s="40" t="s">
        <v>67</v>
      </c>
      <c r="AO92" s="40" t="s">
        <v>67</v>
      </c>
      <c r="AP92" s="40" t="s">
        <v>67</v>
      </c>
      <c r="AQ92" s="40" t="s">
        <v>67</v>
      </c>
    </row>
    <row r="93" ht="13.5" spans="1:43">
      <c r="A93" s="38"/>
      <c r="B93" s="39" t="s">
        <v>3436</v>
      </c>
      <c r="C93" s="40" t="s">
        <v>67</v>
      </c>
      <c r="D93" s="40" t="s">
        <v>67</v>
      </c>
      <c r="E93" s="40" t="s">
        <v>67</v>
      </c>
      <c r="F93" s="40" t="s">
        <v>67</v>
      </c>
      <c r="G93" s="40" t="s">
        <v>67</v>
      </c>
      <c r="H93" s="40" t="s">
        <v>67</v>
      </c>
      <c r="I93" s="40" t="s">
        <v>67</v>
      </c>
      <c r="J93" s="40" t="s">
        <v>67</v>
      </c>
      <c r="K93" s="40" t="s">
        <v>67</v>
      </c>
      <c r="L93" s="40" t="s">
        <v>67</v>
      </c>
      <c r="M93" s="40" t="s">
        <v>67</v>
      </c>
      <c r="N93" s="40" t="s">
        <v>67</v>
      </c>
      <c r="O93" s="40" t="s">
        <v>67</v>
      </c>
      <c r="P93" s="40" t="s">
        <v>67</v>
      </c>
      <c r="Q93" s="40" t="s">
        <v>67</v>
      </c>
      <c r="R93" s="40" t="s">
        <v>67</v>
      </c>
      <c r="S93" s="40" t="s">
        <v>67</v>
      </c>
      <c r="T93" s="40" t="s">
        <v>67</v>
      </c>
      <c r="U93" s="40" t="s">
        <v>67</v>
      </c>
      <c r="V93" s="40" t="s">
        <v>67</v>
      </c>
      <c r="W93" s="40" t="s">
        <v>67</v>
      </c>
      <c r="X93" s="40" t="s">
        <v>67</v>
      </c>
      <c r="Y93" s="40" t="s">
        <v>67</v>
      </c>
      <c r="Z93" s="40" t="s">
        <v>67</v>
      </c>
      <c r="AA93" s="40" t="s">
        <v>67</v>
      </c>
      <c r="AB93" s="40" t="s">
        <v>67</v>
      </c>
      <c r="AC93" s="40" t="s">
        <v>67</v>
      </c>
      <c r="AD93" s="40" t="s">
        <v>67</v>
      </c>
      <c r="AE93" s="40" t="s">
        <v>67</v>
      </c>
      <c r="AF93" s="40" t="s">
        <v>67</v>
      </c>
      <c r="AG93" s="40" t="s">
        <v>67</v>
      </c>
      <c r="AH93" s="40" t="s">
        <v>67</v>
      </c>
      <c r="AI93" s="40" t="s">
        <v>67</v>
      </c>
      <c r="AJ93" s="40" t="s">
        <v>67</v>
      </c>
      <c r="AK93" s="40" t="s">
        <v>67</v>
      </c>
      <c r="AL93" s="40" t="s">
        <v>67</v>
      </c>
      <c r="AM93" s="40" t="s">
        <v>67</v>
      </c>
      <c r="AN93" s="40" t="s">
        <v>67</v>
      </c>
      <c r="AO93" s="40" t="s">
        <v>67</v>
      </c>
      <c r="AP93" s="40" t="s">
        <v>67</v>
      </c>
      <c r="AQ93" s="40" t="s">
        <v>67</v>
      </c>
    </row>
    <row r="94" ht="13.5" spans="1:43">
      <c r="A94" s="38"/>
      <c r="B94" s="39" t="s">
        <v>3676</v>
      </c>
      <c r="C94" s="40" t="s">
        <v>67</v>
      </c>
      <c r="D94" s="40" t="s">
        <v>67</v>
      </c>
      <c r="E94" s="40" t="s">
        <v>67</v>
      </c>
      <c r="F94" s="40" t="s">
        <v>67</v>
      </c>
      <c r="G94" s="40" t="s">
        <v>67</v>
      </c>
      <c r="H94" s="40" t="s">
        <v>67</v>
      </c>
      <c r="I94" s="40" t="s">
        <v>67</v>
      </c>
      <c r="J94" s="40" t="s">
        <v>67</v>
      </c>
      <c r="K94" s="40" t="s">
        <v>67</v>
      </c>
      <c r="L94" s="40" t="s">
        <v>67</v>
      </c>
      <c r="M94" s="40" t="s">
        <v>67</v>
      </c>
      <c r="N94" s="40" t="s">
        <v>67</v>
      </c>
      <c r="O94" s="40" t="s">
        <v>67</v>
      </c>
      <c r="P94" s="40" t="s">
        <v>67</v>
      </c>
      <c r="Q94" s="40" t="s">
        <v>67</v>
      </c>
      <c r="R94" s="40" t="s">
        <v>67</v>
      </c>
      <c r="S94" s="40" t="s">
        <v>67</v>
      </c>
      <c r="T94" s="40" t="s">
        <v>67</v>
      </c>
      <c r="U94" s="40" t="s">
        <v>67</v>
      </c>
      <c r="V94" s="40" t="s">
        <v>67</v>
      </c>
      <c r="W94" s="40" t="s">
        <v>67</v>
      </c>
      <c r="X94" s="40" t="s">
        <v>67</v>
      </c>
      <c r="Y94" s="40" t="s">
        <v>67</v>
      </c>
      <c r="Z94" s="40" t="s">
        <v>67</v>
      </c>
      <c r="AA94" s="40" t="s">
        <v>67</v>
      </c>
      <c r="AB94" s="40" t="s">
        <v>67</v>
      </c>
      <c r="AC94" s="40" t="s">
        <v>67</v>
      </c>
      <c r="AD94" s="40" t="s">
        <v>67</v>
      </c>
      <c r="AE94" s="40" t="s">
        <v>67</v>
      </c>
      <c r="AF94" s="40" t="s">
        <v>67</v>
      </c>
      <c r="AG94" s="40" t="s">
        <v>67</v>
      </c>
      <c r="AH94" s="40" t="s">
        <v>67</v>
      </c>
      <c r="AI94" s="40" t="s">
        <v>67</v>
      </c>
      <c r="AJ94" s="40" t="s">
        <v>67</v>
      </c>
      <c r="AK94" s="40" t="s">
        <v>67</v>
      </c>
      <c r="AL94" s="40" t="s">
        <v>67</v>
      </c>
      <c r="AM94" s="40" t="s">
        <v>67</v>
      </c>
      <c r="AN94" s="40" t="s">
        <v>67</v>
      </c>
      <c r="AO94" s="40" t="s">
        <v>67</v>
      </c>
      <c r="AP94" s="40" t="s">
        <v>67</v>
      </c>
      <c r="AQ94" s="40" t="s">
        <v>67</v>
      </c>
    </row>
    <row r="95" ht="13.5" spans="1:43">
      <c r="A95" s="38"/>
      <c r="B95" s="39" t="s">
        <v>3677</v>
      </c>
      <c r="C95" s="40" t="s">
        <v>67</v>
      </c>
      <c r="D95" s="40" t="s">
        <v>67</v>
      </c>
      <c r="E95" s="40" t="s">
        <v>67</v>
      </c>
      <c r="F95" s="40" t="s">
        <v>67</v>
      </c>
      <c r="G95" s="40" t="s">
        <v>67</v>
      </c>
      <c r="H95" s="40" t="s">
        <v>67</v>
      </c>
      <c r="I95" s="40" t="s">
        <v>67</v>
      </c>
      <c r="J95" s="40" t="s">
        <v>67</v>
      </c>
      <c r="K95" s="40" t="s">
        <v>67</v>
      </c>
      <c r="L95" s="40" t="s">
        <v>67</v>
      </c>
      <c r="M95" s="40" t="s">
        <v>67</v>
      </c>
      <c r="N95" s="40" t="s">
        <v>67</v>
      </c>
      <c r="O95" s="40" t="s">
        <v>67</v>
      </c>
      <c r="P95" s="40" t="s">
        <v>67</v>
      </c>
      <c r="Q95" s="40" t="s">
        <v>67</v>
      </c>
      <c r="R95" s="40" t="s">
        <v>67</v>
      </c>
      <c r="S95" s="40" t="s">
        <v>67</v>
      </c>
      <c r="T95" s="40" t="s">
        <v>67</v>
      </c>
      <c r="U95" s="40" t="s">
        <v>67</v>
      </c>
      <c r="V95" s="40" t="s">
        <v>67</v>
      </c>
      <c r="W95" s="40" t="s">
        <v>67</v>
      </c>
      <c r="X95" s="40" t="s">
        <v>67</v>
      </c>
      <c r="Y95" s="40" t="s">
        <v>67</v>
      </c>
      <c r="Z95" s="40" t="s">
        <v>67</v>
      </c>
      <c r="AA95" s="40" t="s">
        <v>67</v>
      </c>
      <c r="AB95" s="40" t="s">
        <v>67</v>
      </c>
      <c r="AC95" s="40" t="s">
        <v>67</v>
      </c>
      <c r="AD95" s="40" t="s">
        <v>67</v>
      </c>
      <c r="AE95" s="40" t="s">
        <v>67</v>
      </c>
      <c r="AF95" s="40" t="s">
        <v>67</v>
      </c>
      <c r="AG95" s="40" t="s">
        <v>67</v>
      </c>
      <c r="AH95" s="40" t="s">
        <v>67</v>
      </c>
      <c r="AI95" s="40" t="s">
        <v>67</v>
      </c>
      <c r="AJ95" s="40" t="s">
        <v>67</v>
      </c>
      <c r="AK95" s="40" t="s">
        <v>67</v>
      </c>
      <c r="AL95" s="40" t="s">
        <v>67</v>
      </c>
      <c r="AM95" s="40" t="s">
        <v>67</v>
      </c>
      <c r="AN95" s="40" t="s">
        <v>67</v>
      </c>
      <c r="AO95" s="40" t="s">
        <v>67</v>
      </c>
      <c r="AP95" s="40" t="s">
        <v>67</v>
      </c>
      <c r="AQ95" s="40" t="s">
        <v>67</v>
      </c>
    </row>
    <row r="96" ht="13.5" spans="1:43">
      <c r="A96" s="38"/>
      <c r="B96" s="39" t="s">
        <v>3678</v>
      </c>
      <c r="C96" s="40" t="s">
        <v>67</v>
      </c>
      <c r="D96" s="40" t="s">
        <v>67</v>
      </c>
      <c r="E96" s="40" t="s">
        <v>67</v>
      </c>
      <c r="F96" s="40" t="s">
        <v>67</v>
      </c>
      <c r="G96" s="40" t="s">
        <v>67</v>
      </c>
      <c r="H96" s="40" t="s">
        <v>67</v>
      </c>
      <c r="I96" s="40" t="s">
        <v>67</v>
      </c>
      <c r="J96" s="40" t="s">
        <v>67</v>
      </c>
      <c r="K96" s="40" t="s">
        <v>67</v>
      </c>
      <c r="L96" s="40" t="s">
        <v>67</v>
      </c>
      <c r="M96" s="40" t="s">
        <v>67</v>
      </c>
      <c r="N96" s="40" t="s">
        <v>67</v>
      </c>
      <c r="O96" s="40" t="s">
        <v>67</v>
      </c>
      <c r="P96" s="40" t="s">
        <v>67</v>
      </c>
      <c r="Q96" s="40" t="s">
        <v>67</v>
      </c>
      <c r="R96" s="40" t="s">
        <v>67</v>
      </c>
      <c r="S96" s="40" t="s">
        <v>67</v>
      </c>
      <c r="T96" s="40" t="s">
        <v>67</v>
      </c>
      <c r="U96" s="40" t="s">
        <v>67</v>
      </c>
      <c r="V96" s="40" t="s">
        <v>67</v>
      </c>
      <c r="W96" s="40" t="s">
        <v>67</v>
      </c>
      <c r="X96" s="40" t="s">
        <v>67</v>
      </c>
      <c r="Y96" s="40" t="s">
        <v>67</v>
      </c>
      <c r="Z96" s="40" t="s">
        <v>67</v>
      </c>
      <c r="AA96" s="40" t="s">
        <v>67</v>
      </c>
      <c r="AB96" s="40" t="s">
        <v>67</v>
      </c>
      <c r="AC96" s="40" t="s">
        <v>67</v>
      </c>
      <c r="AD96" s="40" t="s">
        <v>67</v>
      </c>
      <c r="AE96" s="40" t="s">
        <v>67</v>
      </c>
      <c r="AF96" s="40" t="s">
        <v>67</v>
      </c>
      <c r="AG96" s="40" t="s">
        <v>67</v>
      </c>
      <c r="AH96" s="40" t="s">
        <v>67</v>
      </c>
      <c r="AI96" s="40" t="s">
        <v>67</v>
      </c>
      <c r="AJ96" s="40" t="s">
        <v>67</v>
      </c>
      <c r="AK96" s="40" t="s">
        <v>67</v>
      </c>
      <c r="AL96" s="40" t="s">
        <v>67</v>
      </c>
      <c r="AM96" s="40" t="s">
        <v>67</v>
      </c>
      <c r="AN96" s="40" t="s">
        <v>67</v>
      </c>
      <c r="AO96" s="40" t="s">
        <v>67</v>
      </c>
      <c r="AP96" s="40" t="s">
        <v>67</v>
      </c>
      <c r="AQ96" s="40" t="s">
        <v>67</v>
      </c>
    </row>
    <row r="97" ht="13.5" spans="1:43">
      <c r="A97" s="38"/>
      <c r="B97" s="39" t="s">
        <v>3679</v>
      </c>
      <c r="C97" s="40" t="s">
        <v>3680</v>
      </c>
      <c r="D97" s="40" t="s">
        <v>3681</v>
      </c>
      <c r="E97" s="40" t="s">
        <v>3682</v>
      </c>
      <c r="F97" s="40" t="s">
        <v>3683</v>
      </c>
      <c r="G97" s="40" t="s">
        <v>3684</v>
      </c>
      <c r="H97" s="40" t="s">
        <v>3685</v>
      </c>
      <c r="I97" s="40" t="s">
        <v>3686</v>
      </c>
      <c r="J97" s="40" t="s">
        <v>3687</v>
      </c>
      <c r="K97" s="40" t="s">
        <v>3688</v>
      </c>
      <c r="L97" s="40" t="s">
        <v>3689</v>
      </c>
      <c r="M97" s="40" t="s">
        <v>3598</v>
      </c>
      <c r="N97" s="40" t="s">
        <v>3690</v>
      </c>
      <c r="O97" s="40" t="s">
        <v>2429</v>
      </c>
      <c r="P97" s="40" t="s">
        <v>3503</v>
      </c>
      <c r="Q97" s="40" t="s">
        <v>2414</v>
      </c>
      <c r="R97" s="40" t="s">
        <v>2429</v>
      </c>
      <c r="S97" s="40" t="s">
        <v>2427</v>
      </c>
      <c r="T97" s="40" t="s">
        <v>2429</v>
      </c>
      <c r="U97" s="40" t="s">
        <v>3691</v>
      </c>
      <c r="V97" s="40" t="s">
        <v>3692</v>
      </c>
      <c r="W97" s="40" t="s">
        <v>3693</v>
      </c>
      <c r="X97" s="40" t="s">
        <v>3694</v>
      </c>
      <c r="Y97" s="40" t="s">
        <v>3695</v>
      </c>
      <c r="Z97" s="40" t="s">
        <v>3696</v>
      </c>
      <c r="AA97" s="40" t="s">
        <v>3697</v>
      </c>
      <c r="AB97" s="40" t="s">
        <v>3698</v>
      </c>
      <c r="AC97" s="40" t="s">
        <v>3699</v>
      </c>
      <c r="AD97" s="40" t="s">
        <v>3700</v>
      </c>
      <c r="AE97" s="40" t="s">
        <v>3701</v>
      </c>
      <c r="AF97" s="40" t="s">
        <v>3701</v>
      </c>
      <c r="AG97" s="40" t="s">
        <v>2541</v>
      </c>
      <c r="AH97" s="40" t="s">
        <v>3702</v>
      </c>
      <c r="AI97" s="40" t="s">
        <v>3508</v>
      </c>
      <c r="AJ97" s="40" t="s">
        <v>3703</v>
      </c>
      <c r="AK97" s="40" t="s">
        <v>3704</v>
      </c>
      <c r="AL97" s="40" t="s">
        <v>3705</v>
      </c>
      <c r="AM97" s="40" t="s">
        <v>3706</v>
      </c>
      <c r="AN97" s="40" t="s">
        <v>3707</v>
      </c>
      <c r="AO97" s="40" t="s">
        <v>67</v>
      </c>
      <c r="AP97" s="40" t="s">
        <v>67</v>
      </c>
      <c r="AQ97" s="40" t="s">
        <v>67</v>
      </c>
    </row>
    <row r="98" ht="13.5" spans="1:43">
      <c r="A98" s="38"/>
      <c r="B98" s="39" t="s">
        <v>3708</v>
      </c>
      <c r="C98" s="40" t="s">
        <v>2420</v>
      </c>
      <c r="D98" s="40" t="s">
        <v>2656</v>
      </c>
      <c r="E98" s="40" t="s">
        <v>2656</v>
      </c>
      <c r="F98" s="40" t="s">
        <v>2411</v>
      </c>
      <c r="G98" s="40" t="s">
        <v>2411</v>
      </c>
      <c r="H98" s="40" t="s">
        <v>2411</v>
      </c>
      <c r="I98" s="40" t="s">
        <v>2604</v>
      </c>
      <c r="J98" s="40" t="s">
        <v>2604</v>
      </c>
      <c r="K98" s="40" t="s">
        <v>2604</v>
      </c>
      <c r="L98" s="40" t="s">
        <v>2604</v>
      </c>
      <c r="M98" s="40" t="s">
        <v>2419</v>
      </c>
      <c r="N98" s="40" t="s">
        <v>2419</v>
      </c>
      <c r="O98" s="40" t="s">
        <v>2656</v>
      </c>
      <c r="P98" s="40" t="s">
        <v>2415</v>
      </c>
      <c r="Q98" s="40" t="s">
        <v>2420</v>
      </c>
      <c r="R98" s="40" t="s">
        <v>2420</v>
      </c>
      <c r="S98" s="40" t="s">
        <v>2422</v>
      </c>
      <c r="T98" s="40" t="s">
        <v>2659</v>
      </c>
      <c r="U98" s="40" t="s">
        <v>2412</v>
      </c>
      <c r="V98" s="40" t="s">
        <v>2412</v>
      </c>
      <c r="W98" s="40" t="s">
        <v>2412</v>
      </c>
      <c r="X98" s="40" t="s">
        <v>2412</v>
      </c>
      <c r="Y98" s="40" t="s">
        <v>2416</v>
      </c>
      <c r="Z98" s="40" t="s">
        <v>2416</v>
      </c>
      <c r="AA98" s="40" t="s">
        <v>2423</v>
      </c>
      <c r="AB98" s="40" t="s">
        <v>2423</v>
      </c>
      <c r="AC98" s="40" t="s">
        <v>2423</v>
      </c>
      <c r="AD98" s="40" t="s">
        <v>2423</v>
      </c>
      <c r="AE98" s="40" t="s">
        <v>2423</v>
      </c>
      <c r="AF98" s="40" t="s">
        <v>2417</v>
      </c>
      <c r="AG98" s="40" t="s">
        <v>2417</v>
      </c>
      <c r="AH98" s="40" t="s">
        <v>2417</v>
      </c>
      <c r="AI98" s="40" t="s">
        <v>2417</v>
      </c>
      <c r="AJ98" s="40" t="s">
        <v>2417</v>
      </c>
      <c r="AK98" s="40" t="s">
        <v>2421</v>
      </c>
      <c r="AL98" s="40" t="s">
        <v>2414</v>
      </c>
      <c r="AM98" s="40" t="s">
        <v>2414</v>
      </c>
      <c r="AN98" s="40" t="s">
        <v>2414</v>
      </c>
      <c r="AO98" s="40" t="s">
        <v>2429</v>
      </c>
      <c r="AP98" s="40" t="s">
        <v>2429</v>
      </c>
      <c r="AQ98" s="40" t="s">
        <v>2429</v>
      </c>
    </row>
    <row r="99" ht="15.5" spans="1:43">
      <c r="A99" s="38" t="s">
        <v>2585</v>
      </c>
      <c r="B99" s="39" t="s">
        <v>2585</v>
      </c>
      <c r="C99" s="40" t="s">
        <v>2586</v>
      </c>
      <c r="D99" s="40" t="s">
        <v>2587</v>
      </c>
      <c r="E99" s="40" t="s">
        <v>2586</v>
      </c>
      <c r="F99" s="40" t="s">
        <v>2587</v>
      </c>
      <c r="G99" s="40" t="s">
        <v>2587</v>
      </c>
      <c r="H99" s="40" t="s">
        <v>2588</v>
      </c>
      <c r="I99" s="40" t="s">
        <v>2589</v>
      </c>
      <c r="J99" s="40" t="s">
        <v>2589</v>
      </c>
      <c r="K99" s="40" t="s">
        <v>2589</v>
      </c>
      <c r="L99" s="40" t="s">
        <v>2586</v>
      </c>
      <c r="M99" s="40" t="s">
        <v>2589</v>
      </c>
      <c r="N99" s="40" t="s">
        <v>2589</v>
      </c>
      <c r="O99" s="40" t="s">
        <v>2590</v>
      </c>
      <c r="P99" s="40" t="s">
        <v>2591</v>
      </c>
      <c r="Q99" s="40" t="s">
        <v>2592</v>
      </c>
      <c r="R99" s="40" t="s">
        <v>2593</v>
      </c>
      <c r="S99" s="40" t="s">
        <v>2594</v>
      </c>
      <c r="T99" s="40" t="s">
        <v>2595</v>
      </c>
      <c r="U99" s="40" t="s">
        <v>2596</v>
      </c>
      <c r="V99" s="40" t="s">
        <v>2597</v>
      </c>
      <c r="W99" s="40" t="s">
        <v>2598</v>
      </c>
      <c r="X99" s="40" t="s">
        <v>2599</v>
      </c>
      <c r="Y99" s="40" t="s">
        <v>2600</v>
      </c>
      <c r="Z99" s="40" t="s">
        <v>2601</v>
      </c>
      <c r="AA99" s="40" t="s">
        <v>2601</v>
      </c>
      <c r="AB99" s="40" t="s">
        <v>2600</v>
      </c>
      <c r="AC99" s="40" t="s">
        <v>2602</v>
      </c>
      <c r="AD99" s="40" t="s">
        <v>2602</v>
      </c>
      <c r="AE99" s="40" t="s">
        <v>2600</v>
      </c>
      <c r="AF99" s="40" t="s">
        <v>2603</v>
      </c>
      <c r="AG99" s="40" t="s">
        <v>2600</v>
      </c>
      <c r="AH99" s="40" t="s">
        <v>2604</v>
      </c>
      <c r="AI99" s="40" t="s">
        <v>2411</v>
      </c>
      <c r="AJ99" s="40" t="s">
        <v>2411</v>
      </c>
      <c r="AK99" s="40" t="s">
        <v>2413</v>
      </c>
      <c r="AL99" s="40" t="s">
        <v>2410</v>
      </c>
      <c r="AM99" s="40" t="s">
        <v>2410</v>
      </c>
      <c r="AN99" s="40" t="s">
        <v>2410</v>
      </c>
      <c r="AO99" s="40" t="s">
        <v>2410</v>
      </c>
      <c r="AP99" s="40" t="s">
        <v>2410</v>
      </c>
      <c r="AQ99" s="40" t="s">
        <v>2410</v>
      </c>
    </row>
    <row r="100" ht="13.5" spans="1:43">
      <c r="A100" s="38" t="s">
        <v>3709</v>
      </c>
      <c r="B100" s="39" t="s">
        <v>3710</v>
      </c>
      <c r="C100" s="40" t="s">
        <v>67</v>
      </c>
      <c r="D100" s="40" t="s">
        <v>67</v>
      </c>
      <c r="E100" s="40" t="s">
        <v>67</v>
      </c>
      <c r="F100" s="40" t="s">
        <v>67</v>
      </c>
      <c r="G100" s="40" t="s">
        <v>67</v>
      </c>
      <c r="H100" s="40" t="s">
        <v>67</v>
      </c>
      <c r="I100" s="40" t="s">
        <v>67</v>
      </c>
      <c r="J100" s="40" t="s">
        <v>67</v>
      </c>
      <c r="K100" s="40" t="s">
        <v>67</v>
      </c>
      <c r="L100" s="40" t="s">
        <v>67</v>
      </c>
      <c r="M100" s="40" t="s">
        <v>67</v>
      </c>
      <c r="N100" s="40" t="s">
        <v>67</v>
      </c>
      <c r="O100" s="40" t="s">
        <v>67</v>
      </c>
      <c r="P100" s="40" t="s">
        <v>67</v>
      </c>
      <c r="Q100" s="40" t="s">
        <v>67</v>
      </c>
      <c r="R100" s="40" t="s">
        <v>67</v>
      </c>
      <c r="S100" s="40" t="s">
        <v>67</v>
      </c>
      <c r="T100" s="40" t="s">
        <v>67</v>
      </c>
      <c r="U100" s="40" t="s">
        <v>67</v>
      </c>
      <c r="V100" s="40" t="s">
        <v>67</v>
      </c>
      <c r="W100" s="40" t="s">
        <v>67</v>
      </c>
      <c r="X100" s="40" t="s">
        <v>67</v>
      </c>
      <c r="Y100" s="40" t="s">
        <v>67</v>
      </c>
      <c r="Z100" s="40" t="s">
        <v>67</v>
      </c>
      <c r="AA100" s="40" t="s">
        <v>67</v>
      </c>
      <c r="AB100" s="40" t="s">
        <v>67</v>
      </c>
      <c r="AC100" s="40" t="s">
        <v>67</v>
      </c>
      <c r="AD100" s="40" t="s">
        <v>67</v>
      </c>
      <c r="AE100" s="40" t="s">
        <v>67</v>
      </c>
      <c r="AF100" s="40" t="s">
        <v>67</v>
      </c>
      <c r="AG100" s="40" t="s">
        <v>67</v>
      </c>
      <c r="AH100" s="40" t="s">
        <v>67</v>
      </c>
      <c r="AI100" s="40" t="s">
        <v>67</v>
      </c>
      <c r="AJ100" s="40" t="s">
        <v>67</v>
      </c>
      <c r="AK100" s="40" t="s">
        <v>67</v>
      </c>
      <c r="AL100" s="40" t="s">
        <v>67</v>
      </c>
      <c r="AM100" s="40" t="s">
        <v>67</v>
      </c>
      <c r="AN100" s="40" t="s">
        <v>67</v>
      </c>
      <c r="AO100" s="40" t="s">
        <v>67</v>
      </c>
      <c r="AP100" s="40" t="s">
        <v>67</v>
      </c>
      <c r="AQ100" s="40" t="s">
        <v>67</v>
      </c>
    </row>
    <row r="101" ht="13.5" spans="1:43">
      <c r="A101" s="38"/>
      <c r="B101" s="39" t="s">
        <v>3711</v>
      </c>
      <c r="C101" s="40" t="s">
        <v>67</v>
      </c>
      <c r="D101" s="40" t="s">
        <v>67</v>
      </c>
      <c r="E101" s="40" t="s">
        <v>67</v>
      </c>
      <c r="F101" s="40" t="s">
        <v>67</v>
      </c>
      <c r="G101" s="40" t="s">
        <v>67</v>
      </c>
      <c r="H101" s="40" t="s">
        <v>67</v>
      </c>
      <c r="I101" s="40" t="s">
        <v>67</v>
      </c>
      <c r="J101" s="40" t="s">
        <v>67</v>
      </c>
      <c r="K101" s="40" t="s">
        <v>67</v>
      </c>
      <c r="L101" s="40" t="s">
        <v>67</v>
      </c>
      <c r="M101" s="40" t="s">
        <v>67</v>
      </c>
      <c r="N101" s="40" t="s">
        <v>67</v>
      </c>
      <c r="O101" s="40" t="s">
        <v>67</v>
      </c>
      <c r="P101" s="40" t="s">
        <v>67</v>
      </c>
      <c r="Q101" s="40" t="s">
        <v>67</v>
      </c>
      <c r="R101" s="40" t="s">
        <v>67</v>
      </c>
      <c r="S101" s="40" t="s">
        <v>67</v>
      </c>
      <c r="T101" s="40" t="s">
        <v>67</v>
      </c>
      <c r="U101" s="40" t="s">
        <v>67</v>
      </c>
      <c r="V101" s="40" t="s">
        <v>67</v>
      </c>
      <c r="W101" s="40" t="s">
        <v>67</v>
      </c>
      <c r="X101" s="40" t="s">
        <v>67</v>
      </c>
      <c r="Y101" s="40" t="s">
        <v>67</v>
      </c>
      <c r="Z101" s="40" t="s">
        <v>67</v>
      </c>
      <c r="AA101" s="40" t="s">
        <v>67</v>
      </c>
      <c r="AB101" s="40" t="s">
        <v>67</v>
      </c>
      <c r="AC101" s="40" t="s">
        <v>67</v>
      </c>
      <c r="AD101" s="40" t="s">
        <v>67</v>
      </c>
      <c r="AE101" s="40" t="s">
        <v>67</v>
      </c>
      <c r="AF101" s="40" t="s">
        <v>67</v>
      </c>
      <c r="AG101" s="40" t="s">
        <v>67</v>
      </c>
      <c r="AH101" s="40" t="s">
        <v>67</v>
      </c>
      <c r="AI101" s="40" t="s">
        <v>67</v>
      </c>
      <c r="AJ101" s="40" t="s">
        <v>67</v>
      </c>
      <c r="AK101" s="40" t="s">
        <v>67</v>
      </c>
      <c r="AL101" s="40" t="s">
        <v>67</v>
      </c>
      <c r="AM101" s="40" t="s">
        <v>67</v>
      </c>
      <c r="AN101" s="40" t="s">
        <v>67</v>
      </c>
      <c r="AO101" s="40" t="s">
        <v>67</v>
      </c>
      <c r="AP101" s="40" t="s">
        <v>67</v>
      </c>
      <c r="AQ101" s="40" t="s">
        <v>67</v>
      </c>
    </row>
    <row r="102" ht="13.5" spans="1:43">
      <c r="A102" s="38"/>
      <c r="B102" s="39" t="s">
        <v>3712</v>
      </c>
      <c r="C102" s="40" t="s">
        <v>67</v>
      </c>
      <c r="D102" s="40" t="s">
        <v>67</v>
      </c>
      <c r="E102" s="40" t="s">
        <v>67</v>
      </c>
      <c r="F102" s="40" t="s">
        <v>67</v>
      </c>
      <c r="G102" s="40" t="s">
        <v>67</v>
      </c>
      <c r="H102" s="40" t="s">
        <v>67</v>
      </c>
      <c r="I102" s="40" t="s">
        <v>67</v>
      </c>
      <c r="J102" s="40" t="s">
        <v>67</v>
      </c>
      <c r="K102" s="40" t="s">
        <v>67</v>
      </c>
      <c r="L102" s="40" t="s">
        <v>67</v>
      </c>
      <c r="M102" s="40" t="s">
        <v>67</v>
      </c>
      <c r="N102" s="40" t="s">
        <v>67</v>
      </c>
      <c r="O102" s="40" t="s">
        <v>67</v>
      </c>
      <c r="P102" s="40" t="s">
        <v>67</v>
      </c>
      <c r="Q102" s="40" t="s">
        <v>67</v>
      </c>
      <c r="R102" s="40" t="s">
        <v>67</v>
      </c>
      <c r="S102" s="40" t="s">
        <v>67</v>
      </c>
      <c r="T102" s="40" t="s">
        <v>67</v>
      </c>
      <c r="U102" s="40" t="s">
        <v>67</v>
      </c>
      <c r="V102" s="40" t="s">
        <v>67</v>
      </c>
      <c r="W102" s="40" t="s">
        <v>67</v>
      </c>
      <c r="X102" s="40" t="s">
        <v>67</v>
      </c>
      <c r="Y102" s="40" t="s">
        <v>67</v>
      </c>
      <c r="Z102" s="40" t="s">
        <v>67</v>
      </c>
      <c r="AA102" s="40" t="s">
        <v>67</v>
      </c>
      <c r="AB102" s="40" t="s">
        <v>67</v>
      </c>
      <c r="AC102" s="40" t="s">
        <v>67</v>
      </c>
      <c r="AD102" s="40" t="s">
        <v>67</v>
      </c>
      <c r="AE102" s="40" t="s">
        <v>67</v>
      </c>
      <c r="AF102" s="40" t="s">
        <v>67</v>
      </c>
      <c r="AG102" s="40" t="s">
        <v>67</v>
      </c>
      <c r="AH102" s="40" t="s">
        <v>67</v>
      </c>
      <c r="AI102" s="40" t="s">
        <v>67</v>
      </c>
      <c r="AJ102" s="40" t="s">
        <v>67</v>
      </c>
      <c r="AK102" s="40" t="s">
        <v>67</v>
      </c>
      <c r="AL102" s="40" t="s">
        <v>67</v>
      </c>
      <c r="AM102" s="40" t="s">
        <v>67</v>
      </c>
      <c r="AN102" s="40" t="s">
        <v>67</v>
      </c>
      <c r="AO102" s="40" t="s">
        <v>67</v>
      </c>
      <c r="AP102" s="40" t="s">
        <v>67</v>
      </c>
      <c r="AQ102" s="40" t="s">
        <v>67</v>
      </c>
    </row>
    <row r="103" ht="13.5" spans="1:43">
      <c r="A103" s="38"/>
      <c r="B103" s="39" t="s">
        <v>3713</v>
      </c>
      <c r="C103" s="40" t="s">
        <v>2659</v>
      </c>
      <c r="D103" s="40" t="s">
        <v>2415</v>
      </c>
      <c r="E103" s="40" t="s">
        <v>2659</v>
      </c>
      <c r="F103" s="40" t="s">
        <v>2422</v>
      </c>
      <c r="G103" s="40" t="s">
        <v>2412</v>
      </c>
      <c r="H103" s="40" t="s">
        <v>2416</v>
      </c>
      <c r="I103" s="40" t="s">
        <v>2416</v>
      </c>
      <c r="J103" s="40" t="s">
        <v>2416</v>
      </c>
      <c r="K103" s="40" t="s">
        <v>2416</v>
      </c>
      <c r="L103" s="40" t="s">
        <v>2422</v>
      </c>
      <c r="M103" s="40" t="s">
        <v>2422</v>
      </c>
      <c r="N103" s="40" t="s">
        <v>2659</v>
      </c>
      <c r="O103" s="40" t="s">
        <v>2423</v>
      </c>
      <c r="P103" s="40" t="s">
        <v>2416</v>
      </c>
      <c r="Q103" s="40" t="s">
        <v>2424</v>
      </c>
      <c r="R103" s="40" t="s">
        <v>2423</v>
      </c>
      <c r="S103" s="40" t="s">
        <v>2416</v>
      </c>
      <c r="T103" s="40" t="s">
        <v>2423</v>
      </c>
      <c r="U103" s="40" t="s">
        <v>2413</v>
      </c>
      <c r="V103" s="40" t="s">
        <v>2418</v>
      </c>
      <c r="W103" s="40" t="s">
        <v>2428</v>
      </c>
      <c r="X103" s="40" t="s">
        <v>2428</v>
      </c>
      <c r="Y103" s="40" t="s">
        <v>2421</v>
      </c>
      <c r="Z103" s="40" t="s">
        <v>2426</v>
      </c>
      <c r="AA103" s="40" t="s">
        <v>2426</v>
      </c>
      <c r="AB103" s="40" t="s">
        <v>2428</v>
      </c>
      <c r="AC103" s="40" t="s">
        <v>2428</v>
      </c>
      <c r="AD103" s="40" t="s">
        <v>2426</v>
      </c>
      <c r="AE103" s="40" t="s">
        <v>2428</v>
      </c>
      <c r="AF103" s="40" t="s">
        <v>2426</v>
      </c>
      <c r="AG103" s="40" t="s">
        <v>2426</v>
      </c>
      <c r="AH103" s="40" t="s">
        <v>67</v>
      </c>
      <c r="AI103" s="40" t="s">
        <v>67</v>
      </c>
      <c r="AJ103" s="40" t="s">
        <v>67</v>
      </c>
      <c r="AK103" s="40" t="s">
        <v>67</v>
      </c>
      <c r="AL103" s="40" t="s">
        <v>67</v>
      </c>
      <c r="AM103" s="40" t="s">
        <v>67</v>
      </c>
      <c r="AN103" s="40" t="s">
        <v>67</v>
      </c>
      <c r="AO103" s="40" t="s">
        <v>67</v>
      </c>
      <c r="AP103" s="40" t="s">
        <v>67</v>
      </c>
      <c r="AQ103" s="40" t="s">
        <v>67</v>
      </c>
    </row>
    <row r="104" ht="13.5" spans="1:43">
      <c r="A104" s="38"/>
      <c r="B104" s="39" t="s">
        <v>3714</v>
      </c>
      <c r="C104" s="40" t="s">
        <v>2429</v>
      </c>
      <c r="D104" s="40" t="s">
        <v>2429</v>
      </c>
      <c r="E104" s="40" t="s">
        <v>2414</v>
      </c>
      <c r="F104" s="40" t="s">
        <v>2414</v>
      </c>
      <c r="G104" s="40" t="s">
        <v>2414</v>
      </c>
      <c r="H104" s="40" t="s">
        <v>2414</v>
      </c>
      <c r="I104" s="40" t="s">
        <v>2414</v>
      </c>
      <c r="J104" s="40" t="s">
        <v>2429</v>
      </c>
      <c r="K104" s="40" t="s">
        <v>2414</v>
      </c>
      <c r="L104" s="40" t="s">
        <v>2414</v>
      </c>
      <c r="M104" s="40" t="s">
        <v>2426</v>
      </c>
      <c r="N104" s="40" t="s">
        <v>2426</v>
      </c>
      <c r="O104" s="40" t="s">
        <v>2421</v>
      </c>
      <c r="P104" s="40" t="s">
        <v>2421</v>
      </c>
      <c r="Q104" s="40" t="s">
        <v>2414</v>
      </c>
      <c r="R104" s="40" t="s">
        <v>2421</v>
      </c>
      <c r="S104" s="40" t="s">
        <v>2421</v>
      </c>
      <c r="T104" s="40" t="s">
        <v>2426</v>
      </c>
      <c r="U104" s="40" t="s">
        <v>2421</v>
      </c>
      <c r="V104" s="40" t="s">
        <v>2429</v>
      </c>
      <c r="W104" s="40" t="s">
        <v>2427</v>
      </c>
      <c r="X104" s="40" t="s">
        <v>2429</v>
      </c>
      <c r="Y104" s="40" t="s">
        <v>2427</v>
      </c>
      <c r="Z104" s="40" t="s">
        <v>2427</v>
      </c>
      <c r="AA104" s="40" t="s">
        <v>2427</v>
      </c>
      <c r="AB104" s="40" t="s">
        <v>2429</v>
      </c>
      <c r="AC104" s="40" t="s">
        <v>2427</v>
      </c>
      <c r="AD104" s="40" t="s">
        <v>3715</v>
      </c>
      <c r="AE104" s="40" t="s">
        <v>67</v>
      </c>
      <c r="AF104" s="40" t="s">
        <v>2427</v>
      </c>
      <c r="AG104" s="40" t="s">
        <v>67</v>
      </c>
      <c r="AH104" s="40" t="s">
        <v>2427</v>
      </c>
      <c r="AI104" s="40" t="s">
        <v>3716</v>
      </c>
      <c r="AJ104" s="40" t="s">
        <v>3717</v>
      </c>
      <c r="AK104" s="40" t="s">
        <v>3445</v>
      </c>
      <c r="AL104" s="40" t="s">
        <v>3718</v>
      </c>
      <c r="AM104" s="40" t="s">
        <v>3719</v>
      </c>
      <c r="AN104" s="40" t="s">
        <v>3720</v>
      </c>
      <c r="AO104" s="40" t="s">
        <v>3721</v>
      </c>
      <c r="AP104" s="40" t="s">
        <v>3722</v>
      </c>
      <c r="AQ104" s="40" t="s">
        <v>3723</v>
      </c>
    </row>
    <row r="105" ht="13.5" spans="1:43">
      <c r="A105" s="38"/>
      <c r="B105" s="39" t="s">
        <v>3724</v>
      </c>
      <c r="C105" s="40" t="s">
        <v>2660</v>
      </c>
      <c r="D105" s="40" t="s">
        <v>2422</v>
      </c>
      <c r="E105" s="40" t="s">
        <v>2412</v>
      </c>
      <c r="F105" s="40" t="s">
        <v>2416</v>
      </c>
      <c r="G105" s="40" t="s">
        <v>2417</v>
      </c>
      <c r="H105" s="40" t="s">
        <v>2424</v>
      </c>
      <c r="I105" s="40" t="s">
        <v>2424</v>
      </c>
      <c r="J105" s="40" t="s">
        <v>2417</v>
      </c>
      <c r="K105" s="40" t="s">
        <v>2417</v>
      </c>
      <c r="L105" s="40" t="s">
        <v>2416</v>
      </c>
      <c r="M105" s="40" t="s">
        <v>2417</v>
      </c>
      <c r="N105" s="40" t="s">
        <v>2423</v>
      </c>
      <c r="O105" s="40" t="s">
        <v>2410</v>
      </c>
      <c r="P105" s="40" t="s">
        <v>2413</v>
      </c>
      <c r="Q105" s="40" t="s">
        <v>2418</v>
      </c>
      <c r="R105" s="40" t="s">
        <v>2410</v>
      </c>
      <c r="S105" s="40" t="s">
        <v>2410</v>
      </c>
      <c r="T105" s="40" t="s">
        <v>2418</v>
      </c>
      <c r="U105" s="40" t="s">
        <v>2428</v>
      </c>
      <c r="V105" s="40" t="s">
        <v>2428</v>
      </c>
      <c r="W105" s="40" t="s">
        <v>2426</v>
      </c>
      <c r="X105" s="40" t="s">
        <v>2426</v>
      </c>
      <c r="Y105" s="40" t="s">
        <v>2414</v>
      </c>
      <c r="Z105" s="40" t="s">
        <v>2414</v>
      </c>
      <c r="AA105" s="40" t="s">
        <v>2421</v>
      </c>
      <c r="AB105" s="40" t="s">
        <v>2421</v>
      </c>
      <c r="AC105" s="40" t="s">
        <v>2421</v>
      </c>
      <c r="AD105" s="40" t="s">
        <v>2421</v>
      </c>
      <c r="AE105" s="40" t="s">
        <v>67</v>
      </c>
      <c r="AF105" s="40" t="s">
        <v>2414</v>
      </c>
      <c r="AG105" s="40" t="s">
        <v>67</v>
      </c>
      <c r="AH105" s="40" t="s">
        <v>2414</v>
      </c>
      <c r="AI105" s="40" t="s">
        <v>2429</v>
      </c>
      <c r="AJ105" s="40" t="s">
        <v>2429</v>
      </c>
      <c r="AK105" s="40" t="s">
        <v>2427</v>
      </c>
      <c r="AL105" s="40" t="s">
        <v>2427</v>
      </c>
      <c r="AM105" s="40" t="s">
        <v>2427</v>
      </c>
      <c r="AN105" s="40" t="s">
        <v>2427</v>
      </c>
      <c r="AO105" s="40" t="s">
        <v>2427</v>
      </c>
      <c r="AP105" s="40" t="s">
        <v>2427</v>
      </c>
      <c r="AQ105" s="40" t="s">
        <v>2427</v>
      </c>
    </row>
    <row r="106" ht="13.5" spans="1:43">
      <c r="A106" s="38"/>
      <c r="B106" s="39" t="s">
        <v>3725</v>
      </c>
      <c r="C106" s="40" t="s">
        <v>3726</v>
      </c>
      <c r="D106" s="40" t="s">
        <v>3727</v>
      </c>
      <c r="E106" s="40" t="s">
        <v>67</v>
      </c>
      <c r="F106" s="40" t="s">
        <v>67</v>
      </c>
      <c r="G106" s="40" t="s">
        <v>93</v>
      </c>
      <c r="H106" s="40" t="s">
        <v>3728</v>
      </c>
      <c r="I106" s="40" t="s">
        <v>3729</v>
      </c>
      <c r="J106" s="40" t="s">
        <v>3730</v>
      </c>
      <c r="K106" s="40" t="s">
        <v>3731</v>
      </c>
      <c r="L106" s="40" t="s">
        <v>3732</v>
      </c>
      <c r="M106" s="40" t="s">
        <v>67</v>
      </c>
      <c r="N106" s="40" t="s">
        <v>67</v>
      </c>
      <c r="O106" s="40" t="s">
        <v>67</v>
      </c>
      <c r="P106" s="40" t="s">
        <v>67</v>
      </c>
      <c r="Q106" s="40" t="s">
        <v>67</v>
      </c>
      <c r="R106" s="40" t="s">
        <v>67</v>
      </c>
      <c r="S106" s="40" t="s">
        <v>67</v>
      </c>
      <c r="T106" s="40" t="s">
        <v>67</v>
      </c>
      <c r="U106" s="40" t="s">
        <v>67</v>
      </c>
      <c r="V106" s="40" t="s">
        <v>67</v>
      </c>
      <c r="W106" s="40" t="s">
        <v>67</v>
      </c>
      <c r="X106" s="40" t="s">
        <v>67</v>
      </c>
      <c r="Y106" s="40" t="s">
        <v>67</v>
      </c>
      <c r="Z106" s="40" t="s">
        <v>67</v>
      </c>
      <c r="AA106" s="40" t="s">
        <v>67</v>
      </c>
      <c r="AB106" s="40" t="s">
        <v>2427</v>
      </c>
      <c r="AC106" s="40" t="s">
        <v>2421</v>
      </c>
      <c r="AD106" s="40" t="s">
        <v>2414</v>
      </c>
      <c r="AE106" s="40" t="s">
        <v>2429</v>
      </c>
      <c r="AF106" s="40" t="s">
        <v>2429</v>
      </c>
      <c r="AG106" s="40" t="s">
        <v>2414</v>
      </c>
      <c r="AH106" s="40" t="s">
        <v>2414</v>
      </c>
      <c r="AI106" s="40" t="s">
        <v>2414</v>
      </c>
      <c r="AJ106" s="40" t="s">
        <v>2429</v>
      </c>
      <c r="AK106" s="40" t="s">
        <v>3733</v>
      </c>
      <c r="AL106" s="40" t="s">
        <v>3734</v>
      </c>
      <c r="AM106" s="40" t="s">
        <v>2427</v>
      </c>
      <c r="AN106" s="40" t="s">
        <v>2427</v>
      </c>
      <c r="AO106" s="40" t="s">
        <v>2429</v>
      </c>
      <c r="AP106" s="40" t="s">
        <v>2429</v>
      </c>
      <c r="AQ106" s="40" t="s">
        <v>2429</v>
      </c>
    </row>
    <row r="107" ht="13.5" spans="1:43">
      <c r="A107" s="38"/>
      <c r="B107" s="39" t="s">
        <v>3735</v>
      </c>
      <c r="C107" s="40" t="s">
        <v>67</v>
      </c>
      <c r="D107" s="40" t="s">
        <v>67</v>
      </c>
      <c r="E107" s="40" t="s">
        <v>67</v>
      </c>
      <c r="F107" s="40" t="s">
        <v>67</v>
      </c>
      <c r="G107" s="40" t="s">
        <v>67</v>
      </c>
      <c r="H107" s="40" t="s">
        <v>67</v>
      </c>
      <c r="I107" s="40" t="s">
        <v>67</v>
      </c>
      <c r="J107" s="40" t="s">
        <v>67</v>
      </c>
      <c r="K107" s="40" t="s">
        <v>67</v>
      </c>
      <c r="L107" s="40" t="s">
        <v>67</v>
      </c>
      <c r="M107" s="40" t="s">
        <v>67</v>
      </c>
      <c r="N107" s="40" t="s">
        <v>67</v>
      </c>
      <c r="O107" s="40" t="s">
        <v>67</v>
      </c>
      <c r="P107" s="40" t="s">
        <v>67</v>
      </c>
      <c r="Q107" s="40" t="s">
        <v>67</v>
      </c>
      <c r="R107" s="40" t="s">
        <v>67</v>
      </c>
      <c r="S107" s="40" t="s">
        <v>67</v>
      </c>
      <c r="T107" s="40" t="s">
        <v>67</v>
      </c>
      <c r="U107" s="40" t="s">
        <v>67</v>
      </c>
      <c r="V107" s="40" t="s">
        <v>67</v>
      </c>
      <c r="W107" s="40" t="s">
        <v>67</v>
      </c>
      <c r="X107" s="40" t="s">
        <v>67</v>
      </c>
      <c r="Y107" s="40" t="s">
        <v>67</v>
      </c>
      <c r="Z107" s="40" t="s">
        <v>67</v>
      </c>
      <c r="AA107" s="40" t="s">
        <v>67</v>
      </c>
      <c r="AB107" s="40" t="s">
        <v>67</v>
      </c>
      <c r="AC107" s="40" t="s">
        <v>67</v>
      </c>
      <c r="AD107" s="40" t="s">
        <v>67</v>
      </c>
      <c r="AE107" s="40" t="s">
        <v>67</v>
      </c>
      <c r="AF107" s="40" t="s">
        <v>67</v>
      </c>
      <c r="AG107" s="40" t="s">
        <v>67</v>
      </c>
      <c r="AH107" s="40" t="s">
        <v>67</v>
      </c>
      <c r="AI107" s="40" t="s">
        <v>67</v>
      </c>
      <c r="AJ107" s="40" t="s">
        <v>67</v>
      </c>
      <c r="AK107" s="40" t="s">
        <v>67</v>
      </c>
      <c r="AL107" s="40" t="s">
        <v>67</v>
      </c>
      <c r="AM107" s="40" t="s">
        <v>67</v>
      </c>
      <c r="AN107" s="40" t="s">
        <v>67</v>
      </c>
      <c r="AO107" s="40" t="s">
        <v>67</v>
      </c>
      <c r="AP107" s="40" t="s">
        <v>67</v>
      </c>
      <c r="AQ107" s="40" t="s">
        <v>67</v>
      </c>
    </row>
    <row r="108" ht="13.5" spans="1:43">
      <c r="A108" s="38"/>
      <c r="B108" s="39" t="s">
        <v>3736</v>
      </c>
      <c r="C108" s="40" t="s">
        <v>67</v>
      </c>
      <c r="D108" s="40" t="s">
        <v>67</v>
      </c>
      <c r="E108" s="40" t="s">
        <v>67</v>
      </c>
      <c r="F108" s="40" t="s">
        <v>67</v>
      </c>
      <c r="G108" s="40" t="s">
        <v>67</v>
      </c>
      <c r="H108" s="40" t="s">
        <v>67</v>
      </c>
      <c r="I108" s="40" t="s">
        <v>67</v>
      </c>
      <c r="J108" s="40" t="s">
        <v>67</v>
      </c>
      <c r="K108" s="40" t="s">
        <v>67</v>
      </c>
      <c r="L108" s="40" t="s">
        <v>67</v>
      </c>
      <c r="M108" s="40" t="s">
        <v>67</v>
      </c>
      <c r="N108" s="40" t="s">
        <v>67</v>
      </c>
      <c r="O108" s="40" t="s">
        <v>67</v>
      </c>
      <c r="P108" s="40" t="s">
        <v>67</v>
      </c>
      <c r="Q108" s="40" t="s">
        <v>67</v>
      </c>
      <c r="R108" s="40" t="s">
        <v>67</v>
      </c>
      <c r="S108" s="40" t="s">
        <v>67</v>
      </c>
      <c r="T108" s="40" t="s">
        <v>67</v>
      </c>
      <c r="U108" s="40" t="s">
        <v>67</v>
      </c>
      <c r="V108" s="40" t="s">
        <v>67</v>
      </c>
      <c r="W108" s="40" t="s">
        <v>67</v>
      </c>
      <c r="X108" s="40" t="s">
        <v>67</v>
      </c>
      <c r="Y108" s="40" t="s">
        <v>67</v>
      </c>
      <c r="Z108" s="40" t="s">
        <v>67</v>
      </c>
      <c r="AA108" s="40" t="s">
        <v>67</v>
      </c>
      <c r="AB108" s="40" t="s">
        <v>67</v>
      </c>
      <c r="AC108" s="40" t="s">
        <v>67</v>
      </c>
      <c r="AD108" s="40" t="s">
        <v>67</v>
      </c>
      <c r="AE108" s="40" t="s">
        <v>67</v>
      </c>
      <c r="AF108" s="40" t="s">
        <v>67</v>
      </c>
      <c r="AG108" s="40" t="s">
        <v>67</v>
      </c>
      <c r="AH108" s="40" t="s">
        <v>67</v>
      </c>
      <c r="AI108" s="40" t="s">
        <v>67</v>
      </c>
      <c r="AJ108" s="40" t="s">
        <v>67</v>
      </c>
      <c r="AK108" s="40" t="s">
        <v>67</v>
      </c>
      <c r="AL108" s="40" t="s">
        <v>67</v>
      </c>
      <c r="AM108" s="40" t="s">
        <v>67</v>
      </c>
      <c r="AN108" s="40" t="s">
        <v>67</v>
      </c>
      <c r="AO108" s="40" t="s">
        <v>67</v>
      </c>
      <c r="AP108" s="40" t="s">
        <v>67</v>
      </c>
      <c r="AQ108" s="40" t="s">
        <v>67</v>
      </c>
    </row>
    <row r="109" ht="13.5" spans="1:43">
      <c r="A109" s="38"/>
      <c r="B109" s="39" t="s">
        <v>3737</v>
      </c>
      <c r="C109" s="40" t="s">
        <v>67</v>
      </c>
      <c r="D109" s="40" t="s">
        <v>67</v>
      </c>
      <c r="E109" s="40" t="s">
        <v>67</v>
      </c>
      <c r="F109" s="40" t="s">
        <v>67</v>
      </c>
      <c r="G109" s="40" t="s">
        <v>67</v>
      </c>
      <c r="H109" s="40" t="s">
        <v>67</v>
      </c>
      <c r="I109" s="40" t="s">
        <v>67</v>
      </c>
      <c r="J109" s="40" t="s">
        <v>67</v>
      </c>
      <c r="K109" s="40" t="s">
        <v>67</v>
      </c>
      <c r="L109" s="40" t="s">
        <v>67</v>
      </c>
      <c r="M109" s="40" t="s">
        <v>67</v>
      </c>
      <c r="N109" s="40" t="s">
        <v>67</v>
      </c>
      <c r="O109" s="40" t="s">
        <v>67</v>
      </c>
      <c r="P109" s="40" t="s">
        <v>67</v>
      </c>
      <c r="Q109" s="40" t="s">
        <v>67</v>
      </c>
      <c r="R109" s="40" t="s">
        <v>67</v>
      </c>
      <c r="S109" s="40" t="s">
        <v>67</v>
      </c>
      <c r="T109" s="40" t="s">
        <v>67</v>
      </c>
      <c r="U109" s="40" t="s">
        <v>67</v>
      </c>
      <c r="V109" s="40" t="s">
        <v>67</v>
      </c>
      <c r="W109" s="40" t="s">
        <v>67</v>
      </c>
      <c r="X109" s="40" t="s">
        <v>67</v>
      </c>
      <c r="Y109" s="40" t="s">
        <v>67</v>
      </c>
      <c r="Z109" s="40" t="s">
        <v>67</v>
      </c>
      <c r="AA109" s="40" t="s">
        <v>67</v>
      </c>
      <c r="AB109" s="40" t="s">
        <v>67</v>
      </c>
      <c r="AC109" s="40" t="s">
        <v>67</v>
      </c>
      <c r="AD109" s="40" t="s">
        <v>67</v>
      </c>
      <c r="AE109" s="40" t="s">
        <v>67</v>
      </c>
      <c r="AF109" s="40" t="s">
        <v>67</v>
      </c>
      <c r="AG109" s="40" t="s">
        <v>67</v>
      </c>
      <c r="AH109" s="40" t="s">
        <v>67</v>
      </c>
      <c r="AI109" s="40" t="s">
        <v>67</v>
      </c>
      <c r="AJ109" s="40" t="s">
        <v>67</v>
      </c>
      <c r="AK109" s="40" t="s">
        <v>67</v>
      </c>
      <c r="AL109" s="40" t="s">
        <v>67</v>
      </c>
      <c r="AM109" s="40" t="s">
        <v>67</v>
      </c>
      <c r="AN109" s="40" t="s">
        <v>67</v>
      </c>
      <c r="AO109" s="40" t="s">
        <v>67</v>
      </c>
      <c r="AP109" s="40" t="s">
        <v>67</v>
      </c>
      <c r="AQ109" s="40" t="s">
        <v>67</v>
      </c>
    </row>
    <row r="110" ht="13.5" spans="1:43">
      <c r="A110" s="38"/>
      <c r="B110" s="39" t="s">
        <v>3738</v>
      </c>
      <c r="C110" s="40" t="s">
        <v>67</v>
      </c>
      <c r="D110" s="40" t="s">
        <v>67</v>
      </c>
      <c r="E110" s="40" t="s">
        <v>67</v>
      </c>
      <c r="F110" s="40" t="s">
        <v>67</v>
      </c>
      <c r="G110" s="40" t="s">
        <v>67</v>
      </c>
      <c r="H110" s="40" t="s">
        <v>67</v>
      </c>
      <c r="I110" s="40" t="s">
        <v>67</v>
      </c>
      <c r="J110" s="40" t="s">
        <v>67</v>
      </c>
      <c r="K110" s="40" t="s">
        <v>67</v>
      </c>
      <c r="L110" s="40" t="s">
        <v>67</v>
      </c>
      <c r="M110" s="40" t="s">
        <v>67</v>
      </c>
      <c r="N110" s="40" t="s">
        <v>67</v>
      </c>
      <c r="O110" s="40" t="s">
        <v>67</v>
      </c>
      <c r="P110" s="40" t="s">
        <v>67</v>
      </c>
      <c r="Q110" s="40" t="s">
        <v>67</v>
      </c>
      <c r="R110" s="40" t="s">
        <v>67</v>
      </c>
      <c r="S110" s="40" t="s">
        <v>67</v>
      </c>
      <c r="T110" s="40" t="s">
        <v>67</v>
      </c>
      <c r="U110" s="40" t="s">
        <v>67</v>
      </c>
      <c r="V110" s="40" t="s">
        <v>67</v>
      </c>
      <c r="W110" s="40" t="s">
        <v>67</v>
      </c>
      <c r="X110" s="40" t="s">
        <v>67</v>
      </c>
      <c r="Y110" s="40" t="s">
        <v>67</v>
      </c>
      <c r="Z110" s="40" t="s">
        <v>67</v>
      </c>
      <c r="AA110" s="40" t="s">
        <v>67</v>
      </c>
      <c r="AB110" s="40" t="s">
        <v>67</v>
      </c>
      <c r="AC110" s="40" t="s">
        <v>67</v>
      </c>
      <c r="AD110" s="40" t="s">
        <v>67</v>
      </c>
      <c r="AE110" s="40" t="s">
        <v>67</v>
      </c>
      <c r="AF110" s="40" t="s">
        <v>67</v>
      </c>
      <c r="AG110" s="40" t="s">
        <v>67</v>
      </c>
      <c r="AH110" s="40" t="s">
        <v>67</v>
      </c>
      <c r="AI110" s="40" t="s">
        <v>67</v>
      </c>
      <c r="AJ110" s="40" t="s">
        <v>67</v>
      </c>
      <c r="AK110" s="40" t="s">
        <v>67</v>
      </c>
      <c r="AL110" s="40" t="s">
        <v>67</v>
      </c>
      <c r="AM110" s="40" t="s">
        <v>67</v>
      </c>
      <c r="AN110" s="40" t="s">
        <v>67</v>
      </c>
      <c r="AO110" s="40" t="s">
        <v>67</v>
      </c>
      <c r="AP110" s="40" t="s">
        <v>67</v>
      </c>
      <c r="AQ110" s="40" t="s">
        <v>67</v>
      </c>
    </row>
    <row r="111" ht="13.5" spans="1:43">
      <c r="A111" s="38"/>
      <c r="B111" s="39" t="s">
        <v>3739</v>
      </c>
      <c r="C111" s="41" t="s">
        <v>67</v>
      </c>
      <c r="D111" s="41" t="s">
        <v>67</v>
      </c>
      <c r="E111" s="41" t="s">
        <v>67</v>
      </c>
      <c r="F111" s="41" t="s">
        <v>67</v>
      </c>
      <c r="G111" s="41" t="s">
        <v>67</v>
      </c>
      <c r="H111" s="41" t="s">
        <v>67</v>
      </c>
      <c r="I111" s="41" t="s">
        <v>67</v>
      </c>
      <c r="J111" s="41" t="s">
        <v>67</v>
      </c>
      <c r="K111" s="41" t="s">
        <v>67</v>
      </c>
      <c r="L111" s="41" t="s">
        <v>67</v>
      </c>
      <c r="M111" s="41" t="s">
        <v>67</v>
      </c>
      <c r="N111" s="41" t="s">
        <v>67</v>
      </c>
      <c r="O111" s="41" t="s">
        <v>67</v>
      </c>
      <c r="P111" s="41" t="s">
        <v>67</v>
      </c>
      <c r="Q111" s="41" t="s">
        <v>67</v>
      </c>
      <c r="R111" s="41" t="s">
        <v>67</v>
      </c>
      <c r="S111" s="41" t="s">
        <v>67</v>
      </c>
      <c r="T111" s="41" t="s">
        <v>67</v>
      </c>
      <c r="U111" s="41" t="s">
        <v>67</v>
      </c>
      <c r="V111" s="41" t="s">
        <v>67</v>
      </c>
      <c r="W111" s="41" t="s">
        <v>67</v>
      </c>
      <c r="X111" s="41" t="s">
        <v>67</v>
      </c>
      <c r="Y111" s="41" t="s">
        <v>67</v>
      </c>
      <c r="Z111" s="41" t="s">
        <v>67</v>
      </c>
      <c r="AA111" s="41" t="s">
        <v>67</v>
      </c>
      <c r="AB111" s="41" t="s">
        <v>67</v>
      </c>
      <c r="AC111" s="41" t="s">
        <v>67</v>
      </c>
      <c r="AD111" s="41" t="s">
        <v>67</v>
      </c>
      <c r="AE111" s="41" t="s">
        <v>67</v>
      </c>
      <c r="AF111" s="41" t="s">
        <v>67</v>
      </c>
      <c r="AG111" s="41" t="s">
        <v>67</v>
      </c>
      <c r="AH111" s="41" t="s">
        <v>67</v>
      </c>
      <c r="AI111" s="41" t="s">
        <v>67</v>
      </c>
      <c r="AJ111" s="41" t="s">
        <v>67</v>
      </c>
      <c r="AK111" s="41" t="s">
        <v>67</v>
      </c>
      <c r="AL111" s="41" t="s">
        <v>67</v>
      </c>
      <c r="AM111" s="41" t="s">
        <v>67</v>
      </c>
      <c r="AN111" s="41" t="s">
        <v>67</v>
      </c>
      <c r="AO111" s="41" t="s">
        <v>67</v>
      </c>
      <c r="AP111" s="41" t="s">
        <v>67</v>
      </c>
      <c r="AQ111" s="41" t="s">
        <v>67</v>
      </c>
    </row>
    <row r="112" ht="13.5" spans="1:43">
      <c r="A112" s="38"/>
      <c r="B112" s="39" t="s">
        <v>3740</v>
      </c>
      <c r="C112" s="41" t="s">
        <v>3741</v>
      </c>
      <c r="D112" s="41" t="s">
        <v>3742</v>
      </c>
      <c r="E112" s="41" t="s">
        <v>3743</v>
      </c>
      <c r="F112" s="41" t="s">
        <v>3744</v>
      </c>
      <c r="G112" s="41" t="s">
        <v>3745</v>
      </c>
      <c r="H112" s="41" t="s">
        <v>3746</v>
      </c>
      <c r="I112" s="41" t="s">
        <v>3747</v>
      </c>
      <c r="J112" s="41" t="s">
        <v>3748</v>
      </c>
      <c r="K112" s="41" t="s">
        <v>3749</v>
      </c>
      <c r="L112" s="41" t="s">
        <v>3750</v>
      </c>
      <c r="M112" s="41" t="s">
        <v>3751</v>
      </c>
      <c r="N112" s="41" t="s">
        <v>3752</v>
      </c>
      <c r="O112" s="41" t="s">
        <v>3753</v>
      </c>
      <c r="P112" s="41" t="s">
        <v>3754</v>
      </c>
      <c r="Q112" s="41" t="s">
        <v>3755</v>
      </c>
      <c r="R112" s="41" t="s">
        <v>3756</v>
      </c>
      <c r="S112" s="41" t="s">
        <v>3757</v>
      </c>
      <c r="T112" s="41" t="s">
        <v>3758</v>
      </c>
      <c r="U112" s="41" t="s">
        <v>3759</v>
      </c>
      <c r="V112" s="41" t="s">
        <v>3760</v>
      </c>
      <c r="W112" s="41" t="s">
        <v>3350</v>
      </c>
      <c r="X112" s="41" t="s">
        <v>3761</v>
      </c>
      <c r="Y112" s="41" t="s">
        <v>3762</v>
      </c>
      <c r="Z112" s="41" t="s">
        <v>3763</v>
      </c>
      <c r="AA112" s="41" t="s">
        <v>3764</v>
      </c>
      <c r="AB112" s="41" t="s">
        <v>3765</v>
      </c>
      <c r="AC112" s="41" t="s">
        <v>3766</v>
      </c>
      <c r="AD112" s="41" t="s">
        <v>3767</v>
      </c>
      <c r="AE112" s="41" t="s">
        <v>3768</v>
      </c>
      <c r="AF112" s="41" t="s">
        <v>3769</v>
      </c>
      <c r="AG112" s="41" t="s">
        <v>3770</v>
      </c>
      <c r="AH112" s="41" t="s">
        <v>3771</v>
      </c>
      <c r="AI112" s="41" t="s">
        <v>3772</v>
      </c>
      <c r="AJ112" s="41" t="s">
        <v>3773</v>
      </c>
      <c r="AK112" s="41" t="s">
        <v>3774</v>
      </c>
      <c r="AL112" s="41" t="s">
        <v>3775</v>
      </c>
      <c r="AM112" s="41" t="s">
        <v>3775</v>
      </c>
      <c r="AN112" s="41" t="s">
        <v>3776</v>
      </c>
      <c r="AO112" s="41" t="s">
        <v>3777</v>
      </c>
      <c r="AP112" s="41" t="s">
        <v>3778</v>
      </c>
      <c r="AQ112" s="41" t="s">
        <v>3779</v>
      </c>
    </row>
    <row r="113" ht="13.5" spans="1:43">
      <c r="A113" s="38"/>
      <c r="B113" s="39" t="s">
        <v>3780</v>
      </c>
      <c r="C113" s="41" t="s">
        <v>3781</v>
      </c>
      <c r="D113" s="41" t="s">
        <v>3782</v>
      </c>
      <c r="E113" s="41" t="s">
        <v>3427</v>
      </c>
      <c r="F113" s="41" t="s">
        <v>3783</v>
      </c>
      <c r="G113" s="41" t="s">
        <v>3784</v>
      </c>
      <c r="H113" s="41" t="s">
        <v>3785</v>
      </c>
      <c r="I113" s="41" t="s">
        <v>3786</v>
      </c>
      <c r="J113" s="41" t="s">
        <v>3787</v>
      </c>
      <c r="K113" s="41" t="s">
        <v>3788</v>
      </c>
      <c r="L113" s="41" t="s">
        <v>3530</v>
      </c>
      <c r="M113" s="41" t="s">
        <v>3789</v>
      </c>
      <c r="N113" s="41" t="s">
        <v>3790</v>
      </c>
      <c r="O113" s="41" t="s">
        <v>3791</v>
      </c>
      <c r="P113" s="41" t="s">
        <v>3792</v>
      </c>
      <c r="Q113" s="41" t="s">
        <v>3793</v>
      </c>
      <c r="R113" s="41" t="s">
        <v>3794</v>
      </c>
      <c r="S113" s="41" t="s">
        <v>3795</v>
      </c>
      <c r="T113" s="41" t="s">
        <v>3796</v>
      </c>
      <c r="U113" s="41" t="s">
        <v>3797</v>
      </c>
      <c r="V113" s="41" t="s">
        <v>3798</v>
      </c>
      <c r="W113" s="41" t="s">
        <v>3799</v>
      </c>
      <c r="X113" s="41" t="s">
        <v>3800</v>
      </c>
      <c r="Y113" s="41" t="s">
        <v>3801</v>
      </c>
      <c r="Z113" s="41" t="s">
        <v>3802</v>
      </c>
      <c r="AA113" s="41" t="s">
        <v>3803</v>
      </c>
      <c r="AB113" s="41" t="s">
        <v>3804</v>
      </c>
      <c r="AC113" s="41" t="s">
        <v>3805</v>
      </c>
      <c r="AD113" s="41" t="s">
        <v>3806</v>
      </c>
      <c r="AE113" s="41" t="s">
        <v>3807</v>
      </c>
      <c r="AF113" s="41" t="s">
        <v>3808</v>
      </c>
      <c r="AG113" s="41" t="s">
        <v>3809</v>
      </c>
      <c r="AH113" s="41" t="s">
        <v>3810</v>
      </c>
      <c r="AI113" s="41" t="s">
        <v>3811</v>
      </c>
      <c r="AJ113" s="41" t="s">
        <v>3812</v>
      </c>
      <c r="AK113" s="41" t="s">
        <v>3813</v>
      </c>
      <c r="AL113" s="41" t="s">
        <v>3814</v>
      </c>
      <c r="AM113" s="41" t="s">
        <v>3815</v>
      </c>
      <c r="AN113" s="41" t="s">
        <v>3816</v>
      </c>
      <c r="AO113" s="41" t="s">
        <v>3817</v>
      </c>
      <c r="AP113" s="41" t="s">
        <v>3818</v>
      </c>
      <c r="AQ113" s="41" t="s">
        <v>3361</v>
      </c>
    </row>
    <row r="114" ht="13.5" spans="1:43">
      <c r="A114" s="38"/>
      <c r="B114" s="39" t="s">
        <v>3819</v>
      </c>
      <c r="C114" s="41" t="s">
        <v>67</v>
      </c>
      <c r="D114" s="41" t="s">
        <v>67</v>
      </c>
      <c r="E114" s="41" t="s">
        <v>67</v>
      </c>
      <c r="F114" s="41" t="s">
        <v>67</v>
      </c>
      <c r="G114" s="41" t="s">
        <v>67</v>
      </c>
      <c r="H114" s="41" t="s">
        <v>67</v>
      </c>
      <c r="I114" s="41" t="s">
        <v>67</v>
      </c>
      <c r="J114" s="41" t="s">
        <v>67</v>
      </c>
      <c r="K114" s="41" t="s">
        <v>67</v>
      </c>
      <c r="L114" s="41" t="s">
        <v>67</v>
      </c>
      <c r="M114" s="41" t="s">
        <v>67</v>
      </c>
      <c r="N114" s="41" t="s">
        <v>67</v>
      </c>
      <c r="O114" s="41" t="s">
        <v>67</v>
      </c>
      <c r="P114" s="41" t="s">
        <v>67</v>
      </c>
      <c r="Q114" s="41" t="s">
        <v>67</v>
      </c>
      <c r="R114" s="41" t="s">
        <v>67</v>
      </c>
      <c r="S114" s="41" t="s">
        <v>67</v>
      </c>
      <c r="T114" s="41" t="s">
        <v>67</v>
      </c>
      <c r="U114" s="41" t="s">
        <v>67</v>
      </c>
      <c r="V114" s="41" t="s">
        <v>67</v>
      </c>
      <c r="W114" s="41" t="s">
        <v>67</v>
      </c>
      <c r="X114" s="41" t="s">
        <v>67</v>
      </c>
      <c r="Y114" s="41" t="s">
        <v>67</v>
      </c>
      <c r="Z114" s="41" t="s">
        <v>67</v>
      </c>
      <c r="AA114" s="41" t="s">
        <v>67</v>
      </c>
      <c r="AB114" s="41" t="s">
        <v>67</v>
      </c>
      <c r="AC114" s="41" t="s">
        <v>67</v>
      </c>
      <c r="AD114" s="41" t="s">
        <v>67</v>
      </c>
      <c r="AE114" s="41" t="s">
        <v>67</v>
      </c>
      <c r="AF114" s="41" t="s">
        <v>67</v>
      </c>
      <c r="AG114" s="41" t="s">
        <v>67</v>
      </c>
      <c r="AH114" s="41" t="s">
        <v>67</v>
      </c>
      <c r="AI114" s="41" t="s">
        <v>67</v>
      </c>
      <c r="AJ114" s="41" t="s">
        <v>67</v>
      </c>
      <c r="AK114" s="41" t="s">
        <v>67</v>
      </c>
      <c r="AL114" s="41" t="s">
        <v>67</v>
      </c>
      <c r="AM114" s="41" t="s">
        <v>67</v>
      </c>
      <c r="AN114" s="41" t="s">
        <v>67</v>
      </c>
      <c r="AO114" s="41" t="s">
        <v>67</v>
      </c>
      <c r="AP114" s="41" t="s">
        <v>67</v>
      </c>
      <c r="AQ114" s="41" t="s">
        <v>67</v>
      </c>
    </row>
    <row r="115" ht="13.5" spans="1:43">
      <c r="A115" s="38"/>
      <c r="B115" s="39" t="s">
        <v>3820</v>
      </c>
      <c r="C115" s="41" t="s">
        <v>67</v>
      </c>
      <c r="D115" s="41" t="s">
        <v>67</v>
      </c>
      <c r="E115" s="41" t="s">
        <v>67</v>
      </c>
      <c r="F115" s="41" t="s">
        <v>67</v>
      </c>
      <c r="G115" s="41" t="s">
        <v>67</v>
      </c>
      <c r="H115" s="41" t="s">
        <v>67</v>
      </c>
      <c r="I115" s="41" t="s">
        <v>67</v>
      </c>
      <c r="J115" s="41" t="s">
        <v>67</v>
      </c>
      <c r="K115" s="41" t="s">
        <v>67</v>
      </c>
      <c r="L115" s="41" t="s">
        <v>67</v>
      </c>
      <c r="M115" s="41" t="s">
        <v>67</v>
      </c>
      <c r="N115" s="41" t="s">
        <v>67</v>
      </c>
      <c r="O115" s="41" t="s">
        <v>67</v>
      </c>
      <c r="P115" s="41" t="s">
        <v>67</v>
      </c>
      <c r="Q115" s="41" t="s">
        <v>67</v>
      </c>
      <c r="R115" s="41" t="s">
        <v>67</v>
      </c>
      <c r="S115" s="41" t="s">
        <v>67</v>
      </c>
      <c r="T115" s="41" t="s">
        <v>67</v>
      </c>
      <c r="U115" s="41" t="s">
        <v>67</v>
      </c>
      <c r="V115" s="41" t="s">
        <v>67</v>
      </c>
      <c r="W115" s="41" t="s">
        <v>67</v>
      </c>
      <c r="X115" s="41" t="s">
        <v>3821</v>
      </c>
      <c r="Y115" s="41" t="s">
        <v>67</v>
      </c>
      <c r="Z115" s="41" t="s">
        <v>2497</v>
      </c>
      <c r="AA115" s="41" t="s">
        <v>67</v>
      </c>
      <c r="AB115" s="41" t="s">
        <v>3822</v>
      </c>
      <c r="AC115" s="41" t="s">
        <v>67</v>
      </c>
      <c r="AD115" s="41" t="s">
        <v>3823</v>
      </c>
      <c r="AE115" s="41" t="s">
        <v>67</v>
      </c>
      <c r="AF115" s="41" t="s">
        <v>3824</v>
      </c>
      <c r="AG115" s="41" t="s">
        <v>67</v>
      </c>
      <c r="AH115" s="41" t="s">
        <v>2421</v>
      </c>
      <c r="AI115" s="41" t="s">
        <v>2421</v>
      </c>
      <c r="AJ115" s="41" t="s">
        <v>2421</v>
      </c>
      <c r="AK115" s="41" t="s">
        <v>3825</v>
      </c>
      <c r="AL115" s="41" t="s">
        <v>3826</v>
      </c>
      <c r="AM115" s="41" t="s">
        <v>3827</v>
      </c>
      <c r="AN115" s="41" t="s">
        <v>3828</v>
      </c>
      <c r="AO115" s="41" t="s">
        <v>3829</v>
      </c>
      <c r="AP115" s="41" t="s">
        <v>3830</v>
      </c>
      <c r="AQ115" s="41" t="s">
        <v>3831</v>
      </c>
    </row>
    <row r="116" ht="13.5" spans="1:43">
      <c r="A116" s="38"/>
      <c r="B116" s="39" t="s">
        <v>3832</v>
      </c>
      <c r="C116" s="41" t="s">
        <v>67</v>
      </c>
      <c r="D116" s="41" t="s">
        <v>67</v>
      </c>
      <c r="E116" s="41" t="s">
        <v>67</v>
      </c>
      <c r="F116" s="41" t="s">
        <v>67</v>
      </c>
      <c r="G116" s="41" t="s">
        <v>67</v>
      </c>
      <c r="H116" s="41" t="s">
        <v>67</v>
      </c>
      <c r="I116" s="41" t="s">
        <v>67</v>
      </c>
      <c r="J116" s="41" t="s">
        <v>67</v>
      </c>
      <c r="K116" s="41" t="s">
        <v>67</v>
      </c>
      <c r="L116" s="41" t="s">
        <v>67</v>
      </c>
      <c r="M116" s="41" t="s">
        <v>67</v>
      </c>
      <c r="N116" s="41" t="s">
        <v>67</v>
      </c>
      <c r="O116" s="41" t="s">
        <v>67</v>
      </c>
      <c r="P116" s="41" t="s">
        <v>67</v>
      </c>
      <c r="Q116" s="41" t="s">
        <v>67</v>
      </c>
      <c r="R116" s="41" t="s">
        <v>67</v>
      </c>
      <c r="S116" s="41" t="s">
        <v>67</v>
      </c>
      <c r="T116" s="41" t="s">
        <v>67</v>
      </c>
      <c r="U116" s="41" t="s">
        <v>67</v>
      </c>
      <c r="V116" s="41" t="s">
        <v>67</v>
      </c>
      <c r="W116" s="41" t="s">
        <v>67</v>
      </c>
      <c r="X116" s="41" t="s">
        <v>67</v>
      </c>
      <c r="Y116" s="41" t="s">
        <v>67</v>
      </c>
      <c r="Z116" s="41" t="s">
        <v>67</v>
      </c>
      <c r="AA116" s="41" t="s">
        <v>67</v>
      </c>
      <c r="AB116" s="41" t="s">
        <v>3833</v>
      </c>
      <c r="AC116" s="41" t="s">
        <v>67</v>
      </c>
      <c r="AD116" s="41" t="s">
        <v>67</v>
      </c>
      <c r="AE116" s="41" t="s">
        <v>67</v>
      </c>
      <c r="AF116" s="41" t="s">
        <v>3728</v>
      </c>
      <c r="AG116" s="41" t="s">
        <v>67</v>
      </c>
      <c r="AH116" s="41" t="s">
        <v>67</v>
      </c>
      <c r="AI116" s="41" t="s">
        <v>67</v>
      </c>
      <c r="AJ116" s="41" t="s">
        <v>67</v>
      </c>
      <c r="AK116" s="41" t="s">
        <v>67</v>
      </c>
      <c r="AL116" s="41" t="s">
        <v>67</v>
      </c>
      <c r="AM116" s="41" t="s">
        <v>67</v>
      </c>
      <c r="AN116" s="41" t="s">
        <v>67</v>
      </c>
      <c r="AO116" s="41" t="s">
        <v>67</v>
      </c>
      <c r="AP116" s="41" t="s">
        <v>67</v>
      </c>
      <c r="AQ116" s="41" t="s">
        <v>67</v>
      </c>
    </row>
    <row r="117" ht="13.5" spans="1:43">
      <c r="A117" s="38"/>
      <c r="B117" s="39" t="s">
        <v>3834</v>
      </c>
      <c r="C117" s="41" t="s">
        <v>67</v>
      </c>
      <c r="D117" s="41" t="s">
        <v>67</v>
      </c>
      <c r="E117" s="41" t="s">
        <v>67</v>
      </c>
      <c r="F117" s="41" t="s">
        <v>3432</v>
      </c>
      <c r="G117" s="41" t="s">
        <v>67</v>
      </c>
      <c r="H117" s="41" t="s">
        <v>67</v>
      </c>
      <c r="I117" s="41" t="s">
        <v>67</v>
      </c>
      <c r="J117" s="41" t="s">
        <v>67</v>
      </c>
      <c r="K117" s="41" t="s">
        <v>67</v>
      </c>
      <c r="L117" s="41" t="s">
        <v>67</v>
      </c>
      <c r="M117" s="41" t="s">
        <v>67</v>
      </c>
      <c r="N117" s="41" t="s">
        <v>67</v>
      </c>
      <c r="O117" s="41" t="s">
        <v>67</v>
      </c>
      <c r="P117" s="41" t="s">
        <v>67</v>
      </c>
      <c r="Q117" s="41" t="s">
        <v>67</v>
      </c>
      <c r="R117" s="41" t="s">
        <v>67</v>
      </c>
      <c r="S117" s="41" t="s">
        <v>67</v>
      </c>
      <c r="T117" s="41" t="s">
        <v>67</v>
      </c>
      <c r="U117" s="41" t="s">
        <v>67</v>
      </c>
      <c r="V117" s="41" t="s">
        <v>67</v>
      </c>
      <c r="W117" s="41" t="s">
        <v>67</v>
      </c>
      <c r="X117" s="41" t="s">
        <v>67</v>
      </c>
      <c r="Y117" s="41" t="s">
        <v>67</v>
      </c>
      <c r="Z117" s="41" t="s">
        <v>67</v>
      </c>
      <c r="AA117" s="41" t="s">
        <v>67</v>
      </c>
      <c r="AB117" s="41" t="s">
        <v>67</v>
      </c>
      <c r="AC117" s="41" t="s">
        <v>67</v>
      </c>
      <c r="AD117" s="41" t="s">
        <v>67</v>
      </c>
      <c r="AE117" s="41" t="s">
        <v>67</v>
      </c>
      <c r="AF117" s="41" t="s">
        <v>67</v>
      </c>
      <c r="AG117" s="41" t="s">
        <v>67</v>
      </c>
      <c r="AH117" s="41" t="s">
        <v>67</v>
      </c>
      <c r="AI117" s="41" t="s">
        <v>67</v>
      </c>
      <c r="AJ117" s="41" t="s">
        <v>67</v>
      </c>
      <c r="AK117" s="41" t="s">
        <v>67</v>
      </c>
      <c r="AL117" s="41" t="s">
        <v>67</v>
      </c>
      <c r="AM117" s="41" t="s">
        <v>67</v>
      </c>
      <c r="AN117" s="41" t="s">
        <v>67</v>
      </c>
      <c r="AO117" s="41" t="s">
        <v>67</v>
      </c>
      <c r="AP117" s="41" t="s">
        <v>67</v>
      </c>
      <c r="AQ117" s="41" t="s">
        <v>67</v>
      </c>
    </row>
    <row r="118" ht="13.5" spans="1:43">
      <c r="A118" s="38"/>
      <c r="B118" s="39" t="s">
        <v>3835</v>
      </c>
      <c r="C118" s="41" t="s">
        <v>67</v>
      </c>
      <c r="D118" s="41" t="s">
        <v>67</v>
      </c>
      <c r="E118" s="41" t="s">
        <v>67</v>
      </c>
      <c r="F118" s="41" t="s">
        <v>67</v>
      </c>
      <c r="G118" s="41" t="s">
        <v>67</v>
      </c>
      <c r="H118" s="41" t="s">
        <v>67</v>
      </c>
      <c r="I118" s="41" t="s">
        <v>67</v>
      </c>
      <c r="J118" s="41" t="s">
        <v>67</v>
      </c>
      <c r="K118" s="41" t="s">
        <v>67</v>
      </c>
      <c r="L118" s="41" t="s">
        <v>67</v>
      </c>
      <c r="M118" s="41" t="s">
        <v>67</v>
      </c>
      <c r="N118" s="41" t="s">
        <v>67</v>
      </c>
      <c r="O118" s="41" t="s">
        <v>67</v>
      </c>
      <c r="P118" s="41" t="s">
        <v>67</v>
      </c>
      <c r="Q118" s="41" t="s">
        <v>67</v>
      </c>
      <c r="R118" s="41" t="s">
        <v>67</v>
      </c>
      <c r="S118" s="41" t="s">
        <v>67</v>
      </c>
      <c r="T118" s="41" t="s">
        <v>67</v>
      </c>
      <c r="U118" s="41" t="s">
        <v>67</v>
      </c>
      <c r="V118" s="41" t="s">
        <v>67</v>
      </c>
      <c r="W118" s="41" t="s">
        <v>67</v>
      </c>
      <c r="X118" s="41" t="s">
        <v>67</v>
      </c>
      <c r="Y118" s="41" t="s">
        <v>67</v>
      </c>
      <c r="Z118" s="41" t="s">
        <v>67</v>
      </c>
      <c r="AA118" s="41" t="s">
        <v>67</v>
      </c>
      <c r="AB118" s="41" t="s">
        <v>67</v>
      </c>
      <c r="AC118" s="41" t="s">
        <v>67</v>
      </c>
      <c r="AD118" s="41" t="s">
        <v>67</v>
      </c>
      <c r="AE118" s="41" t="s">
        <v>67</v>
      </c>
      <c r="AF118" s="41" t="s">
        <v>67</v>
      </c>
      <c r="AG118" s="41" t="s">
        <v>67</v>
      </c>
      <c r="AH118" s="41" t="s">
        <v>67</v>
      </c>
      <c r="AI118" s="41" t="s">
        <v>67</v>
      </c>
      <c r="AJ118" s="41" t="s">
        <v>67</v>
      </c>
      <c r="AK118" s="41" t="s">
        <v>67</v>
      </c>
      <c r="AL118" s="41" t="s">
        <v>67</v>
      </c>
      <c r="AM118" s="41" t="s">
        <v>67</v>
      </c>
      <c r="AN118" s="41" t="s">
        <v>67</v>
      </c>
      <c r="AO118" s="41" t="s">
        <v>67</v>
      </c>
      <c r="AP118" s="41" t="s">
        <v>67</v>
      </c>
      <c r="AQ118" s="41" t="s">
        <v>67</v>
      </c>
    </row>
    <row r="119" ht="13.5" spans="1:43">
      <c r="A119" s="38"/>
      <c r="B119" s="39" t="s">
        <v>3836</v>
      </c>
      <c r="C119" s="41" t="s">
        <v>67</v>
      </c>
      <c r="D119" s="41" t="s">
        <v>67</v>
      </c>
      <c r="E119" s="41" t="s">
        <v>67</v>
      </c>
      <c r="F119" s="41" t="s">
        <v>67</v>
      </c>
      <c r="G119" s="41" t="s">
        <v>67</v>
      </c>
      <c r="H119" s="41" t="s">
        <v>67</v>
      </c>
      <c r="I119" s="41" t="s">
        <v>67</v>
      </c>
      <c r="J119" s="41" t="s">
        <v>67</v>
      </c>
      <c r="K119" s="41" t="s">
        <v>67</v>
      </c>
      <c r="L119" s="41" t="s">
        <v>67</v>
      </c>
      <c r="M119" s="41" t="s">
        <v>67</v>
      </c>
      <c r="N119" s="41" t="s">
        <v>67</v>
      </c>
      <c r="O119" s="41" t="s">
        <v>67</v>
      </c>
      <c r="P119" s="41" t="s">
        <v>67</v>
      </c>
      <c r="Q119" s="41" t="s">
        <v>67</v>
      </c>
      <c r="R119" s="41" t="s">
        <v>67</v>
      </c>
      <c r="S119" s="41" t="s">
        <v>67</v>
      </c>
      <c r="T119" s="41" t="s">
        <v>67</v>
      </c>
      <c r="U119" s="41" t="s">
        <v>67</v>
      </c>
      <c r="V119" s="41" t="s">
        <v>67</v>
      </c>
      <c r="W119" s="41" t="s">
        <v>67</v>
      </c>
      <c r="X119" s="41" t="s">
        <v>67</v>
      </c>
      <c r="Y119" s="41" t="s">
        <v>67</v>
      </c>
      <c r="Z119" s="41" t="s">
        <v>67</v>
      </c>
      <c r="AA119" s="41" t="s">
        <v>67</v>
      </c>
      <c r="AB119" s="41" t="s">
        <v>67</v>
      </c>
      <c r="AC119" s="41" t="s">
        <v>67</v>
      </c>
      <c r="AD119" s="41" t="s">
        <v>67</v>
      </c>
      <c r="AE119" s="41" t="s">
        <v>67</v>
      </c>
      <c r="AF119" s="41" t="s">
        <v>67</v>
      </c>
      <c r="AG119" s="41" t="s">
        <v>67</v>
      </c>
      <c r="AH119" s="41" t="s">
        <v>67</v>
      </c>
      <c r="AI119" s="41" t="s">
        <v>67</v>
      </c>
      <c r="AJ119" s="41" t="s">
        <v>67</v>
      </c>
      <c r="AK119" s="41" t="s">
        <v>67</v>
      </c>
      <c r="AL119" s="41" t="s">
        <v>67</v>
      </c>
      <c r="AM119" s="41" t="s">
        <v>67</v>
      </c>
      <c r="AN119" s="41" t="s">
        <v>67</v>
      </c>
      <c r="AO119" s="41" t="s">
        <v>67</v>
      </c>
      <c r="AP119" s="41" t="s">
        <v>67</v>
      </c>
      <c r="AQ119" s="41" t="s">
        <v>67</v>
      </c>
    </row>
    <row r="120" ht="13.5" spans="1:43">
      <c r="A120" s="38"/>
      <c r="B120" s="39" t="s">
        <v>3837</v>
      </c>
      <c r="C120" s="41" t="s">
        <v>67</v>
      </c>
      <c r="D120" s="41" t="s">
        <v>67</v>
      </c>
      <c r="E120" s="41" t="s">
        <v>67</v>
      </c>
      <c r="F120" s="41" t="s">
        <v>67</v>
      </c>
      <c r="G120" s="41" t="s">
        <v>67</v>
      </c>
      <c r="H120" s="41" t="s">
        <v>67</v>
      </c>
      <c r="I120" s="41" t="s">
        <v>67</v>
      </c>
      <c r="J120" s="41" t="s">
        <v>67</v>
      </c>
      <c r="K120" s="41" t="s">
        <v>67</v>
      </c>
      <c r="L120" s="41" t="s">
        <v>67</v>
      </c>
      <c r="M120" s="41" t="s">
        <v>67</v>
      </c>
      <c r="N120" s="41" t="s">
        <v>67</v>
      </c>
      <c r="O120" s="41" t="s">
        <v>67</v>
      </c>
      <c r="P120" s="41" t="s">
        <v>67</v>
      </c>
      <c r="Q120" s="41" t="s">
        <v>67</v>
      </c>
      <c r="R120" s="41" t="s">
        <v>67</v>
      </c>
      <c r="S120" s="41" t="s">
        <v>67</v>
      </c>
      <c r="T120" s="41" t="s">
        <v>67</v>
      </c>
      <c r="U120" s="41" t="s">
        <v>67</v>
      </c>
      <c r="V120" s="41" t="s">
        <v>67</v>
      </c>
      <c r="W120" s="41" t="s">
        <v>67</v>
      </c>
      <c r="X120" s="41" t="s">
        <v>67</v>
      </c>
      <c r="Y120" s="41" t="s">
        <v>67</v>
      </c>
      <c r="Z120" s="41" t="s">
        <v>67</v>
      </c>
      <c r="AA120" s="41" t="s">
        <v>67</v>
      </c>
      <c r="AB120" s="41" t="s">
        <v>67</v>
      </c>
      <c r="AC120" s="41" t="s">
        <v>67</v>
      </c>
      <c r="AD120" s="41" t="s">
        <v>67</v>
      </c>
      <c r="AE120" s="41" t="s">
        <v>67</v>
      </c>
      <c r="AF120" s="41" t="s">
        <v>67</v>
      </c>
      <c r="AG120" s="41" t="s">
        <v>67</v>
      </c>
      <c r="AH120" s="41" t="s">
        <v>67</v>
      </c>
      <c r="AI120" s="41" t="s">
        <v>67</v>
      </c>
      <c r="AJ120" s="41" t="s">
        <v>67</v>
      </c>
      <c r="AK120" s="41" t="s">
        <v>67</v>
      </c>
      <c r="AL120" s="41" t="s">
        <v>67</v>
      </c>
      <c r="AM120" s="41" t="s">
        <v>67</v>
      </c>
      <c r="AN120" s="41" t="s">
        <v>67</v>
      </c>
      <c r="AO120" s="41" t="s">
        <v>67</v>
      </c>
      <c r="AP120" s="41" t="s">
        <v>67</v>
      </c>
      <c r="AQ120" s="41" t="s">
        <v>67</v>
      </c>
    </row>
    <row r="121" ht="13.5" spans="1:43">
      <c r="A121" s="38"/>
      <c r="B121" s="39" t="s">
        <v>3838</v>
      </c>
      <c r="C121" s="41" t="s">
        <v>67</v>
      </c>
      <c r="D121" s="41" t="s">
        <v>67</v>
      </c>
      <c r="E121" s="41" t="s">
        <v>67</v>
      </c>
      <c r="F121" s="41" t="s">
        <v>67</v>
      </c>
      <c r="G121" s="41" t="s">
        <v>67</v>
      </c>
      <c r="H121" s="41" t="s">
        <v>67</v>
      </c>
      <c r="I121" s="41" t="s">
        <v>67</v>
      </c>
      <c r="J121" s="41" t="s">
        <v>67</v>
      </c>
      <c r="K121" s="41" t="s">
        <v>67</v>
      </c>
      <c r="L121" s="41" t="s">
        <v>67</v>
      </c>
      <c r="M121" s="41" t="s">
        <v>67</v>
      </c>
      <c r="N121" s="41" t="s">
        <v>67</v>
      </c>
      <c r="O121" s="41" t="s">
        <v>67</v>
      </c>
      <c r="P121" s="41" t="s">
        <v>67</v>
      </c>
      <c r="Q121" s="41" t="s">
        <v>67</v>
      </c>
      <c r="R121" s="41" t="s">
        <v>67</v>
      </c>
      <c r="S121" s="41" t="s">
        <v>67</v>
      </c>
      <c r="T121" s="41" t="s">
        <v>67</v>
      </c>
      <c r="U121" s="41" t="s">
        <v>67</v>
      </c>
      <c r="V121" s="41" t="s">
        <v>67</v>
      </c>
      <c r="W121" s="41" t="s">
        <v>67</v>
      </c>
      <c r="X121" s="41" t="s">
        <v>67</v>
      </c>
      <c r="Y121" s="41" t="s">
        <v>67</v>
      </c>
      <c r="Z121" s="41" t="s">
        <v>67</v>
      </c>
      <c r="AA121" s="41" t="s">
        <v>67</v>
      </c>
      <c r="AB121" s="41" t="s">
        <v>67</v>
      </c>
      <c r="AC121" s="41" t="s">
        <v>67</v>
      </c>
      <c r="AD121" s="41" t="s">
        <v>67</v>
      </c>
      <c r="AE121" s="41" t="s">
        <v>67</v>
      </c>
      <c r="AF121" s="41" t="s">
        <v>67</v>
      </c>
      <c r="AG121" s="41" t="s">
        <v>67</v>
      </c>
      <c r="AH121" s="41" t="s">
        <v>67</v>
      </c>
      <c r="AI121" s="41" t="s">
        <v>67</v>
      </c>
      <c r="AJ121" s="41" t="s">
        <v>67</v>
      </c>
      <c r="AK121" s="41" t="s">
        <v>67</v>
      </c>
      <c r="AL121" s="41" t="s">
        <v>67</v>
      </c>
      <c r="AM121" s="41" t="s">
        <v>67</v>
      </c>
      <c r="AN121" s="41" t="s">
        <v>67</v>
      </c>
      <c r="AO121" s="41" t="s">
        <v>67</v>
      </c>
      <c r="AP121" s="41" t="s">
        <v>67</v>
      </c>
      <c r="AQ121" s="41" t="s">
        <v>67</v>
      </c>
    </row>
    <row r="122" ht="13.5" spans="1:43">
      <c r="A122" s="38"/>
      <c r="B122" s="39" t="s">
        <v>3839</v>
      </c>
      <c r="C122" s="41" t="s">
        <v>67</v>
      </c>
      <c r="D122" s="41" t="s">
        <v>67</v>
      </c>
      <c r="E122" s="41" t="s">
        <v>67</v>
      </c>
      <c r="F122" s="41" t="s">
        <v>67</v>
      </c>
      <c r="G122" s="41" t="s">
        <v>67</v>
      </c>
      <c r="H122" s="41" t="s">
        <v>67</v>
      </c>
      <c r="I122" s="41" t="s">
        <v>67</v>
      </c>
      <c r="J122" s="41" t="s">
        <v>67</v>
      </c>
      <c r="K122" s="41" t="s">
        <v>67</v>
      </c>
      <c r="L122" s="41" t="s">
        <v>67</v>
      </c>
      <c r="M122" s="41" t="s">
        <v>67</v>
      </c>
      <c r="N122" s="41" t="s">
        <v>67</v>
      </c>
      <c r="O122" s="41" t="s">
        <v>67</v>
      </c>
      <c r="P122" s="41" t="s">
        <v>67</v>
      </c>
      <c r="Q122" s="41" t="s">
        <v>67</v>
      </c>
      <c r="R122" s="41" t="s">
        <v>67</v>
      </c>
      <c r="S122" s="41" t="s">
        <v>67</v>
      </c>
      <c r="T122" s="41" t="s">
        <v>67</v>
      </c>
      <c r="U122" s="41" t="s">
        <v>67</v>
      </c>
      <c r="V122" s="41" t="s">
        <v>67</v>
      </c>
      <c r="W122" s="41" t="s">
        <v>67</v>
      </c>
      <c r="X122" s="41" t="s">
        <v>67</v>
      </c>
      <c r="Y122" s="41" t="s">
        <v>67</v>
      </c>
      <c r="Z122" s="41" t="s">
        <v>67</v>
      </c>
      <c r="AA122" s="41" t="s">
        <v>67</v>
      </c>
      <c r="AB122" s="41" t="s">
        <v>67</v>
      </c>
      <c r="AC122" s="41" t="s">
        <v>67</v>
      </c>
      <c r="AD122" s="41" t="s">
        <v>67</v>
      </c>
      <c r="AE122" s="41" t="s">
        <v>67</v>
      </c>
      <c r="AF122" s="41" t="s">
        <v>67</v>
      </c>
      <c r="AG122" s="41" t="s">
        <v>67</v>
      </c>
      <c r="AH122" s="41" t="s">
        <v>67</v>
      </c>
      <c r="AI122" s="41" t="s">
        <v>67</v>
      </c>
      <c r="AJ122" s="41" t="s">
        <v>67</v>
      </c>
      <c r="AK122" s="41" t="s">
        <v>67</v>
      </c>
      <c r="AL122" s="41" t="s">
        <v>67</v>
      </c>
      <c r="AM122" s="41" t="s">
        <v>67</v>
      </c>
      <c r="AN122" s="41" t="s">
        <v>67</v>
      </c>
      <c r="AO122" s="41" t="s">
        <v>67</v>
      </c>
      <c r="AP122" s="41" t="s">
        <v>67</v>
      </c>
      <c r="AQ122" s="41" t="s">
        <v>67</v>
      </c>
    </row>
    <row r="123" ht="13.5" spans="1:43">
      <c r="A123" s="38"/>
      <c r="B123" s="39" t="s">
        <v>3840</v>
      </c>
      <c r="C123" s="41" t="s">
        <v>67</v>
      </c>
      <c r="D123" s="41" t="s">
        <v>67</v>
      </c>
      <c r="E123" s="41" t="s">
        <v>67</v>
      </c>
      <c r="F123" s="41" t="s">
        <v>67</v>
      </c>
      <c r="G123" s="41" t="s">
        <v>67</v>
      </c>
      <c r="H123" s="41" t="s">
        <v>67</v>
      </c>
      <c r="I123" s="41" t="s">
        <v>67</v>
      </c>
      <c r="J123" s="41" t="s">
        <v>67</v>
      </c>
      <c r="K123" s="41" t="s">
        <v>67</v>
      </c>
      <c r="L123" s="41" t="s">
        <v>67</v>
      </c>
      <c r="M123" s="41" t="s">
        <v>67</v>
      </c>
      <c r="N123" s="41" t="s">
        <v>67</v>
      </c>
      <c r="O123" s="41" t="s">
        <v>67</v>
      </c>
      <c r="P123" s="41" t="s">
        <v>67</v>
      </c>
      <c r="Q123" s="41" t="s">
        <v>67</v>
      </c>
      <c r="R123" s="41" t="s">
        <v>67</v>
      </c>
      <c r="S123" s="41" t="s">
        <v>67</v>
      </c>
      <c r="T123" s="41" t="s">
        <v>67</v>
      </c>
      <c r="U123" s="41" t="s">
        <v>67</v>
      </c>
      <c r="V123" s="41" t="s">
        <v>67</v>
      </c>
      <c r="W123" s="41" t="s">
        <v>67</v>
      </c>
      <c r="X123" s="41" t="s">
        <v>67</v>
      </c>
      <c r="Y123" s="41" t="s">
        <v>67</v>
      </c>
      <c r="Z123" s="41" t="s">
        <v>67</v>
      </c>
      <c r="AA123" s="41" t="s">
        <v>67</v>
      </c>
      <c r="AB123" s="41" t="s">
        <v>67</v>
      </c>
      <c r="AC123" s="41" t="s">
        <v>67</v>
      </c>
      <c r="AD123" s="41" t="s">
        <v>67</v>
      </c>
      <c r="AE123" s="41" t="s">
        <v>67</v>
      </c>
      <c r="AF123" s="41" t="s">
        <v>67</v>
      </c>
      <c r="AG123" s="41" t="s">
        <v>67</v>
      </c>
      <c r="AH123" s="41" t="s">
        <v>67</v>
      </c>
      <c r="AI123" s="41" t="s">
        <v>67</v>
      </c>
      <c r="AJ123" s="41" t="s">
        <v>67</v>
      </c>
      <c r="AK123" s="41" t="s">
        <v>67</v>
      </c>
      <c r="AL123" s="41" t="s">
        <v>67</v>
      </c>
      <c r="AM123" s="41" t="s">
        <v>67</v>
      </c>
      <c r="AN123" s="41" t="s">
        <v>67</v>
      </c>
      <c r="AO123" s="41" t="s">
        <v>67</v>
      </c>
      <c r="AP123" s="41" t="s">
        <v>67</v>
      </c>
      <c r="AQ123" s="41" t="s">
        <v>67</v>
      </c>
    </row>
    <row r="124" ht="13.5" spans="1:43">
      <c r="A124" s="38"/>
      <c r="B124" s="39" t="s">
        <v>3841</v>
      </c>
      <c r="C124" s="41" t="s">
        <v>67</v>
      </c>
      <c r="D124" s="41" t="s">
        <v>67</v>
      </c>
      <c r="E124" s="41" t="s">
        <v>67</v>
      </c>
      <c r="F124" s="41" t="s">
        <v>67</v>
      </c>
      <c r="G124" s="41" t="s">
        <v>67</v>
      </c>
      <c r="H124" s="41" t="s">
        <v>67</v>
      </c>
      <c r="I124" s="41" t="s">
        <v>67</v>
      </c>
      <c r="J124" s="41" t="s">
        <v>67</v>
      </c>
      <c r="K124" s="41" t="s">
        <v>67</v>
      </c>
      <c r="L124" s="41" t="s">
        <v>67</v>
      </c>
      <c r="M124" s="41" t="s">
        <v>67</v>
      </c>
      <c r="N124" s="41" t="s">
        <v>67</v>
      </c>
      <c r="O124" s="41" t="s">
        <v>67</v>
      </c>
      <c r="P124" s="41" t="s">
        <v>67</v>
      </c>
      <c r="Q124" s="41" t="s">
        <v>67</v>
      </c>
      <c r="R124" s="41" t="s">
        <v>67</v>
      </c>
      <c r="S124" s="41" t="s">
        <v>67</v>
      </c>
      <c r="T124" s="41" t="s">
        <v>67</v>
      </c>
      <c r="U124" s="41" t="s">
        <v>67</v>
      </c>
      <c r="V124" s="41" t="s">
        <v>67</v>
      </c>
      <c r="W124" s="41" t="s">
        <v>67</v>
      </c>
      <c r="X124" s="41" t="s">
        <v>67</v>
      </c>
      <c r="Y124" s="41" t="s">
        <v>67</v>
      </c>
      <c r="Z124" s="41" t="s">
        <v>67</v>
      </c>
      <c r="AA124" s="41" t="s">
        <v>67</v>
      </c>
      <c r="AB124" s="41" t="s">
        <v>67</v>
      </c>
      <c r="AC124" s="41" t="s">
        <v>67</v>
      </c>
      <c r="AD124" s="41" t="s">
        <v>67</v>
      </c>
      <c r="AE124" s="41" t="s">
        <v>67</v>
      </c>
      <c r="AF124" s="41" t="s">
        <v>67</v>
      </c>
      <c r="AG124" s="41" t="s">
        <v>67</v>
      </c>
      <c r="AH124" s="41" t="s">
        <v>67</v>
      </c>
      <c r="AI124" s="41" t="s">
        <v>67</v>
      </c>
      <c r="AJ124" s="41" t="s">
        <v>67</v>
      </c>
      <c r="AK124" s="41" t="s">
        <v>67</v>
      </c>
      <c r="AL124" s="41" t="s">
        <v>67</v>
      </c>
      <c r="AM124" s="41" t="s">
        <v>67</v>
      </c>
      <c r="AN124" s="41" t="s">
        <v>67</v>
      </c>
      <c r="AO124" s="41" t="s">
        <v>67</v>
      </c>
      <c r="AP124" s="41" t="s">
        <v>67</v>
      </c>
      <c r="AQ124" s="41" t="s">
        <v>67</v>
      </c>
    </row>
    <row r="125" ht="13.5" spans="1:43">
      <c r="A125" s="38"/>
      <c r="B125" s="39" t="s">
        <v>3842</v>
      </c>
      <c r="C125" s="41" t="s">
        <v>67</v>
      </c>
      <c r="D125" s="41" t="s">
        <v>67</v>
      </c>
      <c r="E125" s="41" t="s">
        <v>67</v>
      </c>
      <c r="F125" s="41" t="s">
        <v>67</v>
      </c>
      <c r="G125" s="41" t="s">
        <v>67</v>
      </c>
      <c r="H125" s="41" t="s">
        <v>67</v>
      </c>
      <c r="I125" s="41" t="s">
        <v>67</v>
      </c>
      <c r="J125" s="41" t="s">
        <v>67</v>
      </c>
      <c r="K125" s="41" t="s">
        <v>67</v>
      </c>
      <c r="L125" s="41" t="s">
        <v>67</v>
      </c>
      <c r="M125" s="41" t="s">
        <v>67</v>
      </c>
      <c r="N125" s="41" t="s">
        <v>67</v>
      </c>
      <c r="O125" s="41" t="s">
        <v>67</v>
      </c>
      <c r="P125" s="41" t="s">
        <v>67</v>
      </c>
      <c r="Q125" s="41" t="s">
        <v>67</v>
      </c>
      <c r="R125" s="41" t="s">
        <v>67</v>
      </c>
      <c r="S125" s="41" t="s">
        <v>67</v>
      </c>
      <c r="T125" s="41" t="s">
        <v>67</v>
      </c>
      <c r="U125" s="41" t="s">
        <v>67</v>
      </c>
      <c r="V125" s="41" t="s">
        <v>67</v>
      </c>
      <c r="W125" s="41" t="s">
        <v>67</v>
      </c>
      <c r="X125" s="41" t="s">
        <v>67</v>
      </c>
      <c r="Y125" s="41" t="s">
        <v>67</v>
      </c>
      <c r="Z125" s="41" t="s">
        <v>67</v>
      </c>
      <c r="AA125" s="41" t="s">
        <v>67</v>
      </c>
      <c r="AB125" s="41" t="s">
        <v>67</v>
      </c>
      <c r="AC125" s="41" t="s">
        <v>67</v>
      </c>
      <c r="AD125" s="41" t="s">
        <v>67</v>
      </c>
      <c r="AE125" s="41" t="s">
        <v>67</v>
      </c>
      <c r="AF125" s="41" t="s">
        <v>67</v>
      </c>
      <c r="AG125" s="41" t="s">
        <v>67</v>
      </c>
      <c r="AH125" s="41" t="s">
        <v>67</v>
      </c>
      <c r="AI125" s="41" t="s">
        <v>67</v>
      </c>
      <c r="AJ125" s="41" t="s">
        <v>67</v>
      </c>
      <c r="AK125" s="41" t="s">
        <v>67</v>
      </c>
      <c r="AL125" s="41" t="s">
        <v>67</v>
      </c>
      <c r="AM125" s="41" t="s">
        <v>67</v>
      </c>
      <c r="AN125" s="41" t="s">
        <v>67</v>
      </c>
      <c r="AO125" s="41" t="s">
        <v>67</v>
      </c>
      <c r="AP125" s="41" t="s">
        <v>67</v>
      </c>
      <c r="AQ125" s="41" t="s">
        <v>67</v>
      </c>
    </row>
    <row r="126" ht="13.5" spans="1:43">
      <c r="A126" s="38"/>
      <c r="B126" s="39" t="s">
        <v>3843</v>
      </c>
      <c r="C126" s="41" t="s">
        <v>67</v>
      </c>
      <c r="D126" s="41" t="s">
        <v>67</v>
      </c>
      <c r="E126" s="41" t="s">
        <v>67</v>
      </c>
      <c r="F126" s="41" t="s">
        <v>67</v>
      </c>
      <c r="G126" s="41" t="s">
        <v>67</v>
      </c>
      <c r="H126" s="41" t="s">
        <v>67</v>
      </c>
      <c r="I126" s="41" t="s">
        <v>67</v>
      </c>
      <c r="J126" s="41" t="s">
        <v>67</v>
      </c>
      <c r="K126" s="41" t="s">
        <v>67</v>
      </c>
      <c r="L126" s="41" t="s">
        <v>67</v>
      </c>
      <c r="M126" s="41" t="s">
        <v>67</v>
      </c>
      <c r="N126" s="41" t="s">
        <v>67</v>
      </c>
      <c r="O126" s="41" t="s">
        <v>67</v>
      </c>
      <c r="P126" s="41" t="s">
        <v>67</v>
      </c>
      <c r="Q126" s="41" t="s">
        <v>67</v>
      </c>
      <c r="R126" s="41" t="s">
        <v>67</v>
      </c>
      <c r="S126" s="41" t="s">
        <v>67</v>
      </c>
      <c r="T126" s="41" t="s">
        <v>67</v>
      </c>
      <c r="U126" s="41" t="s">
        <v>67</v>
      </c>
      <c r="V126" s="41" t="s">
        <v>67</v>
      </c>
      <c r="W126" s="41" t="s">
        <v>67</v>
      </c>
      <c r="X126" s="41" t="s">
        <v>3821</v>
      </c>
      <c r="Y126" s="41" t="s">
        <v>67</v>
      </c>
      <c r="Z126" s="41" t="s">
        <v>2497</v>
      </c>
      <c r="AA126" s="41" t="s">
        <v>67</v>
      </c>
      <c r="AB126" s="41" t="s">
        <v>3822</v>
      </c>
      <c r="AC126" s="41" t="s">
        <v>67</v>
      </c>
      <c r="AD126" s="41" t="s">
        <v>3823</v>
      </c>
      <c r="AE126" s="41" t="s">
        <v>67</v>
      </c>
      <c r="AF126" s="41" t="s">
        <v>3824</v>
      </c>
      <c r="AG126" s="41" t="s">
        <v>67</v>
      </c>
      <c r="AH126" s="41" t="s">
        <v>2421</v>
      </c>
      <c r="AI126" s="41" t="s">
        <v>2421</v>
      </c>
      <c r="AJ126" s="41" t="s">
        <v>2421</v>
      </c>
      <c r="AK126" s="41" t="s">
        <v>3825</v>
      </c>
      <c r="AL126" s="41" t="s">
        <v>3826</v>
      </c>
      <c r="AM126" s="41" t="s">
        <v>3827</v>
      </c>
      <c r="AN126" s="41" t="s">
        <v>3828</v>
      </c>
      <c r="AO126" s="41" t="s">
        <v>3829</v>
      </c>
      <c r="AP126" s="41" t="s">
        <v>3830</v>
      </c>
      <c r="AQ126" s="41" t="s">
        <v>3831</v>
      </c>
    </row>
    <row r="127" ht="13.5" spans="1:43">
      <c r="A127" s="38"/>
      <c r="B127" s="39" t="s">
        <v>3844</v>
      </c>
      <c r="C127" s="41" t="s">
        <v>2650</v>
      </c>
      <c r="D127" s="41" t="s">
        <v>2598</v>
      </c>
      <c r="E127" s="41" t="s">
        <v>2596</v>
      </c>
      <c r="F127" s="41" t="s">
        <v>3470</v>
      </c>
      <c r="G127" s="41" t="s">
        <v>2652</v>
      </c>
      <c r="H127" s="41" t="s">
        <v>2599</v>
      </c>
      <c r="I127" s="41" t="s">
        <v>2599</v>
      </c>
      <c r="J127" s="41" t="s">
        <v>3473</v>
      </c>
      <c r="K127" s="41" t="s">
        <v>3473</v>
      </c>
      <c r="L127" s="41" t="s">
        <v>2653</v>
      </c>
      <c r="M127" s="41" t="s">
        <v>2600</v>
      </c>
      <c r="N127" s="41" t="s">
        <v>2601</v>
      </c>
      <c r="O127" s="41" t="s">
        <v>2601</v>
      </c>
      <c r="P127" s="41" t="s">
        <v>2600</v>
      </c>
      <c r="Q127" s="41" t="s">
        <v>2658</v>
      </c>
      <c r="R127" s="41" t="s">
        <v>2658</v>
      </c>
      <c r="S127" s="41" t="s">
        <v>2411</v>
      </c>
      <c r="T127" s="41" t="s">
        <v>2656</v>
      </c>
      <c r="U127" s="41" t="s">
        <v>2422</v>
      </c>
      <c r="V127" s="41" t="s">
        <v>2660</v>
      </c>
      <c r="W127" s="41" t="s">
        <v>2422</v>
      </c>
      <c r="X127" s="41" t="s">
        <v>2412</v>
      </c>
      <c r="Y127" s="41" t="s">
        <v>2423</v>
      </c>
      <c r="Z127" s="41" t="s">
        <v>2417</v>
      </c>
      <c r="AA127" s="41" t="s">
        <v>2417</v>
      </c>
      <c r="AB127" s="41" t="s">
        <v>2423</v>
      </c>
      <c r="AC127" s="41" t="s">
        <v>2416</v>
      </c>
      <c r="AD127" s="41" t="s">
        <v>2416</v>
      </c>
      <c r="AE127" s="41" t="s">
        <v>2416</v>
      </c>
      <c r="AF127" s="41" t="s">
        <v>2413</v>
      </c>
      <c r="AG127" s="41" t="s">
        <v>2416</v>
      </c>
      <c r="AH127" s="41" t="s">
        <v>2417</v>
      </c>
      <c r="AI127" s="41" t="s">
        <v>2424</v>
      </c>
      <c r="AJ127" s="41" t="s">
        <v>2413</v>
      </c>
      <c r="AK127" s="41" t="s">
        <v>2414</v>
      </c>
      <c r="AL127" s="41" t="s">
        <v>2414</v>
      </c>
      <c r="AM127" s="41" t="s">
        <v>2414</v>
      </c>
      <c r="AN127" s="41" t="s">
        <v>2414</v>
      </c>
      <c r="AO127" s="41" t="s">
        <v>2414</v>
      </c>
      <c r="AP127" s="41" t="s">
        <v>2421</v>
      </c>
      <c r="AQ127" s="41" t="s">
        <v>2421</v>
      </c>
    </row>
    <row r="128" ht="13.5" spans="1:43">
      <c r="A128" s="38" t="s">
        <v>3845</v>
      </c>
      <c r="B128" s="39" t="s">
        <v>3846</v>
      </c>
      <c r="C128" s="41" t="s">
        <v>2429</v>
      </c>
      <c r="D128" s="41" t="s">
        <v>2429</v>
      </c>
      <c r="E128" s="41" t="s">
        <v>2429</v>
      </c>
      <c r="F128" s="41" t="s">
        <v>2429</v>
      </c>
      <c r="G128" s="41" t="s">
        <v>2429</v>
      </c>
      <c r="H128" s="41" t="s">
        <v>2429</v>
      </c>
      <c r="I128" s="41" t="s">
        <v>2429</v>
      </c>
      <c r="J128" s="41" t="s">
        <v>2414</v>
      </c>
      <c r="K128" s="41" t="s">
        <v>2429</v>
      </c>
      <c r="L128" s="41" t="s">
        <v>2429</v>
      </c>
      <c r="M128" s="41" t="s">
        <v>2414</v>
      </c>
      <c r="N128" s="41" t="s">
        <v>2414</v>
      </c>
      <c r="O128" s="41" t="s">
        <v>2414</v>
      </c>
      <c r="P128" s="41" t="s">
        <v>2414</v>
      </c>
      <c r="Q128" s="41" t="s">
        <v>2429</v>
      </c>
      <c r="R128" s="41" t="s">
        <v>2429</v>
      </c>
      <c r="S128" s="41" t="s">
        <v>2429</v>
      </c>
      <c r="T128" s="41" t="s">
        <v>2429</v>
      </c>
      <c r="U128" s="41" t="s">
        <v>2427</v>
      </c>
      <c r="V128" s="41" t="s">
        <v>2427</v>
      </c>
      <c r="W128" s="41" t="s">
        <v>2427</v>
      </c>
      <c r="X128" s="41" t="s">
        <v>2427</v>
      </c>
      <c r="Y128" s="41" t="s">
        <v>3847</v>
      </c>
      <c r="Z128" s="41" t="s">
        <v>3609</v>
      </c>
      <c r="AA128" s="41" t="s">
        <v>67</v>
      </c>
      <c r="AB128" s="41" t="s">
        <v>67</v>
      </c>
      <c r="AC128" s="41" t="s">
        <v>67</v>
      </c>
      <c r="AD128" s="41" t="s">
        <v>67</v>
      </c>
      <c r="AE128" s="41" t="s">
        <v>67</v>
      </c>
      <c r="AF128" s="41" t="s">
        <v>67</v>
      </c>
      <c r="AG128" s="41" t="s">
        <v>67</v>
      </c>
      <c r="AH128" s="41" t="s">
        <v>67</v>
      </c>
      <c r="AI128" s="41" t="s">
        <v>67</v>
      </c>
      <c r="AJ128" s="41" t="s">
        <v>67</v>
      </c>
      <c r="AK128" s="41" t="s">
        <v>67</v>
      </c>
      <c r="AL128" s="41" t="s">
        <v>67</v>
      </c>
      <c r="AM128" s="41" t="s">
        <v>67</v>
      </c>
      <c r="AN128" s="41" t="s">
        <v>67</v>
      </c>
      <c r="AO128" s="41" t="s">
        <v>67</v>
      </c>
      <c r="AP128" s="41" t="s">
        <v>67</v>
      </c>
      <c r="AQ128" s="41" t="s">
        <v>67</v>
      </c>
    </row>
    <row r="129" ht="13.5" spans="1:43">
      <c r="A129" s="38"/>
      <c r="B129" s="39" t="s">
        <v>3848</v>
      </c>
      <c r="C129" s="41" t="s">
        <v>67</v>
      </c>
      <c r="D129" s="41" t="s">
        <v>67</v>
      </c>
      <c r="E129" s="41" t="s">
        <v>67</v>
      </c>
      <c r="F129" s="41" t="s">
        <v>67</v>
      </c>
      <c r="G129" s="41" t="s">
        <v>67</v>
      </c>
      <c r="H129" s="41" t="s">
        <v>67</v>
      </c>
      <c r="I129" s="41" t="s">
        <v>67</v>
      </c>
      <c r="J129" s="41" t="s">
        <v>67</v>
      </c>
      <c r="K129" s="41" t="s">
        <v>67</v>
      </c>
      <c r="L129" s="41" t="s">
        <v>67</v>
      </c>
      <c r="M129" s="41" t="s">
        <v>67</v>
      </c>
      <c r="N129" s="41" t="s">
        <v>67</v>
      </c>
      <c r="O129" s="41" t="s">
        <v>67</v>
      </c>
      <c r="P129" s="41" t="s">
        <v>67</v>
      </c>
      <c r="Q129" s="41" t="s">
        <v>67</v>
      </c>
      <c r="R129" s="41" t="s">
        <v>67</v>
      </c>
      <c r="S129" s="41" t="s">
        <v>67</v>
      </c>
      <c r="T129" s="41" t="s">
        <v>67</v>
      </c>
      <c r="U129" s="41" t="s">
        <v>2414</v>
      </c>
      <c r="V129" s="41" t="s">
        <v>2426</v>
      </c>
      <c r="W129" s="41" t="s">
        <v>2426</v>
      </c>
      <c r="X129" s="41" t="s">
        <v>67</v>
      </c>
      <c r="Y129" s="41" t="s">
        <v>67</v>
      </c>
      <c r="Z129" s="41" t="s">
        <v>67</v>
      </c>
      <c r="AA129" s="41" t="s">
        <v>67</v>
      </c>
      <c r="AB129" s="41" t="s">
        <v>67</v>
      </c>
      <c r="AC129" s="41" t="s">
        <v>67</v>
      </c>
      <c r="AD129" s="41" t="s">
        <v>67</v>
      </c>
      <c r="AE129" s="41" t="s">
        <v>67</v>
      </c>
      <c r="AF129" s="41" t="s">
        <v>67</v>
      </c>
      <c r="AG129" s="41" t="s">
        <v>67</v>
      </c>
      <c r="AH129" s="41" t="s">
        <v>67</v>
      </c>
      <c r="AI129" s="41" t="s">
        <v>67</v>
      </c>
      <c r="AJ129" s="41" t="s">
        <v>67</v>
      </c>
      <c r="AK129" s="41" t="s">
        <v>67</v>
      </c>
      <c r="AL129" s="41" t="s">
        <v>67</v>
      </c>
      <c r="AM129" s="41" t="s">
        <v>67</v>
      </c>
      <c r="AN129" s="41" t="s">
        <v>67</v>
      </c>
      <c r="AO129" s="41" t="s">
        <v>67</v>
      </c>
      <c r="AP129" s="41" t="s">
        <v>67</v>
      </c>
      <c r="AQ129" s="41" t="s">
        <v>67</v>
      </c>
    </row>
    <row r="130" ht="13.5" spans="1:43">
      <c r="A130" s="38"/>
      <c r="B130" s="39" t="s">
        <v>3849</v>
      </c>
      <c r="C130" s="41" t="s">
        <v>67</v>
      </c>
      <c r="D130" s="41" t="s">
        <v>67</v>
      </c>
      <c r="E130" s="41" t="s">
        <v>67</v>
      </c>
      <c r="F130" s="41" t="s">
        <v>67</v>
      </c>
      <c r="G130" s="41" t="s">
        <v>67</v>
      </c>
      <c r="H130" s="41" t="s">
        <v>67</v>
      </c>
      <c r="I130" s="41" t="s">
        <v>67</v>
      </c>
      <c r="J130" s="41" t="s">
        <v>67</v>
      </c>
      <c r="K130" s="41" t="s">
        <v>67</v>
      </c>
      <c r="L130" s="41" t="s">
        <v>67</v>
      </c>
      <c r="M130" s="41" t="s">
        <v>67</v>
      </c>
      <c r="N130" s="41" t="s">
        <v>67</v>
      </c>
      <c r="O130" s="41" t="s">
        <v>67</v>
      </c>
      <c r="P130" s="41" t="s">
        <v>67</v>
      </c>
      <c r="Q130" s="41" t="s">
        <v>67</v>
      </c>
      <c r="R130" s="41" t="s">
        <v>67</v>
      </c>
      <c r="S130" s="41" t="s">
        <v>67</v>
      </c>
      <c r="T130" s="41" t="s">
        <v>67</v>
      </c>
      <c r="U130" s="41" t="s">
        <v>67</v>
      </c>
      <c r="V130" s="41" t="s">
        <v>67</v>
      </c>
      <c r="W130" s="41" t="s">
        <v>67</v>
      </c>
      <c r="X130" s="41" t="s">
        <v>67</v>
      </c>
      <c r="Y130" s="41" t="s">
        <v>67</v>
      </c>
      <c r="Z130" s="41" t="s">
        <v>67</v>
      </c>
      <c r="AA130" s="41" t="s">
        <v>67</v>
      </c>
      <c r="AB130" s="41" t="s">
        <v>67</v>
      </c>
      <c r="AC130" s="41" t="s">
        <v>67</v>
      </c>
      <c r="AD130" s="41" t="s">
        <v>67</v>
      </c>
      <c r="AE130" s="41" t="s">
        <v>67</v>
      </c>
      <c r="AF130" s="41" t="s">
        <v>67</v>
      </c>
      <c r="AG130" s="41" t="s">
        <v>67</v>
      </c>
      <c r="AH130" s="41" t="s">
        <v>67</v>
      </c>
      <c r="AI130" s="41" t="s">
        <v>67</v>
      </c>
      <c r="AJ130" s="41" t="s">
        <v>67</v>
      </c>
      <c r="AK130" s="41" t="s">
        <v>67</v>
      </c>
      <c r="AL130" s="41" t="s">
        <v>67</v>
      </c>
      <c r="AM130" s="41" t="s">
        <v>67</v>
      </c>
      <c r="AN130" s="41" t="s">
        <v>67</v>
      </c>
      <c r="AO130" s="41" t="s">
        <v>67</v>
      </c>
      <c r="AP130" s="41" t="s">
        <v>67</v>
      </c>
      <c r="AQ130" s="41" t="s">
        <v>67</v>
      </c>
    </row>
    <row r="131" ht="13.5" spans="1:43">
      <c r="A131" s="38"/>
      <c r="B131" s="39" t="s">
        <v>3850</v>
      </c>
      <c r="C131" s="41" t="s">
        <v>67</v>
      </c>
      <c r="D131" s="41" t="s">
        <v>67</v>
      </c>
      <c r="E131" s="41" t="s">
        <v>67</v>
      </c>
      <c r="F131" s="41" t="s">
        <v>67</v>
      </c>
      <c r="G131" s="41" t="s">
        <v>67</v>
      </c>
      <c r="H131" s="41" t="s">
        <v>67</v>
      </c>
      <c r="I131" s="41" t="s">
        <v>67</v>
      </c>
      <c r="J131" s="41" t="s">
        <v>67</v>
      </c>
      <c r="K131" s="41" t="s">
        <v>67</v>
      </c>
      <c r="L131" s="41" t="s">
        <v>67</v>
      </c>
      <c r="M131" s="41" t="s">
        <v>67</v>
      </c>
      <c r="N131" s="41" t="s">
        <v>67</v>
      </c>
      <c r="O131" s="41" t="s">
        <v>67</v>
      </c>
      <c r="P131" s="41" t="s">
        <v>67</v>
      </c>
      <c r="Q131" s="41" t="s">
        <v>67</v>
      </c>
      <c r="R131" s="41" t="s">
        <v>67</v>
      </c>
      <c r="S131" s="41" t="s">
        <v>67</v>
      </c>
      <c r="T131" s="41" t="s">
        <v>67</v>
      </c>
      <c r="U131" s="41" t="s">
        <v>67</v>
      </c>
      <c r="V131" s="41" t="s">
        <v>67</v>
      </c>
      <c r="W131" s="41" t="s">
        <v>67</v>
      </c>
      <c r="X131" s="41" t="s">
        <v>67</v>
      </c>
      <c r="Y131" s="41" t="s">
        <v>67</v>
      </c>
      <c r="Z131" s="41" t="s">
        <v>67</v>
      </c>
      <c r="AA131" s="41" t="s">
        <v>67</v>
      </c>
      <c r="AB131" s="41" t="s">
        <v>67</v>
      </c>
      <c r="AC131" s="41" t="s">
        <v>67</v>
      </c>
      <c r="AD131" s="41" t="s">
        <v>67</v>
      </c>
      <c r="AE131" s="41" t="s">
        <v>67</v>
      </c>
      <c r="AF131" s="41" t="s">
        <v>67</v>
      </c>
      <c r="AG131" s="41" t="s">
        <v>67</v>
      </c>
      <c r="AH131" s="41" t="s">
        <v>67</v>
      </c>
      <c r="AI131" s="41" t="s">
        <v>67</v>
      </c>
      <c r="AJ131" s="41" t="s">
        <v>67</v>
      </c>
      <c r="AK131" s="41" t="s">
        <v>67</v>
      </c>
      <c r="AL131" s="41" t="s">
        <v>67</v>
      </c>
      <c r="AM131" s="41" t="s">
        <v>67</v>
      </c>
      <c r="AN131" s="41" t="s">
        <v>67</v>
      </c>
      <c r="AO131" s="41" t="s">
        <v>67</v>
      </c>
      <c r="AP131" s="41" t="s">
        <v>67</v>
      </c>
      <c r="AQ131" s="41" t="s">
        <v>67</v>
      </c>
    </row>
    <row r="132" ht="13.5" spans="1:43">
      <c r="A132" s="38"/>
      <c r="B132" s="39" t="s">
        <v>3851</v>
      </c>
      <c r="C132" s="41" t="s">
        <v>67</v>
      </c>
      <c r="D132" s="41" t="s">
        <v>67</v>
      </c>
      <c r="E132" s="41" t="s">
        <v>67</v>
      </c>
      <c r="F132" s="41" t="s">
        <v>67</v>
      </c>
      <c r="G132" s="41" t="s">
        <v>67</v>
      </c>
      <c r="H132" s="41" t="s">
        <v>67</v>
      </c>
      <c r="I132" s="41" t="s">
        <v>67</v>
      </c>
      <c r="J132" s="41" t="s">
        <v>67</v>
      </c>
      <c r="K132" s="41" t="s">
        <v>67</v>
      </c>
      <c r="L132" s="41" t="s">
        <v>67</v>
      </c>
      <c r="M132" s="41" t="s">
        <v>67</v>
      </c>
      <c r="N132" s="41" t="s">
        <v>67</v>
      </c>
      <c r="O132" s="41" t="s">
        <v>67</v>
      </c>
      <c r="P132" s="41" t="s">
        <v>67</v>
      </c>
      <c r="Q132" s="41" t="s">
        <v>67</v>
      </c>
      <c r="R132" s="41" t="s">
        <v>67</v>
      </c>
      <c r="S132" s="41" t="s">
        <v>67</v>
      </c>
      <c r="T132" s="41" t="s">
        <v>67</v>
      </c>
      <c r="U132" s="41" t="s">
        <v>67</v>
      </c>
      <c r="V132" s="41" t="s">
        <v>67</v>
      </c>
      <c r="W132" s="41" t="s">
        <v>67</v>
      </c>
      <c r="X132" s="41" t="s">
        <v>67</v>
      </c>
      <c r="Y132" s="41" t="s">
        <v>67</v>
      </c>
      <c r="Z132" s="41" t="s">
        <v>67</v>
      </c>
      <c r="AA132" s="41" t="s">
        <v>67</v>
      </c>
      <c r="AB132" s="41" t="s">
        <v>67</v>
      </c>
      <c r="AC132" s="41" t="s">
        <v>67</v>
      </c>
      <c r="AD132" s="41" t="s">
        <v>67</v>
      </c>
      <c r="AE132" s="41" t="s">
        <v>67</v>
      </c>
      <c r="AF132" s="41" t="s">
        <v>67</v>
      </c>
      <c r="AG132" s="41" t="s">
        <v>67</v>
      </c>
      <c r="AH132" s="41" t="s">
        <v>67</v>
      </c>
      <c r="AI132" s="41" t="s">
        <v>67</v>
      </c>
      <c r="AJ132" s="41" t="s">
        <v>67</v>
      </c>
      <c r="AK132" s="41" t="s">
        <v>67</v>
      </c>
      <c r="AL132" s="41" t="s">
        <v>67</v>
      </c>
      <c r="AM132" s="41" t="s">
        <v>67</v>
      </c>
      <c r="AN132" s="41" t="s">
        <v>67</v>
      </c>
      <c r="AO132" s="41" t="s">
        <v>67</v>
      </c>
      <c r="AP132" s="41" t="s">
        <v>67</v>
      </c>
      <c r="AQ132" s="41" t="s">
        <v>67</v>
      </c>
    </row>
    <row r="133" ht="13.5" spans="1:43">
      <c r="A133" s="38"/>
      <c r="B133" s="39" t="s">
        <v>3852</v>
      </c>
      <c r="C133" s="41" t="s">
        <v>3853</v>
      </c>
      <c r="D133" s="41" t="s">
        <v>3854</v>
      </c>
      <c r="E133" s="41" t="s">
        <v>3855</v>
      </c>
      <c r="F133" s="41" t="s">
        <v>2427</v>
      </c>
      <c r="G133" s="41" t="s">
        <v>3856</v>
      </c>
      <c r="H133" s="41" t="s">
        <v>3857</v>
      </c>
      <c r="I133" s="41" t="s">
        <v>2427</v>
      </c>
      <c r="J133" s="41" t="s">
        <v>2427</v>
      </c>
      <c r="K133" s="41" t="s">
        <v>2427</v>
      </c>
      <c r="L133" s="41" t="s">
        <v>3858</v>
      </c>
      <c r="M133" s="41" t="s">
        <v>2427</v>
      </c>
      <c r="N133" s="41" t="s">
        <v>2427</v>
      </c>
      <c r="O133" s="41" t="s">
        <v>2427</v>
      </c>
      <c r="P133" s="41" t="s">
        <v>2427</v>
      </c>
      <c r="Q133" s="41" t="s">
        <v>2427</v>
      </c>
      <c r="R133" s="41" t="s">
        <v>2427</v>
      </c>
      <c r="S133" s="41" t="s">
        <v>3859</v>
      </c>
      <c r="T133" s="41" t="s">
        <v>3860</v>
      </c>
      <c r="U133" s="41" t="s">
        <v>3861</v>
      </c>
      <c r="V133" s="41" t="s">
        <v>3862</v>
      </c>
      <c r="W133" s="41" t="s">
        <v>67</v>
      </c>
      <c r="X133" s="41" t="s">
        <v>67</v>
      </c>
      <c r="Y133" s="41" t="s">
        <v>67</v>
      </c>
      <c r="Z133" s="41" t="s">
        <v>67</v>
      </c>
      <c r="AA133" s="41" t="s">
        <v>67</v>
      </c>
      <c r="AB133" s="41" t="s">
        <v>67</v>
      </c>
      <c r="AC133" s="41" t="s">
        <v>67</v>
      </c>
      <c r="AD133" s="41" t="s">
        <v>67</v>
      </c>
      <c r="AE133" s="41" t="s">
        <v>67</v>
      </c>
      <c r="AF133" s="41" t="s">
        <v>67</v>
      </c>
      <c r="AG133" s="41" t="s">
        <v>67</v>
      </c>
      <c r="AH133" s="41" t="s">
        <v>67</v>
      </c>
      <c r="AI133" s="41" t="s">
        <v>67</v>
      </c>
      <c r="AJ133" s="41" t="s">
        <v>67</v>
      </c>
      <c r="AK133" s="41" t="s">
        <v>67</v>
      </c>
      <c r="AL133" s="41" t="s">
        <v>67</v>
      </c>
      <c r="AM133" s="41" t="s">
        <v>67</v>
      </c>
      <c r="AN133" s="41" t="s">
        <v>67</v>
      </c>
      <c r="AO133" s="41" t="s">
        <v>67</v>
      </c>
      <c r="AP133" s="41" t="s">
        <v>67</v>
      </c>
      <c r="AQ133" s="41" t="s">
        <v>67</v>
      </c>
    </row>
    <row r="134" ht="13.5" spans="1:43">
      <c r="A134" s="38"/>
      <c r="B134" s="39" t="s">
        <v>3863</v>
      </c>
      <c r="C134" s="41" t="s">
        <v>3864</v>
      </c>
      <c r="D134" s="41" t="s">
        <v>3865</v>
      </c>
      <c r="E134" s="41" t="s">
        <v>67</v>
      </c>
      <c r="F134" s="41" t="s">
        <v>67</v>
      </c>
      <c r="G134" s="41" t="s">
        <v>67</v>
      </c>
      <c r="H134" s="41" t="s">
        <v>67</v>
      </c>
      <c r="I134" s="41" t="s">
        <v>67</v>
      </c>
      <c r="J134" s="41" t="s">
        <v>67</v>
      </c>
      <c r="K134" s="41" t="s">
        <v>67</v>
      </c>
      <c r="L134" s="41" t="s">
        <v>67</v>
      </c>
      <c r="M134" s="41" t="s">
        <v>67</v>
      </c>
      <c r="N134" s="41" t="s">
        <v>67</v>
      </c>
      <c r="O134" s="41" t="s">
        <v>67</v>
      </c>
      <c r="P134" s="41" t="s">
        <v>67</v>
      </c>
      <c r="Q134" s="41" t="s">
        <v>67</v>
      </c>
      <c r="R134" s="41" t="s">
        <v>67</v>
      </c>
      <c r="S134" s="41" t="s">
        <v>67</v>
      </c>
      <c r="T134" s="41" t="s">
        <v>67</v>
      </c>
      <c r="U134" s="41" t="s">
        <v>67</v>
      </c>
      <c r="V134" s="41" t="s">
        <v>67</v>
      </c>
      <c r="W134" s="41" t="s">
        <v>67</v>
      </c>
      <c r="X134" s="41" t="s">
        <v>67</v>
      </c>
      <c r="Y134" s="41" t="s">
        <v>67</v>
      </c>
      <c r="Z134" s="41" t="s">
        <v>67</v>
      </c>
      <c r="AA134" s="41" t="s">
        <v>67</v>
      </c>
      <c r="AB134" s="41" t="s">
        <v>67</v>
      </c>
      <c r="AC134" s="41" t="s">
        <v>67</v>
      </c>
      <c r="AD134" s="41" t="s">
        <v>67</v>
      </c>
      <c r="AE134" s="41" t="s">
        <v>67</v>
      </c>
      <c r="AF134" s="41" t="s">
        <v>67</v>
      </c>
      <c r="AG134" s="41" t="s">
        <v>67</v>
      </c>
      <c r="AH134" s="41" t="s">
        <v>67</v>
      </c>
      <c r="AI134" s="41" t="s">
        <v>67</v>
      </c>
      <c r="AJ134" s="41" t="s">
        <v>67</v>
      </c>
      <c r="AK134" s="41" t="s">
        <v>67</v>
      </c>
      <c r="AL134" s="41" t="s">
        <v>67</v>
      </c>
      <c r="AM134" s="41" t="s">
        <v>67</v>
      </c>
      <c r="AN134" s="41" t="s">
        <v>67</v>
      </c>
      <c r="AO134" s="41" t="s">
        <v>67</v>
      </c>
      <c r="AP134" s="41" t="s">
        <v>67</v>
      </c>
      <c r="AQ134" s="41" t="s">
        <v>67</v>
      </c>
    </row>
    <row r="135" ht="13.5" spans="1:43">
      <c r="A135" s="38"/>
      <c r="B135" s="39" t="s">
        <v>3866</v>
      </c>
      <c r="C135" s="41" t="s">
        <v>3867</v>
      </c>
      <c r="D135" s="41" t="s">
        <v>3868</v>
      </c>
      <c r="E135" s="41" t="s">
        <v>3701</v>
      </c>
      <c r="F135" s="41" t="s">
        <v>3869</v>
      </c>
      <c r="G135" s="41" t="s">
        <v>3870</v>
      </c>
      <c r="H135" s="41" t="s">
        <v>3871</v>
      </c>
      <c r="I135" s="41" t="s">
        <v>3872</v>
      </c>
      <c r="J135" s="41" t="s">
        <v>3873</v>
      </c>
      <c r="K135" s="41" t="s">
        <v>3874</v>
      </c>
      <c r="L135" s="41" t="s">
        <v>3875</v>
      </c>
      <c r="M135" s="41" t="s">
        <v>3876</v>
      </c>
      <c r="N135" s="41" t="s">
        <v>3877</v>
      </c>
      <c r="O135" s="41" t="s">
        <v>3878</v>
      </c>
      <c r="P135" s="41" t="s">
        <v>3879</v>
      </c>
      <c r="Q135" s="41" t="s">
        <v>3880</v>
      </c>
      <c r="R135" s="41" t="s">
        <v>3881</v>
      </c>
      <c r="S135" s="41" t="s">
        <v>3882</v>
      </c>
      <c r="T135" s="41" t="s">
        <v>3883</v>
      </c>
      <c r="U135" s="41" t="s">
        <v>3313</v>
      </c>
      <c r="V135" s="41" t="s">
        <v>3884</v>
      </c>
      <c r="W135" s="41" t="s">
        <v>3311</v>
      </c>
      <c r="X135" s="41" t="s">
        <v>3885</v>
      </c>
      <c r="Y135" s="41" t="s">
        <v>3886</v>
      </c>
      <c r="Z135" s="41" t="s">
        <v>2488</v>
      </c>
      <c r="AA135" s="41" t="s">
        <v>3887</v>
      </c>
      <c r="AB135" s="41" t="s">
        <v>3318</v>
      </c>
      <c r="AC135" s="41" t="s">
        <v>3888</v>
      </c>
      <c r="AD135" s="41" t="s">
        <v>3889</v>
      </c>
      <c r="AE135" s="41" t="s">
        <v>3890</v>
      </c>
      <c r="AF135" s="41" t="s">
        <v>3747</v>
      </c>
      <c r="AG135" s="41" t="s">
        <v>3891</v>
      </c>
      <c r="AH135" s="41" t="s">
        <v>3892</v>
      </c>
      <c r="AI135" s="41" t="s">
        <v>3893</v>
      </c>
      <c r="AJ135" s="41" t="s">
        <v>3894</v>
      </c>
      <c r="AK135" s="41" t="s">
        <v>67</v>
      </c>
      <c r="AL135" s="41" t="s">
        <v>67</v>
      </c>
      <c r="AM135" s="41" t="s">
        <v>67</v>
      </c>
      <c r="AN135" s="41" t="s">
        <v>67</v>
      </c>
      <c r="AO135" s="41" t="s">
        <v>67</v>
      </c>
      <c r="AP135" s="41" t="s">
        <v>67</v>
      </c>
      <c r="AQ135" s="41" t="s">
        <v>67</v>
      </c>
    </row>
    <row r="136" ht="13.5" spans="1:43">
      <c r="A136" s="38"/>
      <c r="B136" s="39" t="s">
        <v>3895</v>
      </c>
      <c r="C136" s="41" t="s">
        <v>3896</v>
      </c>
      <c r="D136" s="41" t="s">
        <v>3897</v>
      </c>
      <c r="E136" s="41" t="s">
        <v>3898</v>
      </c>
      <c r="F136" s="41" t="s">
        <v>3899</v>
      </c>
      <c r="G136" s="41" t="s">
        <v>3900</v>
      </c>
      <c r="H136" s="41" t="s">
        <v>3901</v>
      </c>
      <c r="I136" s="41" t="s">
        <v>3902</v>
      </c>
      <c r="J136" s="41" t="s">
        <v>3903</v>
      </c>
      <c r="K136" s="41" t="s">
        <v>3904</v>
      </c>
      <c r="L136" s="41" t="s">
        <v>3905</v>
      </c>
      <c r="M136" s="41" t="s">
        <v>3906</v>
      </c>
      <c r="N136" s="41" t="s">
        <v>3907</v>
      </c>
      <c r="O136" s="41" t="s">
        <v>3462</v>
      </c>
      <c r="P136" s="41" t="s">
        <v>3908</v>
      </c>
      <c r="Q136" s="41" t="s">
        <v>3909</v>
      </c>
      <c r="R136" s="41" t="s">
        <v>3910</v>
      </c>
      <c r="S136" s="41" t="s">
        <v>3911</v>
      </c>
      <c r="T136" s="41" t="s">
        <v>3912</v>
      </c>
      <c r="U136" s="41" t="s">
        <v>3913</v>
      </c>
      <c r="V136" s="41" t="s">
        <v>3914</v>
      </c>
      <c r="W136" s="41" t="s">
        <v>3915</v>
      </c>
      <c r="X136" s="41" t="s">
        <v>67</v>
      </c>
      <c r="Y136" s="41" t="s">
        <v>67</v>
      </c>
      <c r="Z136" s="41" t="s">
        <v>67</v>
      </c>
      <c r="AA136" s="41" t="s">
        <v>67</v>
      </c>
      <c r="AB136" s="41" t="s">
        <v>67</v>
      </c>
      <c r="AC136" s="41" t="s">
        <v>67</v>
      </c>
      <c r="AD136" s="41" t="s">
        <v>67</v>
      </c>
      <c r="AE136" s="41" t="s">
        <v>67</v>
      </c>
      <c r="AF136" s="41" t="s">
        <v>67</v>
      </c>
      <c r="AG136" s="41" t="s">
        <v>67</v>
      </c>
      <c r="AH136" s="41" t="s">
        <v>67</v>
      </c>
      <c r="AI136" s="41" t="s">
        <v>67</v>
      </c>
      <c r="AJ136" s="41" t="s">
        <v>67</v>
      </c>
      <c r="AK136" s="41" t="s">
        <v>67</v>
      </c>
      <c r="AL136" s="41" t="s">
        <v>67</v>
      </c>
      <c r="AM136" s="41" t="s">
        <v>67</v>
      </c>
      <c r="AN136" s="41" t="s">
        <v>67</v>
      </c>
      <c r="AO136" s="41" t="s">
        <v>67</v>
      </c>
      <c r="AP136" s="41" t="s">
        <v>67</v>
      </c>
      <c r="AQ136" s="41" t="s">
        <v>67</v>
      </c>
    </row>
    <row r="137" ht="13.5" spans="1:43">
      <c r="A137" s="38"/>
      <c r="B137" s="39" t="s">
        <v>3916</v>
      </c>
      <c r="C137" s="41" t="s">
        <v>3917</v>
      </c>
      <c r="D137" s="41" t="s">
        <v>3918</v>
      </c>
      <c r="E137" s="41" t="s">
        <v>3919</v>
      </c>
      <c r="F137" s="41" t="s">
        <v>3746</v>
      </c>
      <c r="G137" s="41" t="s">
        <v>3920</v>
      </c>
      <c r="H137" s="41" t="s">
        <v>3921</v>
      </c>
      <c r="I137" s="41" t="s">
        <v>3922</v>
      </c>
      <c r="J137" s="41" t="s">
        <v>3923</v>
      </c>
      <c r="K137" s="41" t="s">
        <v>3924</v>
      </c>
      <c r="L137" s="41" t="s">
        <v>3925</v>
      </c>
      <c r="M137" s="41" t="s">
        <v>3926</v>
      </c>
      <c r="N137" s="41" t="s">
        <v>3927</v>
      </c>
      <c r="O137" s="41" t="s">
        <v>3928</v>
      </c>
      <c r="P137" s="41" t="s">
        <v>3929</v>
      </c>
      <c r="Q137" s="41" t="s">
        <v>3864</v>
      </c>
      <c r="R137" s="41" t="s">
        <v>3817</v>
      </c>
      <c r="S137" s="41" t="s">
        <v>3930</v>
      </c>
      <c r="T137" s="41" t="s">
        <v>3931</v>
      </c>
      <c r="U137" s="41" t="s">
        <v>3361</v>
      </c>
      <c r="V137" s="41" t="s">
        <v>3930</v>
      </c>
      <c r="W137" s="41" t="s">
        <v>3932</v>
      </c>
      <c r="X137" s="41" t="s">
        <v>3861</v>
      </c>
      <c r="Y137" s="41" t="s">
        <v>3933</v>
      </c>
      <c r="Z137" s="41" t="s">
        <v>3934</v>
      </c>
      <c r="AA137" s="41" t="s">
        <v>3935</v>
      </c>
      <c r="AB137" s="41" t="s">
        <v>3936</v>
      </c>
      <c r="AC137" s="41" t="s">
        <v>3937</v>
      </c>
      <c r="AD137" s="41" t="s">
        <v>3938</v>
      </c>
      <c r="AE137" s="41" t="s">
        <v>3939</v>
      </c>
      <c r="AF137" s="41" t="s">
        <v>3939</v>
      </c>
      <c r="AG137" s="41" t="s">
        <v>3940</v>
      </c>
      <c r="AH137" s="41" t="s">
        <v>3941</v>
      </c>
      <c r="AI137" s="41" t="s">
        <v>3942</v>
      </c>
      <c r="AJ137" s="41" t="s">
        <v>3943</v>
      </c>
      <c r="AK137" s="41" t="s">
        <v>67</v>
      </c>
      <c r="AL137" s="41" t="s">
        <v>67</v>
      </c>
      <c r="AM137" s="41" t="s">
        <v>67</v>
      </c>
      <c r="AN137" s="41" t="s">
        <v>67</v>
      </c>
      <c r="AO137" s="41" t="s">
        <v>67</v>
      </c>
      <c r="AP137" s="41" t="s">
        <v>67</v>
      </c>
      <c r="AQ137" s="41" t="s">
        <v>67</v>
      </c>
    </row>
    <row r="138" ht="13.5" spans="1:43">
      <c r="A138" s="38"/>
      <c r="B138" s="39" t="s">
        <v>3944</v>
      </c>
      <c r="C138" s="41" t="s">
        <v>67</v>
      </c>
      <c r="D138" s="41" t="s">
        <v>67</v>
      </c>
      <c r="E138" s="41" t="s">
        <v>67</v>
      </c>
      <c r="F138" s="41" t="s">
        <v>67</v>
      </c>
      <c r="G138" s="41" t="s">
        <v>67</v>
      </c>
      <c r="H138" s="41" t="s">
        <v>67</v>
      </c>
      <c r="I138" s="41" t="s">
        <v>67</v>
      </c>
      <c r="J138" s="41" t="s">
        <v>67</v>
      </c>
      <c r="K138" s="41" t="s">
        <v>67</v>
      </c>
      <c r="L138" s="41" t="s">
        <v>67</v>
      </c>
      <c r="M138" s="41" t="s">
        <v>67</v>
      </c>
      <c r="N138" s="41" t="s">
        <v>67</v>
      </c>
      <c r="O138" s="41" t="s">
        <v>67</v>
      </c>
      <c r="P138" s="41" t="s">
        <v>67</v>
      </c>
      <c r="Q138" s="41" t="s">
        <v>67</v>
      </c>
      <c r="R138" s="41" t="s">
        <v>67</v>
      </c>
      <c r="S138" s="41" t="s">
        <v>67</v>
      </c>
      <c r="T138" s="41" t="s">
        <v>67</v>
      </c>
      <c r="U138" s="41" t="s">
        <v>67</v>
      </c>
      <c r="V138" s="41" t="s">
        <v>67</v>
      </c>
      <c r="W138" s="41" t="s">
        <v>67</v>
      </c>
      <c r="X138" s="41" t="s">
        <v>67</v>
      </c>
      <c r="Y138" s="41" t="s">
        <v>67</v>
      </c>
      <c r="Z138" s="41" t="s">
        <v>67</v>
      </c>
      <c r="AA138" s="41" t="s">
        <v>67</v>
      </c>
      <c r="AB138" s="41" t="s">
        <v>67</v>
      </c>
      <c r="AC138" s="41" t="s">
        <v>67</v>
      </c>
      <c r="AD138" s="41" t="s">
        <v>67</v>
      </c>
      <c r="AE138" s="41" t="s">
        <v>67</v>
      </c>
      <c r="AF138" s="41" t="s">
        <v>67</v>
      </c>
      <c r="AG138" s="41" t="s">
        <v>67</v>
      </c>
      <c r="AH138" s="41" t="s">
        <v>67</v>
      </c>
      <c r="AI138" s="41" t="s">
        <v>67</v>
      </c>
      <c r="AJ138" s="41" t="s">
        <v>67</v>
      </c>
      <c r="AK138" s="41" t="s">
        <v>67</v>
      </c>
      <c r="AL138" s="41" t="s">
        <v>67</v>
      </c>
      <c r="AM138" s="41" t="s">
        <v>67</v>
      </c>
      <c r="AN138" s="41" t="s">
        <v>67</v>
      </c>
      <c r="AO138" s="41" t="s">
        <v>67</v>
      </c>
      <c r="AP138" s="41" t="s">
        <v>67</v>
      </c>
      <c r="AQ138" s="41" t="s">
        <v>67</v>
      </c>
    </row>
    <row r="139" ht="13.5" spans="1:43">
      <c r="A139" s="38"/>
      <c r="B139" s="39" t="s">
        <v>3945</v>
      </c>
      <c r="C139" s="41" t="s">
        <v>67</v>
      </c>
      <c r="D139" s="41" t="s">
        <v>67</v>
      </c>
      <c r="E139" s="41" t="s">
        <v>67</v>
      </c>
      <c r="F139" s="41" t="s">
        <v>67</v>
      </c>
      <c r="G139" s="41" t="s">
        <v>67</v>
      </c>
      <c r="H139" s="41" t="s">
        <v>67</v>
      </c>
      <c r="I139" s="41" t="s">
        <v>67</v>
      </c>
      <c r="J139" s="41" t="s">
        <v>67</v>
      </c>
      <c r="K139" s="41" t="s">
        <v>67</v>
      </c>
      <c r="L139" s="41" t="s">
        <v>67</v>
      </c>
      <c r="M139" s="41" t="s">
        <v>67</v>
      </c>
      <c r="N139" s="41" t="s">
        <v>67</v>
      </c>
      <c r="O139" s="41" t="s">
        <v>67</v>
      </c>
      <c r="P139" s="41" t="s">
        <v>67</v>
      </c>
      <c r="Q139" s="41" t="s">
        <v>67</v>
      </c>
      <c r="R139" s="41" t="s">
        <v>67</v>
      </c>
      <c r="S139" s="41" t="s">
        <v>67</v>
      </c>
      <c r="T139" s="41" t="s">
        <v>67</v>
      </c>
      <c r="U139" s="41" t="s">
        <v>67</v>
      </c>
      <c r="V139" s="41" t="s">
        <v>67</v>
      </c>
      <c r="W139" s="41" t="s">
        <v>67</v>
      </c>
      <c r="X139" s="41" t="s">
        <v>67</v>
      </c>
      <c r="Y139" s="41" t="s">
        <v>67</v>
      </c>
      <c r="Z139" s="41" t="s">
        <v>67</v>
      </c>
      <c r="AA139" s="41" t="s">
        <v>67</v>
      </c>
      <c r="AB139" s="41" t="s">
        <v>67</v>
      </c>
      <c r="AC139" s="41" t="s">
        <v>67</v>
      </c>
      <c r="AD139" s="41" t="s">
        <v>67</v>
      </c>
      <c r="AE139" s="41" t="s">
        <v>67</v>
      </c>
      <c r="AF139" s="41" t="s">
        <v>67</v>
      </c>
      <c r="AG139" s="41" t="s">
        <v>67</v>
      </c>
      <c r="AH139" s="41" t="s">
        <v>67</v>
      </c>
      <c r="AI139" s="41" t="s">
        <v>67</v>
      </c>
      <c r="AJ139" s="41" t="s">
        <v>67</v>
      </c>
      <c r="AK139" s="41" t="s">
        <v>67</v>
      </c>
      <c r="AL139" s="41" t="s">
        <v>67</v>
      </c>
      <c r="AM139" s="41" t="s">
        <v>67</v>
      </c>
      <c r="AN139" s="41" t="s">
        <v>67</v>
      </c>
      <c r="AO139" s="41" t="s">
        <v>67</v>
      </c>
      <c r="AP139" s="41" t="s">
        <v>67</v>
      </c>
      <c r="AQ139" s="41" t="s">
        <v>67</v>
      </c>
    </row>
    <row r="140" ht="13.5" spans="1:43">
      <c r="A140" s="38"/>
      <c r="B140" s="39" t="s">
        <v>3842</v>
      </c>
      <c r="C140" s="41" t="s">
        <v>67</v>
      </c>
      <c r="D140" s="41" t="s">
        <v>67</v>
      </c>
      <c r="E140" s="41" t="s">
        <v>67</v>
      </c>
      <c r="F140" s="41" t="s">
        <v>67</v>
      </c>
      <c r="G140" s="41" t="s">
        <v>67</v>
      </c>
      <c r="H140" s="41" t="s">
        <v>67</v>
      </c>
      <c r="I140" s="41" t="s">
        <v>67</v>
      </c>
      <c r="J140" s="41" t="s">
        <v>67</v>
      </c>
      <c r="K140" s="41" t="s">
        <v>67</v>
      </c>
      <c r="L140" s="41" t="s">
        <v>67</v>
      </c>
      <c r="M140" s="41" t="s">
        <v>67</v>
      </c>
      <c r="N140" s="41" t="s">
        <v>67</v>
      </c>
      <c r="O140" s="41" t="s">
        <v>67</v>
      </c>
      <c r="P140" s="41" t="s">
        <v>67</v>
      </c>
      <c r="Q140" s="41" t="s">
        <v>67</v>
      </c>
      <c r="R140" s="41" t="s">
        <v>67</v>
      </c>
      <c r="S140" s="41" t="s">
        <v>67</v>
      </c>
      <c r="T140" s="41" t="s">
        <v>67</v>
      </c>
      <c r="U140" s="41" t="s">
        <v>67</v>
      </c>
      <c r="V140" s="41" t="s">
        <v>67</v>
      </c>
      <c r="W140" s="41" t="s">
        <v>67</v>
      </c>
      <c r="X140" s="41" t="s">
        <v>67</v>
      </c>
      <c r="Y140" s="41" t="s">
        <v>67</v>
      </c>
      <c r="Z140" s="41" t="s">
        <v>67</v>
      </c>
      <c r="AA140" s="41" t="s">
        <v>67</v>
      </c>
      <c r="AB140" s="41" t="s">
        <v>67</v>
      </c>
      <c r="AC140" s="41" t="s">
        <v>67</v>
      </c>
      <c r="AD140" s="41" t="s">
        <v>67</v>
      </c>
      <c r="AE140" s="41" t="s">
        <v>67</v>
      </c>
      <c r="AF140" s="41" t="s">
        <v>67</v>
      </c>
      <c r="AG140" s="41" t="s">
        <v>67</v>
      </c>
      <c r="AH140" s="41" t="s">
        <v>67</v>
      </c>
      <c r="AI140" s="41" t="s">
        <v>67</v>
      </c>
      <c r="AJ140" s="41" t="s">
        <v>67</v>
      </c>
      <c r="AK140" s="41" t="s">
        <v>67</v>
      </c>
      <c r="AL140" s="41" t="s">
        <v>67</v>
      </c>
      <c r="AM140" s="41" t="s">
        <v>67</v>
      </c>
      <c r="AN140" s="41" t="s">
        <v>67</v>
      </c>
      <c r="AO140" s="41" t="s">
        <v>67</v>
      </c>
      <c r="AP140" s="41" t="s">
        <v>67</v>
      </c>
      <c r="AQ140" s="41" t="s">
        <v>67</v>
      </c>
    </row>
    <row r="141" ht="13.5" spans="1:43">
      <c r="A141" s="38"/>
      <c r="B141" s="39" t="s">
        <v>3946</v>
      </c>
      <c r="C141" s="41" t="s">
        <v>3947</v>
      </c>
      <c r="D141" s="41" t="s">
        <v>3947</v>
      </c>
      <c r="E141" s="41" t="s">
        <v>67</v>
      </c>
      <c r="F141" s="41" t="s">
        <v>67</v>
      </c>
      <c r="G141" s="41" t="s">
        <v>67</v>
      </c>
      <c r="H141" s="41" t="s">
        <v>67</v>
      </c>
      <c r="I141" s="41" t="s">
        <v>67</v>
      </c>
      <c r="J141" s="41" t="s">
        <v>67</v>
      </c>
      <c r="K141" s="41" t="s">
        <v>67</v>
      </c>
      <c r="L141" s="41" t="s">
        <v>67</v>
      </c>
      <c r="M141" s="41" t="s">
        <v>67</v>
      </c>
      <c r="N141" s="41" t="s">
        <v>67</v>
      </c>
      <c r="O141" s="41" t="s">
        <v>67</v>
      </c>
      <c r="P141" s="41" t="s">
        <v>67</v>
      </c>
      <c r="Q141" s="41" t="s">
        <v>67</v>
      </c>
      <c r="R141" s="41" t="s">
        <v>67</v>
      </c>
      <c r="S141" s="41" t="s">
        <v>67</v>
      </c>
      <c r="T141" s="41" t="s">
        <v>67</v>
      </c>
      <c r="U141" s="41" t="s">
        <v>67</v>
      </c>
      <c r="V141" s="41" t="s">
        <v>67</v>
      </c>
      <c r="W141" s="41" t="s">
        <v>67</v>
      </c>
      <c r="X141" s="41" t="s">
        <v>67</v>
      </c>
      <c r="Y141" s="41" t="s">
        <v>67</v>
      </c>
      <c r="Z141" s="41" t="s">
        <v>67</v>
      </c>
      <c r="AA141" s="41" t="s">
        <v>67</v>
      </c>
      <c r="AB141" s="41" t="s">
        <v>67</v>
      </c>
      <c r="AC141" s="41" t="s">
        <v>67</v>
      </c>
      <c r="AD141" s="41" t="s">
        <v>67</v>
      </c>
      <c r="AE141" s="41" t="s">
        <v>67</v>
      </c>
      <c r="AF141" s="41" t="s">
        <v>67</v>
      </c>
      <c r="AG141" s="41" t="s">
        <v>67</v>
      </c>
      <c r="AH141" s="41" t="s">
        <v>67</v>
      </c>
      <c r="AI141" s="41" t="s">
        <v>67</v>
      </c>
      <c r="AJ141" s="41" t="s">
        <v>67</v>
      </c>
      <c r="AK141" s="41" t="s">
        <v>67</v>
      </c>
      <c r="AL141" s="41" t="s">
        <v>67</v>
      </c>
      <c r="AM141" s="41" t="s">
        <v>67</v>
      </c>
      <c r="AN141" s="41" t="s">
        <v>67</v>
      </c>
      <c r="AO141" s="41" t="s">
        <v>67</v>
      </c>
      <c r="AP141" s="41" t="s">
        <v>67</v>
      </c>
      <c r="AQ141" s="41" t="s">
        <v>67</v>
      </c>
    </row>
    <row r="142" ht="13.5" spans="1:43">
      <c r="A142" s="38"/>
      <c r="B142" s="39" t="s">
        <v>3948</v>
      </c>
      <c r="C142" s="41" t="s">
        <v>2414</v>
      </c>
      <c r="D142" s="41" t="s">
        <v>2414</v>
      </c>
      <c r="E142" s="41" t="s">
        <v>2421</v>
      </c>
      <c r="F142" s="41" t="s">
        <v>2421</v>
      </c>
      <c r="G142" s="41" t="s">
        <v>2421</v>
      </c>
      <c r="H142" s="41" t="s">
        <v>2421</v>
      </c>
      <c r="I142" s="41" t="s">
        <v>2421</v>
      </c>
      <c r="J142" s="41" t="s">
        <v>2421</v>
      </c>
      <c r="K142" s="41" t="s">
        <v>2421</v>
      </c>
      <c r="L142" s="41" t="s">
        <v>2421</v>
      </c>
      <c r="M142" s="41" t="s">
        <v>2426</v>
      </c>
      <c r="N142" s="41" t="s">
        <v>2426</v>
      </c>
      <c r="O142" s="41" t="s">
        <v>2426</v>
      </c>
      <c r="P142" s="41" t="s">
        <v>2421</v>
      </c>
      <c r="Q142" s="41" t="s">
        <v>2414</v>
      </c>
      <c r="R142" s="41" t="s">
        <v>2414</v>
      </c>
      <c r="S142" s="41" t="s">
        <v>2429</v>
      </c>
      <c r="T142" s="41" t="s">
        <v>2429</v>
      </c>
      <c r="U142" s="41" t="s">
        <v>2426</v>
      </c>
      <c r="V142" s="41" t="s">
        <v>2425</v>
      </c>
      <c r="W142" s="41" t="s">
        <v>2425</v>
      </c>
      <c r="X142" s="41" t="s">
        <v>2429</v>
      </c>
      <c r="Y142" s="41" t="s">
        <v>2427</v>
      </c>
      <c r="Z142" s="41" t="s">
        <v>3949</v>
      </c>
      <c r="AA142" s="41" t="s">
        <v>3950</v>
      </c>
      <c r="AB142" s="41" t="s">
        <v>3951</v>
      </c>
      <c r="AC142" s="41" t="s">
        <v>3952</v>
      </c>
      <c r="AD142" s="41" t="s">
        <v>3953</v>
      </c>
      <c r="AE142" s="41" t="s">
        <v>3954</v>
      </c>
      <c r="AF142" s="41" t="s">
        <v>3955</v>
      </c>
      <c r="AG142" s="41" t="s">
        <v>3655</v>
      </c>
      <c r="AH142" s="41" t="s">
        <v>3956</v>
      </c>
      <c r="AI142" s="41" t="s">
        <v>3957</v>
      </c>
      <c r="AJ142" s="41" t="s">
        <v>3958</v>
      </c>
      <c r="AK142" s="41" t="s">
        <v>3959</v>
      </c>
      <c r="AL142" s="41" t="s">
        <v>3960</v>
      </c>
      <c r="AM142" s="41" t="s">
        <v>3961</v>
      </c>
      <c r="AN142" s="41" t="s">
        <v>3962</v>
      </c>
      <c r="AO142" s="41" t="s">
        <v>3963</v>
      </c>
      <c r="AP142" s="41" t="s">
        <v>3874</v>
      </c>
      <c r="AQ142" s="41" t="s">
        <v>3964</v>
      </c>
    </row>
    <row r="143" ht="15.5" spans="1:43">
      <c r="A143" s="38" t="s">
        <v>2647</v>
      </c>
      <c r="B143" s="39" t="s">
        <v>2647</v>
      </c>
      <c r="C143" s="41" t="s">
        <v>2648</v>
      </c>
      <c r="D143" s="41" t="s">
        <v>2649</v>
      </c>
      <c r="E143" s="41" t="s">
        <v>2648</v>
      </c>
      <c r="F143" s="41" t="s">
        <v>2650</v>
      </c>
      <c r="G143" s="41" t="s">
        <v>2596</v>
      </c>
      <c r="H143" s="41" t="s">
        <v>2651</v>
      </c>
      <c r="I143" s="41" t="s">
        <v>2652</v>
      </c>
      <c r="J143" s="41" t="s">
        <v>2651</v>
      </c>
      <c r="K143" s="41" t="s">
        <v>2653</v>
      </c>
      <c r="L143" s="41" t="s">
        <v>2597</v>
      </c>
      <c r="M143" s="41" t="s">
        <v>2654</v>
      </c>
      <c r="N143" s="41" t="s">
        <v>2599</v>
      </c>
      <c r="O143" s="41" t="s">
        <v>2599</v>
      </c>
      <c r="P143" s="41" t="s">
        <v>2599</v>
      </c>
      <c r="Q143" s="41" t="s">
        <v>2655</v>
      </c>
      <c r="R143" s="41" t="s">
        <v>2655</v>
      </c>
      <c r="S143" s="41" t="s">
        <v>2604</v>
      </c>
      <c r="T143" s="41" t="s">
        <v>2419</v>
      </c>
      <c r="U143" s="41" t="s">
        <v>2656</v>
      </c>
      <c r="V143" s="41" t="s">
        <v>2411</v>
      </c>
      <c r="W143" s="41" t="s">
        <v>2411</v>
      </c>
      <c r="X143" s="41" t="s">
        <v>2422</v>
      </c>
      <c r="Y143" s="41" t="s">
        <v>2416</v>
      </c>
      <c r="Z143" s="41" t="s">
        <v>2417</v>
      </c>
      <c r="AA143" s="41" t="s">
        <v>2417</v>
      </c>
      <c r="AB143" s="41" t="s">
        <v>2423</v>
      </c>
      <c r="AC143" s="41" t="s">
        <v>2416</v>
      </c>
      <c r="AD143" s="41" t="s">
        <v>2416</v>
      </c>
      <c r="AE143" s="41" t="s">
        <v>2416</v>
      </c>
      <c r="AF143" s="41" t="s">
        <v>2424</v>
      </c>
      <c r="AG143" s="41" t="s">
        <v>2412</v>
      </c>
      <c r="AH143" s="41" t="s">
        <v>2423</v>
      </c>
      <c r="AI143" s="41" t="s">
        <v>2424</v>
      </c>
      <c r="AJ143" s="41" t="s">
        <v>2424</v>
      </c>
      <c r="AK143" s="41" t="s">
        <v>2414</v>
      </c>
      <c r="AL143" s="41" t="s">
        <v>2414</v>
      </c>
      <c r="AM143" s="41" t="s">
        <v>2414</v>
      </c>
      <c r="AN143" s="41" t="s">
        <v>2414</v>
      </c>
      <c r="AO143" s="41" t="s">
        <v>2414</v>
      </c>
      <c r="AP143" s="41" t="s">
        <v>2421</v>
      </c>
      <c r="AQ143" s="41" t="s">
        <v>2421</v>
      </c>
    </row>
    <row r="144" ht="13.5" spans="1:43">
      <c r="A144" s="38" t="s">
        <v>3965</v>
      </c>
      <c r="B144" s="39" t="s">
        <v>3966</v>
      </c>
      <c r="C144" s="41" t="s">
        <v>67</v>
      </c>
      <c r="D144" s="41" t="s">
        <v>67</v>
      </c>
      <c r="E144" s="41" t="s">
        <v>67</v>
      </c>
      <c r="F144" s="41" t="s">
        <v>67</v>
      </c>
      <c r="G144" s="41" t="s">
        <v>67</v>
      </c>
      <c r="H144" s="41" t="s">
        <v>67</v>
      </c>
      <c r="I144" s="41" t="s">
        <v>67</v>
      </c>
      <c r="J144" s="41" t="s">
        <v>67</v>
      </c>
      <c r="K144" s="41" t="s">
        <v>2421</v>
      </c>
      <c r="L144" s="41" t="s">
        <v>2421</v>
      </c>
      <c r="M144" s="41" t="s">
        <v>2421</v>
      </c>
      <c r="N144" s="41" t="s">
        <v>2421</v>
      </c>
      <c r="O144" s="41" t="s">
        <v>2421</v>
      </c>
      <c r="P144" s="41" t="s">
        <v>2414</v>
      </c>
      <c r="Q144" s="41" t="s">
        <v>2414</v>
      </c>
      <c r="R144" s="41" t="s">
        <v>2414</v>
      </c>
      <c r="S144" s="41" t="s">
        <v>2414</v>
      </c>
      <c r="T144" s="41" t="s">
        <v>2414</v>
      </c>
      <c r="U144" s="41" t="s">
        <v>2414</v>
      </c>
      <c r="V144" s="41" t="s">
        <v>2414</v>
      </c>
      <c r="W144" s="41" t="s">
        <v>2414</v>
      </c>
      <c r="X144" s="41" t="s">
        <v>2414</v>
      </c>
      <c r="Y144" s="41" t="s">
        <v>2414</v>
      </c>
      <c r="Z144" s="41" t="s">
        <v>2414</v>
      </c>
      <c r="AA144" s="41" t="s">
        <v>2414</v>
      </c>
      <c r="AB144" s="41" t="s">
        <v>2414</v>
      </c>
      <c r="AC144" s="41" t="s">
        <v>2414</v>
      </c>
      <c r="AD144" s="41" t="s">
        <v>2414</v>
      </c>
      <c r="AE144" s="41" t="s">
        <v>2414</v>
      </c>
      <c r="AF144" s="41" t="s">
        <v>2414</v>
      </c>
      <c r="AG144" s="41" t="s">
        <v>2414</v>
      </c>
      <c r="AH144" s="41" t="s">
        <v>2429</v>
      </c>
      <c r="AI144" s="41" t="s">
        <v>2429</v>
      </c>
      <c r="AJ144" s="41" t="s">
        <v>2429</v>
      </c>
      <c r="AK144" s="41" t="s">
        <v>2429</v>
      </c>
      <c r="AL144" s="41" t="s">
        <v>2429</v>
      </c>
      <c r="AM144" s="41" t="s">
        <v>2429</v>
      </c>
      <c r="AN144" s="41" t="s">
        <v>2429</v>
      </c>
      <c r="AO144" s="41" t="s">
        <v>2429</v>
      </c>
      <c r="AP144" s="41" t="s">
        <v>2429</v>
      </c>
      <c r="AQ144" s="41" t="s">
        <v>2427</v>
      </c>
    </row>
    <row r="145" ht="13.5" spans="1:43">
      <c r="A145" s="38"/>
      <c r="B145" s="39" t="s">
        <v>3967</v>
      </c>
      <c r="C145" s="41" t="s">
        <v>67</v>
      </c>
      <c r="D145" s="41" t="s">
        <v>67</v>
      </c>
      <c r="E145" s="41" t="s">
        <v>67</v>
      </c>
      <c r="F145" s="41" t="s">
        <v>67</v>
      </c>
      <c r="G145" s="41" t="s">
        <v>67</v>
      </c>
      <c r="H145" s="41" t="s">
        <v>67</v>
      </c>
      <c r="I145" s="41" t="s">
        <v>67</v>
      </c>
      <c r="J145" s="41" t="s">
        <v>67</v>
      </c>
      <c r="K145" s="41" t="s">
        <v>67</v>
      </c>
      <c r="L145" s="41" t="s">
        <v>67</v>
      </c>
      <c r="M145" s="41" t="s">
        <v>67</v>
      </c>
      <c r="N145" s="41" t="s">
        <v>67</v>
      </c>
      <c r="O145" s="41" t="s">
        <v>67</v>
      </c>
      <c r="P145" s="41" t="s">
        <v>67</v>
      </c>
      <c r="Q145" s="41" t="s">
        <v>67</v>
      </c>
      <c r="R145" s="41" t="s">
        <v>67</v>
      </c>
      <c r="S145" s="41" t="s">
        <v>67</v>
      </c>
      <c r="T145" s="41" t="s">
        <v>67</v>
      </c>
      <c r="U145" s="41" t="s">
        <v>3968</v>
      </c>
      <c r="V145" s="41" t="s">
        <v>2427</v>
      </c>
      <c r="W145" s="41" t="s">
        <v>2427</v>
      </c>
      <c r="X145" s="41" t="s">
        <v>67</v>
      </c>
      <c r="Y145" s="41" t="s">
        <v>67</v>
      </c>
      <c r="Z145" s="41" t="s">
        <v>67</v>
      </c>
      <c r="AA145" s="41" t="s">
        <v>67</v>
      </c>
      <c r="AB145" s="41" t="s">
        <v>67</v>
      </c>
      <c r="AC145" s="41" t="s">
        <v>67</v>
      </c>
      <c r="AD145" s="41" t="s">
        <v>67</v>
      </c>
      <c r="AE145" s="41" t="s">
        <v>67</v>
      </c>
      <c r="AF145" s="41" t="s">
        <v>67</v>
      </c>
      <c r="AG145" s="41" t="s">
        <v>67</v>
      </c>
      <c r="AH145" s="41" t="s">
        <v>67</v>
      </c>
      <c r="AI145" s="41" t="s">
        <v>67</v>
      </c>
      <c r="AJ145" s="41" t="s">
        <v>67</v>
      </c>
      <c r="AK145" s="41" t="s">
        <v>67</v>
      </c>
      <c r="AL145" s="41" t="s">
        <v>67</v>
      </c>
      <c r="AM145" s="41" t="s">
        <v>67</v>
      </c>
      <c r="AN145" s="41" t="s">
        <v>67</v>
      </c>
      <c r="AO145" s="41" t="s">
        <v>67</v>
      </c>
      <c r="AP145" s="41" t="s">
        <v>67</v>
      </c>
      <c r="AQ145" s="41" t="s">
        <v>67</v>
      </c>
    </row>
    <row r="146" ht="13.5" spans="1:43">
      <c r="A146" s="38"/>
      <c r="B146" s="39" t="s">
        <v>3849</v>
      </c>
      <c r="C146" s="41" t="s">
        <v>67</v>
      </c>
      <c r="D146" s="41" t="s">
        <v>67</v>
      </c>
      <c r="E146" s="41" t="s">
        <v>67</v>
      </c>
      <c r="F146" s="41" t="s">
        <v>67</v>
      </c>
      <c r="G146" s="41" t="s">
        <v>67</v>
      </c>
      <c r="H146" s="41" t="s">
        <v>67</v>
      </c>
      <c r="I146" s="41" t="s">
        <v>67</v>
      </c>
      <c r="J146" s="41" t="s">
        <v>67</v>
      </c>
      <c r="K146" s="41" t="s">
        <v>67</v>
      </c>
      <c r="L146" s="41" t="s">
        <v>67</v>
      </c>
      <c r="M146" s="41" t="s">
        <v>67</v>
      </c>
      <c r="N146" s="41" t="s">
        <v>67</v>
      </c>
      <c r="O146" s="41" t="s">
        <v>67</v>
      </c>
      <c r="P146" s="41" t="s">
        <v>67</v>
      </c>
      <c r="Q146" s="41" t="s">
        <v>67</v>
      </c>
      <c r="R146" s="41" t="s">
        <v>67</v>
      </c>
      <c r="S146" s="41" t="s">
        <v>67</v>
      </c>
      <c r="T146" s="41" t="s">
        <v>67</v>
      </c>
      <c r="U146" s="41" t="s">
        <v>67</v>
      </c>
      <c r="V146" s="41" t="s">
        <v>67</v>
      </c>
      <c r="W146" s="41" t="s">
        <v>67</v>
      </c>
      <c r="X146" s="41" t="s">
        <v>67</v>
      </c>
      <c r="Y146" s="41" t="s">
        <v>67</v>
      </c>
      <c r="Z146" s="41" t="s">
        <v>67</v>
      </c>
      <c r="AA146" s="41" t="s">
        <v>67</v>
      </c>
      <c r="AB146" s="41" t="s">
        <v>67</v>
      </c>
      <c r="AC146" s="41" t="s">
        <v>67</v>
      </c>
      <c r="AD146" s="41" t="s">
        <v>67</v>
      </c>
      <c r="AE146" s="41" t="s">
        <v>67</v>
      </c>
      <c r="AF146" s="41" t="s">
        <v>67</v>
      </c>
      <c r="AG146" s="41" t="s">
        <v>67</v>
      </c>
      <c r="AH146" s="41" t="s">
        <v>67</v>
      </c>
      <c r="AI146" s="41" t="s">
        <v>67</v>
      </c>
      <c r="AJ146" s="41" t="s">
        <v>67</v>
      </c>
      <c r="AK146" s="41" t="s">
        <v>67</v>
      </c>
      <c r="AL146" s="41" t="s">
        <v>67</v>
      </c>
      <c r="AM146" s="41" t="s">
        <v>67</v>
      </c>
      <c r="AN146" s="41" t="s">
        <v>67</v>
      </c>
      <c r="AO146" s="41" t="s">
        <v>67</v>
      </c>
      <c r="AP146" s="41" t="s">
        <v>67</v>
      </c>
      <c r="AQ146" s="41" t="s">
        <v>67</v>
      </c>
    </row>
    <row r="147" ht="13.5" spans="1:43">
      <c r="A147" s="38"/>
      <c r="B147" s="39" t="s">
        <v>3850</v>
      </c>
      <c r="C147" s="41" t="s">
        <v>67</v>
      </c>
      <c r="D147" s="41" t="s">
        <v>67</v>
      </c>
      <c r="E147" s="41" t="s">
        <v>67</v>
      </c>
      <c r="F147" s="41" t="s">
        <v>67</v>
      </c>
      <c r="G147" s="41" t="s">
        <v>67</v>
      </c>
      <c r="H147" s="41" t="s">
        <v>67</v>
      </c>
      <c r="I147" s="41" t="s">
        <v>67</v>
      </c>
      <c r="J147" s="41" t="s">
        <v>67</v>
      </c>
      <c r="K147" s="41" t="s">
        <v>67</v>
      </c>
      <c r="L147" s="41" t="s">
        <v>67</v>
      </c>
      <c r="M147" s="41" t="s">
        <v>67</v>
      </c>
      <c r="N147" s="41" t="s">
        <v>67</v>
      </c>
      <c r="O147" s="41" t="s">
        <v>67</v>
      </c>
      <c r="P147" s="41" t="s">
        <v>67</v>
      </c>
      <c r="Q147" s="41" t="s">
        <v>67</v>
      </c>
      <c r="R147" s="41" t="s">
        <v>67</v>
      </c>
      <c r="S147" s="41" t="s">
        <v>67</v>
      </c>
      <c r="T147" s="41" t="s">
        <v>67</v>
      </c>
      <c r="U147" s="41" t="s">
        <v>67</v>
      </c>
      <c r="V147" s="41" t="s">
        <v>67</v>
      </c>
      <c r="W147" s="41" t="s">
        <v>67</v>
      </c>
      <c r="X147" s="41" t="s">
        <v>67</v>
      </c>
      <c r="Y147" s="41" t="s">
        <v>67</v>
      </c>
      <c r="Z147" s="41" t="s">
        <v>67</v>
      </c>
      <c r="AA147" s="41" t="s">
        <v>67</v>
      </c>
      <c r="AB147" s="41" t="s">
        <v>67</v>
      </c>
      <c r="AC147" s="41" t="s">
        <v>67</v>
      </c>
      <c r="AD147" s="41" t="s">
        <v>67</v>
      </c>
      <c r="AE147" s="41" t="s">
        <v>67</v>
      </c>
      <c r="AF147" s="41" t="s">
        <v>67</v>
      </c>
      <c r="AG147" s="41" t="s">
        <v>67</v>
      </c>
      <c r="AH147" s="41" t="s">
        <v>67</v>
      </c>
      <c r="AI147" s="41" t="s">
        <v>67</v>
      </c>
      <c r="AJ147" s="41" t="s">
        <v>67</v>
      </c>
      <c r="AK147" s="41" t="s">
        <v>67</v>
      </c>
      <c r="AL147" s="41" t="s">
        <v>67</v>
      </c>
      <c r="AM147" s="41" t="s">
        <v>67</v>
      </c>
      <c r="AN147" s="41" t="s">
        <v>67</v>
      </c>
      <c r="AO147" s="41" t="s">
        <v>67</v>
      </c>
      <c r="AP147" s="41" t="s">
        <v>67</v>
      </c>
      <c r="AQ147" s="41" t="s">
        <v>67</v>
      </c>
    </row>
    <row r="148" ht="13.5" spans="1:43">
      <c r="A148" s="38"/>
      <c r="B148" s="39" t="s">
        <v>3969</v>
      </c>
      <c r="C148" s="41" t="s">
        <v>2658</v>
      </c>
      <c r="D148" s="41" t="s">
        <v>2658</v>
      </c>
      <c r="E148" s="41" t="s">
        <v>2658</v>
      </c>
      <c r="F148" s="41" t="s">
        <v>2658</v>
      </c>
      <c r="G148" s="41" t="s">
        <v>2658</v>
      </c>
      <c r="H148" s="41" t="s">
        <v>2658</v>
      </c>
      <c r="I148" s="41" t="s">
        <v>2658</v>
      </c>
      <c r="J148" s="41" t="s">
        <v>2658</v>
      </c>
      <c r="K148" s="41" t="s">
        <v>2658</v>
      </c>
      <c r="L148" s="41" t="s">
        <v>2658</v>
      </c>
      <c r="M148" s="41" t="s">
        <v>2658</v>
      </c>
      <c r="N148" s="41" t="s">
        <v>2658</v>
      </c>
      <c r="O148" s="41" t="s">
        <v>2658</v>
      </c>
      <c r="P148" s="41" t="s">
        <v>2659</v>
      </c>
      <c r="Q148" s="41" t="s">
        <v>2422</v>
      </c>
      <c r="R148" s="41" t="s">
        <v>2422</v>
      </c>
      <c r="S148" s="41" t="s">
        <v>2422</v>
      </c>
      <c r="T148" s="41" t="s">
        <v>2422</v>
      </c>
      <c r="U148" s="41" t="s">
        <v>2423</v>
      </c>
      <c r="V148" s="41" t="s">
        <v>2424</v>
      </c>
      <c r="W148" s="41" t="s">
        <v>2424</v>
      </c>
      <c r="X148" s="41" t="s">
        <v>2424</v>
      </c>
      <c r="Y148" s="41" t="s">
        <v>2424</v>
      </c>
      <c r="Z148" s="41" t="s">
        <v>2424</v>
      </c>
      <c r="AA148" s="41" t="s">
        <v>2424</v>
      </c>
      <c r="AB148" s="41" t="s">
        <v>2424</v>
      </c>
      <c r="AC148" s="41" t="s">
        <v>2424</v>
      </c>
      <c r="AD148" s="41" t="s">
        <v>2424</v>
      </c>
      <c r="AE148" s="41" t="s">
        <v>2424</v>
      </c>
      <c r="AF148" s="41" t="s">
        <v>2424</v>
      </c>
      <c r="AG148" s="41" t="s">
        <v>2424</v>
      </c>
      <c r="AH148" s="41" t="s">
        <v>2418</v>
      </c>
      <c r="AI148" s="41" t="s">
        <v>2418</v>
      </c>
      <c r="AJ148" s="41" t="s">
        <v>2418</v>
      </c>
      <c r="AK148" s="41" t="s">
        <v>2429</v>
      </c>
      <c r="AL148" s="41" t="s">
        <v>2429</v>
      </c>
      <c r="AM148" s="41" t="s">
        <v>2429</v>
      </c>
      <c r="AN148" s="41" t="s">
        <v>2429</v>
      </c>
      <c r="AO148" s="41" t="s">
        <v>2429</v>
      </c>
      <c r="AP148" s="41" t="s">
        <v>2429</v>
      </c>
      <c r="AQ148" s="41" t="s">
        <v>2414</v>
      </c>
    </row>
    <row r="149" ht="13.5" spans="1:43">
      <c r="A149" s="38"/>
      <c r="B149" s="39" t="s">
        <v>3970</v>
      </c>
      <c r="C149" s="41" t="s">
        <v>3971</v>
      </c>
      <c r="D149" s="41" t="s">
        <v>3971</v>
      </c>
      <c r="E149" s="41" t="s">
        <v>3971</v>
      </c>
      <c r="F149" s="41" t="s">
        <v>3971</v>
      </c>
      <c r="G149" s="41" t="s">
        <v>3971</v>
      </c>
      <c r="H149" s="41" t="s">
        <v>3971</v>
      </c>
      <c r="I149" s="41" t="s">
        <v>3972</v>
      </c>
      <c r="J149" s="41" t="s">
        <v>3973</v>
      </c>
      <c r="K149" s="41" t="s">
        <v>3973</v>
      </c>
      <c r="L149" s="41" t="s">
        <v>3973</v>
      </c>
      <c r="M149" s="41" t="s">
        <v>3974</v>
      </c>
      <c r="N149" s="41" t="s">
        <v>3975</v>
      </c>
      <c r="O149" s="41" t="s">
        <v>3975</v>
      </c>
      <c r="P149" s="41" t="s">
        <v>3975</v>
      </c>
      <c r="Q149" s="41" t="s">
        <v>3975</v>
      </c>
      <c r="R149" s="41" t="s">
        <v>3976</v>
      </c>
      <c r="S149" s="41" t="s">
        <v>3976</v>
      </c>
      <c r="T149" s="41" t="s">
        <v>3976</v>
      </c>
      <c r="U149" s="41" t="s">
        <v>67</v>
      </c>
      <c r="V149" s="41" t="s">
        <v>67</v>
      </c>
      <c r="W149" s="41" t="s">
        <v>67</v>
      </c>
      <c r="X149" s="41" t="s">
        <v>67</v>
      </c>
      <c r="Y149" s="41" t="s">
        <v>3977</v>
      </c>
      <c r="Z149" s="41" t="s">
        <v>3978</v>
      </c>
      <c r="AA149" s="41" t="s">
        <v>3978</v>
      </c>
      <c r="AB149" s="41" t="s">
        <v>3978</v>
      </c>
      <c r="AC149" s="41" t="s">
        <v>3979</v>
      </c>
      <c r="AD149" s="41" t="s">
        <v>3980</v>
      </c>
      <c r="AE149" s="41" t="s">
        <v>3981</v>
      </c>
      <c r="AF149" s="41" t="s">
        <v>3981</v>
      </c>
      <c r="AG149" s="41" t="s">
        <v>3982</v>
      </c>
      <c r="AH149" s="41" t="s">
        <v>3983</v>
      </c>
      <c r="AI149" s="41" t="s">
        <v>3984</v>
      </c>
      <c r="AJ149" s="41" t="s">
        <v>3984</v>
      </c>
      <c r="AK149" s="41" t="s">
        <v>67</v>
      </c>
      <c r="AL149" s="41" t="s">
        <v>67</v>
      </c>
      <c r="AM149" s="41" t="s">
        <v>67</v>
      </c>
      <c r="AN149" s="41" t="s">
        <v>67</v>
      </c>
      <c r="AO149" s="41" t="s">
        <v>67</v>
      </c>
      <c r="AP149" s="41" t="s">
        <v>67</v>
      </c>
      <c r="AQ149" s="41" t="s">
        <v>67</v>
      </c>
    </row>
    <row r="150" ht="13.5" spans="1:43">
      <c r="A150" s="38"/>
      <c r="B150" s="39" t="s">
        <v>3985</v>
      </c>
      <c r="C150" s="41" t="s">
        <v>3986</v>
      </c>
      <c r="D150" s="41" t="s">
        <v>3986</v>
      </c>
      <c r="E150" s="41" t="s">
        <v>3987</v>
      </c>
      <c r="F150" s="41" t="s">
        <v>3987</v>
      </c>
      <c r="G150" s="41" t="s">
        <v>3987</v>
      </c>
      <c r="H150" s="41" t="s">
        <v>3987</v>
      </c>
      <c r="I150" s="41" t="s">
        <v>3988</v>
      </c>
      <c r="J150" s="41" t="s">
        <v>3988</v>
      </c>
      <c r="K150" s="41" t="s">
        <v>3988</v>
      </c>
      <c r="L150" s="41" t="s">
        <v>3988</v>
      </c>
      <c r="M150" s="41" t="s">
        <v>3989</v>
      </c>
      <c r="N150" s="41" t="s">
        <v>3989</v>
      </c>
      <c r="O150" s="41" t="s">
        <v>3989</v>
      </c>
      <c r="P150" s="41" t="s">
        <v>3989</v>
      </c>
      <c r="Q150" s="41" t="s">
        <v>3637</v>
      </c>
      <c r="R150" s="41" t="s">
        <v>3637</v>
      </c>
      <c r="S150" s="41" t="s">
        <v>3637</v>
      </c>
      <c r="T150" s="41" t="s">
        <v>3637</v>
      </c>
      <c r="U150" s="41" t="s">
        <v>3990</v>
      </c>
      <c r="V150" s="41" t="s">
        <v>3990</v>
      </c>
      <c r="W150" s="41" t="s">
        <v>3990</v>
      </c>
      <c r="X150" s="41" t="s">
        <v>3990</v>
      </c>
      <c r="Y150" s="41" t="s">
        <v>3643</v>
      </c>
      <c r="Z150" s="41" t="s">
        <v>3643</v>
      </c>
      <c r="AA150" s="41" t="s">
        <v>3643</v>
      </c>
      <c r="AB150" s="41" t="s">
        <v>3643</v>
      </c>
      <c r="AC150" s="41" t="s">
        <v>67</v>
      </c>
      <c r="AD150" s="41" t="s">
        <v>67</v>
      </c>
      <c r="AE150" s="41" t="s">
        <v>67</v>
      </c>
      <c r="AF150" s="41" t="s">
        <v>67</v>
      </c>
      <c r="AG150" s="41" t="s">
        <v>67</v>
      </c>
      <c r="AH150" s="41" t="s">
        <v>67</v>
      </c>
      <c r="AI150" s="41" t="s">
        <v>67</v>
      </c>
      <c r="AJ150" s="41" t="s">
        <v>67</v>
      </c>
      <c r="AK150" s="41" t="s">
        <v>67</v>
      </c>
      <c r="AL150" s="41" t="s">
        <v>67</v>
      </c>
      <c r="AM150" s="41" t="s">
        <v>67</v>
      </c>
      <c r="AN150" s="41" t="s">
        <v>67</v>
      </c>
      <c r="AO150" s="41" t="s">
        <v>67</v>
      </c>
      <c r="AP150" s="41" t="s">
        <v>67</v>
      </c>
      <c r="AQ150" s="41" t="s">
        <v>67</v>
      </c>
    </row>
    <row r="151" ht="13.5" spans="1:43">
      <c r="A151" s="38"/>
      <c r="B151" s="39" t="s">
        <v>3991</v>
      </c>
      <c r="C151" s="41" t="s">
        <v>67</v>
      </c>
      <c r="D151" s="41" t="s">
        <v>67</v>
      </c>
      <c r="E151" s="41" t="s">
        <v>67</v>
      </c>
      <c r="F151" s="41" t="s">
        <v>67</v>
      </c>
      <c r="G151" s="41" t="s">
        <v>67</v>
      </c>
      <c r="H151" s="41" t="s">
        <v>67</v>
      </c>
      <c r="I151" s="41" t="s">
        <v>67</v>
      </c>
      <c r="J151" s="41" t="s">
        <v>67</v>
      </c>
      <c r="K151" s="41" t="s">
        <v>67</v>
      </c>
      <c r="L151" s="41" t="s">
        <v>67</v>
      </c>
      <c r="M151" s="41" t="s">
        <v>67</v>
      </c>
      <c r="N151" s="41" t="s">
        <v>67</v>
      </c>
      <c r="O151" s="41" t="s">
        <v>67</v>
      </c>
      <c r="P151" s="41" t="s">
        <v>67</v>
      </c>
      <c r="Q151" s="41" t="s">
        <v>67</v>
      </c>
      <c r="R151" s="41" t="s">
        <v>67</v>
      </c>
      <c r="S151" s="41" t="s">
        <v>67</v>
      </c>
      <c r="T151" s="41" t="s">
        <v>67</v>
      </c>
      <c r="U151" s="41" t="s">
        <v>67</v>
      </c>
      <c r="V151" s="41" t="s">
        <v>67</v>
      </c>
      <c r="W151" s="41" t="s">
        <v>67</v>
      </c>
      <c r="X151" s="41" t="s">
        <v>67</v>
      </c>
      <c r="Y151" s="41" t="s">
        <v>67</v>
      </c>
      <c r="Z151" s="41" t="s">
        <v>67</v>
      </c>
      <c r="AA151" s="41" t="s">
        <v>67</v>
      </c>
      <c r="AB151" s="41" t="s">
        <v>67</v>
      </c>
      <c r="AC151" s="41" t="s">
        <v>67</v>
      </c>
      <c r="AD151" s="41" t="s">
        <v>67</v>
      </c>
      <c r="AE151" s="41" t="s">
        <v>67</v>
      </c>
      <c r="AF151" s="41" t="s">
        <v>67</v>
      </c>
      <c r="AG151" s="41" t="s">
        <v>67</v>
      </c>
      <c r="AH151" s="41" t="s">
        <v>67</v>
      </c>
      <c r="AI151" s="41" t="s">
        <v>67</v>
      </c>
      <c r="AJ151" s="41" t="s">
        <v>67</v>
      </c>
      <c r="AK151" s="41" t="s">
        <v>67</v>
      </c>
      <c r="AL151" s="41" t="s">
        <v>67</v>
      </c>
      <c r="AM151" s="41" t="s">
        <v>67</v>
      </c>
      <c r="AN151" s="41" t="s">
        <v>67</v>
      </c>
      <c r="AO151" s="41" t="s">
        <v>67</v>
      </c>
      <c r="AP151" s="41" t="s">
        <v>67</v>
      </c>
      <c r="AQ151" s="41" t="s">
        <v>67</v>
      </c>
    </row>
    <row r="152" ht="13.5" spans="1:43">
      <c r="A152" s="38"/>
      <c r="B152" s="39" t="s">
        <v>3992</v>
      </c>
      <c r="C152" s="41" t="s">
        <v>3993</v>
      </c>
      <c r="D152" s="41" t="s">
        <v>3993</v>
      </c>
      <c r="E152" s="41" t="s">
        <v>3993</v>
      </c>
      <c r="F152" s="41" t="s">
        <v>3993</v>
      </c>
      <c r="G152" s="41" t="s">
        <v>3993</v>
      </c>
      <c r="H152" s="41" t="s">
        <v>3993</v>
      </c>
      <c r="I152" s="41" t="s">
        <v>3994</v>
      </c>
      <c r="J152" s="41" t="s">
        <v>3994</v>
      </c>
      <c r="K152" s="41" t="s">
        <v>3994</v>
      </c>
      <c r="L152" s="41" t="s">
        <v>3994</v>
      </c>
      <c r="M152" s="41" t="s">
        <v>3994</v>
      </c>
      <c r="N152" s="41" t="s">
        <v>3994</v>
      </c>
      <c r="O152" s="41" t="s">
        <v>3994</v>
      </c>
      <c r="P152" s="41" t="s">
        <v>3994</v>
      </c>
      <c r="Q152" s="41" t="s">
        <v>3994</v>
      </c>
      <c r="R152" s="41" t="s">
        <v>3994</v>
      </c>
      <c r="S152" s="41" t="s">
        <v>3994</v>
      </c>
      <c r="T152" s="41" t="s">
        <v>3994</v>
      </c>
      <c r="U152" s="41" t="s">
        <v>3994</v>
      </c>
      <c r="V152" s="41" t="s">
        <v>3994</v>
      </c>
      <c r="W152" s="41" t="s">
        <v>3994</v>
      </c>
      <c r="X152" s="41" t="s">
        <v>3994</v>
      </c>
      <c r="Y152" s="41" t="s">
        <v>3994</v>
      </c>
      <c r="Z152" s="41" t="s">
        <v>3994</v>
      </c>
      <c r="AA152" s="41" t="s">
        <v>3994</v>
      </c>
      <c r="AB152" s="41" t="s">
        <v>3994</v>
      </c>
      <c r="AC152" s="41" t="s">
        <v>3995</v>
      </c>
      <c r="AD152" s="41" t="s">
        <v>3995</v>
      </c>
      <c r="AE152" s="41" t="s">
        <v>3995</v>
      </c>
      <c r="AF152" s="41" t="s">
        <v>3995</v>
      </c>
      <c r="AG152" s="41" t="s">
        <v>3502</v>
      </c>
      <c r="AH152" s="41" t="s">
        <v>3502</v>
      </c>
      <c r="AI152" s="41" t="s">
        <v>3502</v>
      </c>
      <c r="AJ152" s="41" t="s">
        <v>3502</v>
      </c>
      <c r="AK152" s="41" t="s">
        <v>3996</v>
      </c>
      <c r="AL152" s="41" t="s">
        <v>3996</v>
      </c>
      <c r="AM152" s="41" t="s">
        <v>3996</v>
      </c>
      <c r="AN152" s="41" t="s">
        <v>3996</v>
      </c>
      <c r="AO152" s="41" t="s">
        <v>3997</v>
      </c>
      <c r="AP152" s="41" t="s">
        <v>3997</v>
      </c>
      <c r="AQ152" s="41" t="s">
        <v>3997</v>
      </c>
    </row>
    <row r="153" ht="13.5" spans="1:43">
      <c r="A153" s="38"/>
      <c r="B153" s="39" t="s">
        <v>3998</v>
      </c>
      <c r="C153" s="41" t="s">
        <v>67</v>
      </c>
      <c r="D153" s="41" t="s">
        <v>67</v>
      </c>
      <c r="E153" s="41" t="s">
        <v>67</v>
      </c>
      <c r="F153" s="41" t="s">
        <v>67</v>
      </c>
      <c r="G153" s="41" t="s">
        <v>67</v>
      </c>
      <c r="H153" s="41" t="s">
        <v>67</v>
      </c>
      <c r="I153" s="41" t="s">
        <v>67</v>
      </c>
      <c r="J153" s="41" t="s">
        <v>67</v>
      </c>
      <c r="K153" s="41" t="s">
        <v>67</v>
      </c>
      <c r="L153" s="41" t="s">
        <v>67</v>
      </c>
      <c r="M153" s="41" t="s">
        <v>67</v>
      </c>
      <c r="N153" s="41" t="s">
        <v>67</v>
      </c>
      <c r="O153" s="41" t="s">
        <v>67</v>
      </c>
      <c r="P153" s="41" t="s">
        <v>67</v>
      </c>
      <c r="Q153" s="41" t="s">
        <v>67</v>
      </c>
      <c r="R153" s="41" t="s">
        <v>67</v>
      </c>
      <c r="S153" s="41" t="s">
        <v>67</v>
      </c>
      <c r="T153" s="41" t="s">
        <v>67</v>
      </c>
      <c r="U153" s="41" t="s">
        <v>67</v>
      </c>
      <c r="V153" s="41" t="s">
        <v>67</v>
      </c>
      <c r="W153" s="41" t="s">
        <v>67</v>
      </c>
      <c r="X153" s="41" t="s">
        <v>67</v>
      </c>
      <c r="Y153" s="41" t="s">
        <v>67</v>
      </c>
      <c r="Z153" s="41" t="s">
        <v>67</v>
      </c>
      <c r="AA153" s="41" t="s">
        <v>67</v>
      </c>
      <c r="AB153" s="41" t="s">
        <v>67</v>
      </c>
      <c r="AC153" s="41" t="s">
        <v>67</v>
      </c>
      <c r="AD153" s="41" t="s">
        <v>67</v>
      </c>
      <c r="AE153" s="41" t="s">
        <v>67</v>
      </c>
      <c r="AF153" s="41" t="s">
        <v>67</v>
      </c>
      <c r="AG153" s="41" t="s">
        <v>67</v>
      </c>
      <c r="AH153" s="41" t="s">
        <v>67</v>
      </c>
      <c r="AI153" s="41" t="s">
        <v>67</v>
      </c>
      <c r="AJ153" s="41" t="s">
        <v>67</v>
      </c>
      <c r="AK153" s="41" t="s">
        <v>67</v>
      </c>
      <c r="AL153" s="41" t="s">
        <v>67</v>
      </c>
      <c r="AM153" s="41" t="s">
        <v>67</v>
      </c>
      <c r="AN153" s="41" t="s">
        <v>67</v>
      </c>
      <c r="AO153" s="41" t="s">
        <v>67</v>
      </c>
      <c r="AP153" s="41" t="s">
        <v>67</v>
      </c>
      <c r="AQ153" s="41" t="s">
        <v>67</v>
      </c>
    </row>
    <row r="154" ht="13.5" spans="1:43">
      <c r="A154" s="38"/>
      <c r="B154" s="39" t="s">
        <v>3999</v>
      </c>
      <c r="C154" s="41" t="s">
        <v>4000</v>
      </c>
      <c r="D154" s="41" t="s">
        <v>4001</v>
      </c>
      <c r="E154" s="41" t="s">
        <v>4000</v>
      </c>
      <c r="F154" s="41" t="s">
        <v>4000</v>
      </c>
      <c r="G154" s="41" t="s">
        <v>4002</v>
      </c>
      <c r="H154" s="41" t="s">
        <v>2708</v>
      </c>
      <c r="I154" s="41" t="s">
        <v>2475</v>
      </c>
      <c r="J154" s="41" t="s">
        <v>2472</v>
      </c>
      <c r="K154" s="41" t="s">
        <v>2473</v>
      </c>
      <c r="L154" s="41" t="s">
        <v>2473</v>
      </c>
      <c r="M154" s="41" t="s">
        <v>4003</v>
      </c>
      <c r="N154" s="41" t="s">
        <v>4004</v>
      </c>
      <c r="O154" s="41" t="s">
        <v>4005</v>
      </c>
      <c r="P154" s="41" t="s">
        <v>4006</v>
      </c>
      <c r="Q154" s="41" t="s">
        <v>2414</v>
      </c>
      <c r="R154" s="41" t="s">
        <v>2421</v>
      </c>
      <c r="S154" s="41" t="s">
        <v>2421</v>
      </c>
      <c r="T154" s="41" t="s">
        <v>2421</v>
      </c>
      <c r="U154" s="41" t="s">
        <v>2421</v>
      </c>
      <c r="V154" s="41" t="s">
        <v>2421</v>
      </c>
      <c r="W154" s="41" t="s">
        <v>2421</v>
      </c>
      <c r="X154" s="41" t="s">
        <v>2421</v>
      </c>
      <c r="Y154" s="41" t="s">
        <v>2414</v>
      </c>
      <c r="Z154" s="41" t="s">
        <v>2414</v>
      </c>
      <c r="AA154" s="41" t="s">
        <v>2414</v>
      </c>
      <c r="AB154" s="41" t="s">
        <v>2421</v>
      </c>
      <c r="AC154" s="41" t="s">
        <v>2414</v>
      </c>
      <c r="AD154" s="41" t="s">
        <v>2414</v>
      </c>
      <c r="AE154" s="41" t="s">
        <v>2414</v>
      </c>
      <c r="AF154" s="41" t="s">
        <v>2414</v>
      </c>
      <c r="AG154" s="41" t="s">
        <v>2429</v>
      </c>
      <c r="AH154" s="41" t="s">
        <v>2429</v>
      </c>
      <c r="AI154" s="41" t="s">
        <v>2429</v>
      </c>
      <c r="AJ154" s="41" t="s">
        <v>2429</v>
      </c>
      <c r="AK154" s="41" t="s">
        <v>2429</v>
      </c>
      <c r="AL154" s="41" t="s">
        <v>2429</v>
      </c>
      <c r="AM154" s="41" t="s">
        <v>2429</v>
      </c>
      <c r="AN154" s="41" t="s">
        <v>2429</v>
      </c>
      <c r="AO154" s="41" t="s">
        <v>2427</v>
      </c>
      <c r="AP154" s="41" t="s">
        <v>2427</v>
      </c>
      <c r="AQ154" s="41" t="s">
        <v>2427</v>
      </c>
    </row>
    <row r="155" ht="13.5" spans="1:43">
      <c r="A155" s="38"/>
      <c r="B155" s="39" t="s">
        <v>4007</v>
      </c>
      <c r="C155" s="41" t="s">
        <v>67</v>
      </c>
      <c r="D155" s="41" t="s">
        <v>67</v>
      </c>
      <c r="E155" s="41" t="s">
        <v>67</v>
      </c>
      <c r="F155" s="41" t="s">
        <v>67</v>
      </c>
      <c r="G155" s="41" t="s">
        <v>67</v>
      </c>
      <c r="H155" s="41" t="s">
        <v>67</v>
      </c>
      <c r="I155" s="41" t="s">
        <v>67</v>
      </c>
      <c r="J155" s="41" t="s">
        <v>67</v>
      </c>
      <c r="K155" s="41" t="s">
        <v>67</v>
      </c>
      <c r="L155" s="41" t="s">
        <v>67</v>
      </c>
      <c r="M155" s="41" t="s">
        <v>67</v>
      </c>
      <c r="N155" s="41" t="s">
        <v>67</v>
      </c>
      <c r="O155" s="41" t="s">
        <v>67</v>
      </c>
      <c r="P155" s="41" t="s">
        <v>67</v>
      </c>
      <c r="Q155" s="41" t="s">
        <v>67</v>
      </c>
      <c r="R155" s="41" t="s">
        <v>67</v>
      </c>
      <c r="S155" s="41" t="s">
        <v>67</v>
      </c>
      <c r="T155" s="41" t="s">
        <v>67</v>
      </c>
      <c r="U155" s="41" t="s">
        <v>67</v>
      </c>
      <c r="V155" s="41" t="s">
        <v>67</v>
      </c>
      <c r="W155" s="41" t="s">
        <v>67</v>
      </c>
      <c r="X155" s="41" t="s">
        <v>67</v>
      </c>
      <c r="Y155" s="41" t="s">
        <v>67</v>
      </c>
      <c r="Z155" s="41" t="s">
        <v>67</v>
      </c>
      <c r="AA155" s="41" t="s">
        <v>67</v>
      </c>
      <c r="AB155" s="41" t="s">
        <v>67</v>
      </c>
      <c r="AC155" s="41" t="s">
        <v>67</v>
      </c>
      <c r="AD155" s="41" t="s">
        <v>67</v>
      </c>
      <c r="AE155" s="41" t="s">
        <v>67</v>
      </c>
      <c r="AF155" s="41" t="s">
        <v>67</v>
      </c>
      <c r="AG155" s="41" t="s">
        <v>67</v>
      </c>
      <c r="AH155" s="41" t="s">
        <v>67</v>
      </c>
      <c r="AI155" s="41" t="s">
        <v>67</v>
      </c>
      <c r="AJ155" s="41" t="s">
        <v>67</v>
      </c>
      <c r="AK155" s="41" t="s">
        <v>67</v>
      </c>
      <c r="AL155" s="41" t="s">
        <v>67</v>
      </c>
      <c r="AM155" s="41" t="s">
        <v>67</v>
      </c>
      <c r="AN155" s="41" t="s">
        <v>67</v>
      </c>
      <c r="AO155" s="41" t="s">
        <v>67</v>
      </c>
      <c r="AP155" s="41" t="s">
        <v>67</v>
      </c>
      <c r="AQ155" s="41" t="s">
        <v>67</v>
      </c>
    </row>
    <row r="156" ht="13.5" spans="1:43">
      <c r="A156" s="38"/>
      <c r="B156" s="39" t="s">
        <v>4008</v>
      </c>
      <c r="C156" s="41" t="s">
        <v>67</v>
      </c>
      <c r="D156" s="41" t="s">
        <v>67</v>
      </c>
      <c r="E156" s="41" t="s">
        <v>67</v>
      </c>
      <c r="F156" s="41" t="s">
        <v>67</v>
      </c>
      <c r="G156" s="41" t="s">
        <v>67</v>
      </c>
      <c r="H156" s="41" t="s">
        <v>67</v>
      </c>
      <c r="I156" s="41" t="s">
        <v>67</v>
      </c>
      <c r="J156" s="41" t="s">
        <v>67</v>
      </c>
      <c r="K156" s="41" t="s">
        <v>67</v>
      </c>
      <c r="L156" s="41" t="s">
        <v>67</v>
      </c>
      <c r="M156" s="41" t="s">
        <v>67</v>
      </c>
      <c r="N156" s="41" t="s">
        <v>67</v>
      </c>
      <c r="O156" s="41" t="s">
        <v>67</v>
      </c>
      <c r="P156" s="41" t="s">
        <v>67</v>
      </c>
      <c r="Q156" s="41" t="s">
        <v>67</v>
      </c>
      <c r="R156" s="41" t="s">
        <v>67</v>
      </c>
      <c r="S156" s="41" t="s">
        <v>67</v>
      </c>
      <c r="T156" s="41" t="s">
        <v>67</v>
      </c>
      <c r="U156" s="41" t="s">
        <v>67</v>
      </c>
      <c r="V156" s="41" t="s">
        <v>67</v>
      </c>
      <c r="W156" s="41" t="s">
        <v>67</v>
      </c>
      <c r="X156" s="41" t="s">
        <v>67</v>
      </c>
      <c r="Y156" s="41" t="s">
        <v>67</v>
      </c>
      <c r="Z156" s="41" t="s">
        <v>67</v>
      </c>
      <c r="AA156" s="41" t="s">
        <v>67</v>
      </c>
      <c r="AB156" s="41" t="s">
        <v>67</v>
      </c>
      <c r="AC156" s="41" t="s">
        <v>67</v>
      </c>
      <c r="AD156" s="41" t="s">
        <v>67</v>
      </c>
      <c r="AE156" s="41" t="s">
        <v>67</v>
      </c>
      <c r="AF156" s="41" t="s">
        <v>67</v>
      </c>
      <c r="AG156" s="41" t="s">
        <v>67</v>
      </c>
      <c r="AH156" s="41" t="s">
        <v>67</v>
      </c>
      <c r="AI156" s="41" t="s">
        <v>67</v>
      </c>
      <c r="AJ156" s="41" t="s">
        <v>67</v>
      </c>
      <c r="AK156" s="41" t="s">
        <v>67</v>
      </c>
      <c r="AL156" s="41" t="s">
        <v>67</v>
      </c>
      <c r="AM156" s="41" t="s">
        <v>67</v>
      </c>
      <c r="AN156" s="41" t="s">
        <v>67</v>
      </c>
      <c r="AO156" s="41" t="s">
        <v>67</v>
      </c>
      <c r="AP156" s="41" t="s">
        <v>67</v>
      </c>
      <c r="AQ156" s="41" t="s">
        <v>67</v>
      </c>
    </row>
    <row r="157" ht="13.5" spans="1:43">
      <c r="A157" s="38"/>
      <c r="B157" s="39" t="s">
        <v>4009</v>
      </c>
      <c r="C157" s="41" t="s">
        <v>67</v>
      </c>
      <c r="D157" s="41" t="s">
        <v>67</v>
      </c>
      <c r="E157" s="41" t="s">
        <v>67</v>
      </c>
      <c r="F157" s="41" t="s">
        <v>67</v>
      </c>
      <c r="G157" s="41" t="s">
        <v>67</v>
      </c>
      <c r="H157" s="41" t="s">
        <v>67</v>
      </c>
      <c r="I157" s="41" t="s">
        <v>67</v>
      </c>
      <c r="J157" s="41" t="s">
        <v>67</v>
      </c>
      <c r="K157" s="41" t="s">
        <v>67</v>
      </c>
      <c r="L157" s="41" t="s">
        <v>67</v>
      </c>
      <c r="M157" s="41" t="s">
        <v>67</v>
      </c>
      <c r="N157" s="41" t="s">
        <v>67</v>
      </c>
      <c r="O157" s="41" t="s">
        <v>67</v>
      </c>
      <c r="P157" s="41" t="s">
        <v>67</v>
      </c>
      <c r="Q157" s="41" t="s">
        <v>67</v>
      </c>
      <c r="R157" s="41" t="s">
        <v>67</v>
      </c>
      <c r="S157" s="41" t="s">
        <v>67</v>
      </c>
      <c r="T157" s="41" t="s">
        <v>67</v>
      </c>
      <c r="U157" s="41" t="s">
        <v>67</v>
      </c>
      <c r="V157" s="41" t="s">
        <v>67</v>
      </c>
      <c r="W157" s="41" t="s">
        <v>67</v>
      </c>
      <c r="X157" s="41" t="s">
        <v>67</v>
      </c>
      <c r="Y157" s="41" t="s">
        <v>67</v>
      </c>
      <c r="Z157" s="41" t="s">
        <v>67</v>
      </c>
      <c r="AA157" s="41" t="s">
        <v>67</v>
      </c>
      <c r="AB157" s="41" t="s">
        <v>67</v>
      </c>
      <c r="AC157" s="41" t="s">
        <v>67</v>
      </c>
      <c r="AD157" s="41" t="s">
        <v>67</v>
      </c>
      <c r="AE157" s="41" t="s">
        <v>67</v>
      </c>
      <c r="AF157" s="41" t="s">
        <v>67</v>
      </c>
      <c r="AG157" s="41" t="s">
        <v>67</v>
      </c>
      <c r="AH157" s="41" t="s">
        <v>67</v>
      </c>
      <c r="AI157" s="41" t="s">
        <v>67</v>
      </c>
      <c r="AJ157" s="41" t="s">
        <v>67</v>
      </c>
      <c r="AK157" s="41" t="s">
        <v>67</v>
      </c>
      <c r="AL157" s="41" t="s">
        <v>67</v>
      </c>
      <c r="AM157" s="41" t="s">
        <v>67</v>
      </c>
      <c r="AN157" s="41" t="s">
        <v>67</v>
      </c>
      <c r="AO157" s="41" t="s">
        <v>67</v>
      </c>
      <c r="AP157" s="41" t="s">
        <v>67</v>
      </c>
      <c r="AQ157" s="41" t="s">
        <v>67</v>
      </c>
    </row>
    <row r="158" ht="13.5" spans="1:43">
      <c r="A158" s="38"/>
      <c r="B158" s="39" t="s">
        <v>4010</v>
      </c>
      <c r="C158" s="41" t="s">
        <v>67</v>
      </c>
      <c r="D158" s="41" t="s">
        <v>67</v>
      </c>
      <c r="E158" s="41" t="s">
        <v>67</v>
      </c>
      <c r="F158" s="41" t="s">
        <v>67</v>
      </c>
      <c r="G158" s="41" t="s">
        <v>67</v>
      </c>
      <c r="H158" s="41" t="s">
        <v>67</v>
      </c>
      <c r="I158" s="41" t="s">
        <v>67</v>
      </c>
      <c r="J158" s="41" t="s">
        <v>67</v>
      </c>
      <c r="K158" s="41" t="s">
        <v>67</v>
      </c>
      <c r="L158" s="41" t="s">
        <v>67</v>
      </c>
      <c r="M158" s="41" t="s">
        <v>67</v>
      </c>
      <c r="N158" s="41" t="s">
        <v>67</v>
      </c>
      <c r="O158" s="41" t="s">
        <v>67</v>
      </c>
      <c r="P158" s="41" t="s">
        <v>67</v>
      </c>
      <c r="Q158" s="41" t="s">
        <v>67</v>
      </c>
      <c r="R158" s="41" t="s">
        <v>67</v>
      </c>
      <c r="S158" s="41" t="s">
        <v>67</v>
      </c>
      <c r="T158" s="41" t="s">
        <v>67</v>
      </c>
      <c r="U158" s="41" t="s">
        <v>67</v>
      </c>
      <c r="V158" s="41" t="s">
        <v>67</v>
      </c>
      <c r="W158" s="41" t="s">
        <v>67</v>
      </c>
      <c r="X158" s="41" t="s">
        <v>67</v>
      </c>
      <c r="Y158" s="41" t="s">
        <v>67</v>
      </c>
      <c r="Z158" s="41" t="s">
        <v>67</v>
      </c>
      <c r="AA158" s="41" t="s">
        <v>67</v>
      </c>
      <c r="AB158" s="41" t="s">
        <v>67</v>
      </c>
      <c r="AC158" s="41" t="s">
        <v>67</v>
      </c>
      <c r="AD158" s="41" t="s">
        <v>67</v>
      </c>
      <c r="AE158" s="41" t="s">
        <v>67</v>
      </c>
      <c r="AF158" s="41" t="s">
        <v>67</v>
      </c>
      <c r="AG158" s="41" t="s">
        <v>67</v>
      </c>
      <c r="AH158" s="41" t="s">
        <v>67</v>
      </c>
      <c r="AI158" s="41" t="s">
        <v>67</v>
      </c>
      <c r="AJ158" s="41" t="s">
        <v>67</v>
      </c>
      <c r="AK158" s="41" t="s">
        <v>67</v>
      </c>
      <c r="AL158" s="41" t="s">
        <v>67</v>
      </c>
      <c r="AM158" s="41" t="s">
        <v>67</v>
      </c>
      <c r="AN158" s="41" t="s">
        <v>67</v>
      </c>
      <c r="AO158" s="41" t="s">
        <v>67</v>
      </c>
      <c r="AP158" s="41" t="s">
        <v>67</v>
      </c>
      <c r="AQ158" s="41" t="s">
        <v>67</v>
      </c>
    </row>
    <row r="159" ht="13.5" spans="1:43">
      <c r="A159" s="38"/>
      <c r="B159" s="39" t="s">
        <v>4011</v>
      </c>
      <c r="C159" s="41" t="s">
        <v>67</v>
      </c>
      <c r="D159" s="41" t="s">
        <v>67</v>
      </c>
      <c r="E159" s="41" t="s">
        <v>67</v>
      </c>
      <c r="F159" s="41" t="s">
        <v>67</v>
      </c>
      <c r="G159" s="41" t="s">
        <v>67</v>
      </c>
      <c r="H159" s="41" t="s">
        <v>67</v>
      </c>
      <c r="I159" s="41" t="s">
        <v>67</v>
      </c>
      <c r="J159" s="41" t="s">
        <v>67</v>
      </c>
      <c r="K159" s="41" t="s">
        <v>67</v>
      </c>
      <c r="L159" s="41" t="s">
        <v>67</v>
      </c>
      <c r="M159" s="41" t="s">
        <v>67</v>
      </c>
      <c r="N159" s="41" t="s">
        <v>67</v>
      </c>
      <c r="O159" s="41" t="s">
        <v>67</v>
      </c>
      <c r="P159" s="41" t="s">
        <v>67</v>
      </c>
      <c r="Q159" s="41" t="s">
        <v>67</v>
      </c>
      <c r="R159" s="41" t="s">
        <v>67</v>
      </c>
      <c r="S159" s="41" t="s">
        <v>67</v>
      </c>
      <c r="T159" s="41" t="s">
        <v>67</v>
      </c>
      <c r="U159" s="41" t="s">
        <v>67</v>
      </c>
      <c r="V159" s="41" t="s">
        <v>67</v>
      </c>
      <c r="W159" s="41" t="s">
        <v>67</v>
      </c>
      <c r="X159" s="41" t="s">
        <v>67</v>
      </c>
      <c r="Y159" s="41" t="s">
        <v>67</v>
      </c>
      <c r="Z159" s="41" t="s">
        <v>67</v>
      </c>
      <c r="AA159" s="41" t="s">
        <v>67</v>
      </c>
      <c r="AB159" s="41" t="s">
        <v>67</v>
      </c>
      <c r="AC159" s="41" t="s">
        <v>67</v>
      </c>
      <c r="AD159" s="41" t="s">
        <v>67</v>
      </c>
      <c r="AE159" s="41" t="s">
        <v>67</v>
      </c>
      <c r="AF159" s="41" t="s">
        <v>67</v>
      </c>
      <c r="AG159" s="41" t="s">
        <v>67</v>
      </c>
      <c r="AH159" s="41" t="s">
        <v>67</v>
      </c>
      <c r="AI159" s="41" t="s">
        <v>67</v>
      </c>
      <c r="AJ159" s="41" t="s">
        <v>67</v>
      </c>
      <c r="AK159" s="41" t="s">
        <v>67</v>
      </c>
      <c r="AL159" s="41" t="s">
        <v>67</v>
      </c>
      <c r="AM159" s="41" t="s">
        <v>67</v>
      </c>
      <c r="AN159" s="41" t="s">
        <v>67</v>
      </c>
      <c r="AO159" s="41" t="s">
        <v>67</v>
      </c>
      <c r="AP159" s="41" t="s">
        <v>67</v>
      </c>
      <c r="AQ159" s="41" t="s">
        <v>67</v>
      </c>
    </row>
    <row r="160" ht="13.5" spans="1:43">
      <c r="A160" s="38"/>
      <c r="B160" s="39" t="s">
        <v>4012</v>
      </c>
      <c r="C160" s="41" t="s">
        <v>67</v>
      </c>
      <c r="D160" s="41" t="s">
        <v>67</v>
      </c>
      <c r="E160" s="41" t="s">
        <v>67</v>
      </c>
      <c r="F160" s="41" t="s">
        <v>67</v>
      </c>
      <c r="G160" s="41" t="s">
        <v>67</v>
      </c>
      <c r="H160" s="41" t="s">
        <v>67</v>
      </c>
      <c r="I160" s="41" t="s">
        <v>67</v>
      </c>
      <c r="J160" s="41" t="s">
        <v>67</v>
      </c>
      <c r="K160" s="41" t="s">
        <v>67</v>
      </c>
      <c r="L160" s="41" t="s">
        <v>67</v>
      </c>
      <c r="M160" s="41" t="s">
        <v>67</v>
      </c>
      <c r="N160" s="41" t="s">
        <v>67</v>
      </c>
      <c r="O160" s="41" t="s">
        <v>67</v>
      </c>
      <c r="P160" s="41" t="s">
        <v>67</v>
      </c>
      <c r="Q160" s="41" t="s">
        <v>67</v>
      </c>
      <c r="R160" s="41" t="s">
        <v>67</v>
      </c>
      <c r="S160" s="41" t="s">
        <v>67</v>
      </c>
      <c r="T160" s="41" t="s">
        <v>67</v>
      </c>
      <c r="U160" s="41" t="s">
        <v>67</v>
      </c>
      <c r="V160" s="41" t="s">
        <v>67</v>
      </c>
      <c r="W160" s="41" t="s">
        <v>67</v>
      </c>
      <c r="X160" s="41" t="s">
        <v>67</v>
      </c>
      <c r="Y160" s="41" t="s">
        <v>67</v>
      </c>
      <c r="Z160" s="41" t="s">
        <v>67</v>
      </c>
      <c r="AA160" s="41" t="s">
        <v>67</v>
      </c>
      <c r="AB160" s="41" t="s">
        <v>67</v>
      </c>
      <c r="AC160" s="41" t="s">
        <v>67</v>
      </c>
      <c r="AD160" s="41" t="s">
        <v>67</v>
      </c>
      <c r="AE160" s="41" t="s">
        <v>67</v>
      </c>
      <c r="AF160" s="41" t="s">
        <v>67</v>
      </c>
      <c r="AG160" s="41" t="s">
        <v>67</v>
      </c>
      <c r="AH160" s="41" t="s">
        <v>67</v>
      </c>
      <c r="AI160" s="41" t="s">
        <v>67</v>
      </c>
      <c r="AJ160" s="41" t="s">
        <v>67</v>
      </c>
      <c r="AK160" s="41" t="s">
        <v>67</v>
      </c>
      <c r="AL160" s="41" t="s">
        <v>67</v>
      </c>
      <c r="AM160" s="41" t="s">
        <v>67</v>
      </c>
      <c r="AN160" s="41" t="s">
        <v>67</v>
      </c>
      <c r="AO160" s="41" t="s">
        <v>67</v>
      </c>
      <c r="AP160" s="41" t="s">
        <v>67</v>
      </c>
      <c r="AQ160" s="41" t="s">
        <v>67</v>
      </c>
    </row>
    <row r="161" ht="13.5" spans="1:43">
      <c r="A161" s="38"/>
      <c r="B161" s="39" t="s">
        <v>4013</v>
      </c>
      <c r="C161" s="41" t="s">
        <v>67</v>
      </c>
      <c r="D161" s="41" t="s">
        <v>67</v>
      </c>
      <c r="E161" s="41" t="s">
        <v>67</v>
      </c>
      <c r="F161" s="41" t="s">
        <v>67</v>
      </c>
      <c r="G161" s="41" t="s">
        <v>67</v>
      </c>
      <c r="H161" s="41" t="s">
        <v>67</v>
      </c>
      <c r="I161" s="41" t="s">
        <v>67</v>
      </c>
      <c r="J161" s="41" t="s">
        <v>67</v>
      </c>
      <c r="K161" s="41" t="s">
        <v>67</v>
      </c>
      <c r="L161" s="41" t="s">
        <v>67</v>
      </c>
      <c r="M161" s="41" t="s">
        <v>67</v>
      </c>
      <c r="N161" s="41" t="s">
        <v>67</v>
      </c>
      <c r="O161" s="41" t="s">
        <v>67</v>
      </c>
      <c r="P161" s="41" t="s">
        <v>67</v>
      </c>
      <c r="Q161" s="41" t="s">
        <v>67</v>
      </c>
      <c r="R161" s="41" t="s">
        <v>67</v>
      </c>
      <c r="S161" s="41" t="s">
        <v>67</v>
      </c>
      <c r="T161" s="41" t="s">
        <v>67</v>
      </c>
      <c r="U161" s="41" t="s">
        <v>67</v>
      </c>
      <c r="V161" s="41" t="s">
        <v>67</v>
      </c>
      <c r="W161" s="41" t="s">
        <v>67</v>
      </c>
      <c r="X161" s="41" t="s">
        <v>67</v>
      </c>
      <c r="Y161" s="41" t="s">
        <v>67</v>
      </c>
      <c r="Z161" s="41" t="s">
        <v>67</v>
      </c>
      <c r="AA161" s="41" t="s">
        <v>67</v>
      </c>
      <c r="AB161" s="41" t="s">
        <v>67</v>
      </c>
      <c r="AC161" s="41" t="s">
        <v>67</v>
      </c>
      <c r="AD161" s="41" t="s">
        <v>67</v>
      </c>
      <c r="AE161" s="41" t="s">
        <v>67</v>
      </c>
      <c r="AF161" s="41" t="s">
        <v>67</v>
      </c>
      <c r="AG161" s="41" t="s">
        <v>67</v>
      </c>
      <c r="AH161" s="41" t="s">
        <v>67</v>
      </c>
      <c r="AI161" s="41" t="s">
        <v>67</v>
      </c>
      <c r="AJ161" s="41" t="s">
        <v>67</v>
      </c>
      <c r="AK161" s="41" t="s">
        <v>67</v>
      </c>
      <c r="AL161" s="41" t="s">
        <v>67</v>
      </c>
      <c r="AM161" s="41" t="s">
        <v>67</v>
      </c>
      <c r="AN161" s="41" t="s">
        <v>67</v>
      </c>
      <c r="AO161" s="41" t="s">
        <v>67</v>
      </c>
      <c r="AP161" s="41" t="s">
        <v>67</v>
      </c>
      <c r="AQ161" s="41" t="s">
        <v>67</v>
      </c>
    </row>
    <row r="162" ht="13.5" spans="1:43">
      <c r="A162" s="38"/>
      <c r="B162" s="39" t="s">
        <v>4014</v>
      </c>
      <c r="C162" s="41" t="s">
        <v>2656</v>
      </c>
      <c r="D162" s="41" t="s">
        <v>2420</v>
      </c>
      <c r="E162" s="41" t="s">
        <v>2656</v>
      </c>
      <c r="F162" s="41" t="s">
        <v>2656</v>
      </c>
      <c r="G162" s="41" t="s">
        <v>2411</v>
      </c>
      <c r="H162" s="41" t="s">
        <v>2419</v>
      </c>
      <c r="I162" s="41" t="s">
        <v>2658</v>
      </c>
      <c r="J162" s="41" t="s">
        <v>3474</v>
      </c>
      <c r="K162" s="41" t="s">
        <v>2603</v>
      </c>
      <c r="L162" s="41" t="s">
        <v>2603</v>
      </c>
      <c r="M162" s="41" t="s">
        <v>2601</v>
      </c>
      <c r="N162" s="41" t="s">
        <v>2601</v>
      </c>
      <c r="O162" s="41" t="s">
        <v>2655</v>
      </c>
      <c r="P162" s="41" t="s">
        <v>2420</v>
      </c>
      <c r="Q162" s="41" t="s">
        <v>2419</v>
      </c>
      <c r="R162" s="41" t="s">
        <v>2419</v>
      </c>
      <c r="S162" s="41" t="s">
        <v>2604</v>
      </c>
      <c r="T162" s="41" t="s">
        <v>2604</v>
      </c>
      <c r="U162" s="41" t="s">
        <v>2420</v>
      </c>
      <c r="V162" s="41" t="s">
        <v>2415</v>
      </c>
      <c r="W162" s="41" t="s">
        <v>2415</v>
      </c>
      <c r="X162" s="41" t="s">
        <v>2422</v>
      </c>
      <c r="Y162" s="41" t="s">
        <v>2422</v>
      </c>
      <c r="Z162" s="41" t="s">
        <v>2422</v>
      </c>
      <c r="AA162" s="41" t="s">
        <v>2659</v>
      </c>
      <c r="AB162" s="41" t="s">
        <v>2659</v>
      </c>
      <c r="AC162" s="41" t="s">
        <v>2422</v>
      </c>
      <c r="AD162" s="41" t="s">
        <v>2422</v>
      </c>
      <c r="AE162" s="41" t="s">
        <v>2422</v>
      </c>
      <c r="AF162" s="41" t="s">
        <v>2422</v>
      </c>
      <c r="AG162" s="41" t="s">
        <v>2660</v>
      </c>
      <c r="AH162" s="41" t="s">
        <v>2417</v>
      </c>
      <c r="AI162" s="41" t="s">
        <v>2417</v>
      </c>
      <c r="AJ162" s="41" t="s">
        <v>2417</v>
      </c>
      <c r="AK162" s="41" t="s">
        <v>2428</v>
      </c>
      <c r="AL162" s="41" t="s">
        <v>2428</v>
      </c>
      <c r="AM162" s="41" t="s">
        <v>2428</v>
      </c>
      <c r="AN162" s="41" t="s">
        <v>2428</v>
      </c>
      <c r="AO162" s="41" t="s">
        <v>2428</v>
      </c>
      <c r="AP162" s="41" t="s">
        <v>2428</v>
      </c>
      <c r="AQ162" s="41" t="s">
        <v>2428</v>
      </c>
    </row>
    <row r="163" ht="13.5" spans="1:43">
      <c r="A163" s="38"/>
      <c r="B163" s="39" t="s">
        <v>4015</v>
      </c>
      <c r="C163" s="41" t="s">
        <v>4016</v>
      </c>
      <c r="D163" s="41" t="s">
        <v>4017</v>
      </c>
      <c r="E163" s="41" t="s">
        <v>4018</v>
      </c>
      <c r="F163" s="41" t="s">
        <v>4019</v>
      </c>
      <c r="G163" s="41" t="s">
        <v>4020</v>
      </c>
      <c r="H163" s="41" t="s">
        <v>4021</v>
      </c>
      <c r="I163" s="41" t="s">
        <v>4022</v>
      </c>
      <c r="J163" s="41" t="s">
        <v>4023</v>
      </c>
      <c r="K163" s="41" t="s">
        <v>4024</v>
      </c>
      <c r="L163" s="41" t="s">
        <v>4025</v>
      </c>
      <c r="M163" s="41" t="s">
        <v>4026</v>
      </c>
      <c r="N163" s="41" t="s">
        <v>4027</v>
      </c>
      <c r="O163" s="41" t="s">
        <v>4028</v>
      </c>
      <c r="P163" s="41" t="s">
        <v>4029</v>
      </c>
      <c r="Q163" s="41" t="s">
        <v>4030</v>
      </c>
      <c r="R163" s="41" t="s">
        <v>4031</v>
      </c>
      <c r="S163" s="41" t="s">
        <v>4032</v>
      </c>
      <c r="T163" s="41" t="s">
        <v>4033</v>
      </c>
      <c r="U163" s="41" t="s">
        <v>4034</v>
      </c>
      <c r="V163" s="41" t="s">
        <v>4035</v>
      </c>
      <c r="W163" s="41" t="s">
        <v>4036</v>
      </c>
      <c r="X163" s="41" t="s">
        <v>4037</v>
      </c>
      <c r="Y163" s="41" t="s">
        <v>4038</v>
      </c>
      <c r="Z163" s="41" t="s">
        <v>4039</v>
      </c>
      <c r="AA163" s="41" t="s">
        <v>4040</v>
      </c>
      <c r="AB163" s="41" t="s">
        <v>4041</v>
      </c>
      <c r="AC163" s="41" t="s">
        <v>4042</v>
      </c>
      <c r="AD163" s="41" t="s">
        <v>3684</v>
      </c>
      <c r="AE163" s="41" t="s">
        <v>4043</v>
      </c>
      <c r="AF163" s="41" t="s">
        <v>4044</v>
      </c>
      <c r="AG163" s="41" t="s">
        <v>4045</v>
      </c>
      <c r="AH163" s="41" t="s">
        <v>4046</v>
      </c>
      <c r="AI163" s="41" t="s">
        <v>4047</v>
      </c>
      <c r="AJ163" s="41" t="s">
        <v>4048</v>
      </c>
      <c r="AK163" s="41" t="s">
        <v>4049</v>
      </c>
      <c r="AL163" s="41" t="s">
        <v>4050</v>
      </c>
      <c r="AM163" s="41" t="s">
        <v>3394</v>
      </c>
      <c r="AN163" s="41" t="s">
        <v>4051</v>
      </c>
      <c r="AO163" s="41" t="s">
        <v>4052</v>
      </c>
      <c r="AP163" s="41" t="s">
        <v>67</v>
      </c>
      <c r="AQ163" s="41" t="s">
        <v>67</v>
      </c>
    </row>
    <row r="164" ht="13.5" spans="1:43">
      <c r="A164" s="38"/>
      <c r="B164" s="39" t="s">
        <v>2657</v>
      </c>
      <c r="C164" s="41" t="s">
        <v>2656</v>
      </c>
      <c r="D164" s="41" t="s">
        <v>2420</v>
      </c>
      <c r="E164" s="41" t="s">
        <v>2656</v>
      </c>
      <c r="F164" s="41" t="s">
        <v>2411</v>
      </c>
      <c r="G164" s="41" t="s">
        <v>2411</v>
      </c>
      <c r="H164" s="41" t="s">
        <v>2419</v>
      </c>
      <c r="I164" s="41" t="s">
        <v>2658</v>
      </c>
      <c r="J164" s="41" t="s">
        <v>2603</v>
      </c>
      <c r="K164" s="41" t="s">
        <v>2603</v>
      </c>
      <c r="L164" s="41" t="s">
        <v>2603</v>
      </c>
      <c r="M164" s="41" t="s">
        <v>2600</v>
      </c>
      <c r="N164" s="41" t="s">
        <v>2600</v>
      </c>
      <c r="O164" s="41" t="s">
        <v>2601</v>
      </c>
      <c r="P164" s="41" t="s">
        <v>2656</v>
      </c>
      <c r="Q164" s="41" t="s">
        <v>2604</v>
      </c>
      <c r="R164" s="41" t="s">
        <v>2604</v>
      </c>
      <c r="S164" s="41" t="s">
        <v>2658</v>
      </c>
      <c r="T164" s="41" t="s">
        <v>2658</v>
      </c>
      <c r="U164" s="41" t="s">
        <v>2656</v>
      </c>
      <c r="V164" s="41" t="s">
        <v>2415</v>
      </c>
      <c r="W164" s="41" t="s">
        <v>2415</v>
      </c>
      <c r="X164" s="41" t="s">
        <v>2659</v>
      </c>
      <c r="Y164" s="41" t="s">
        <v>2422</v>
      </c>
      <c r="Z164" s="41" t="s">
        <v>2659</v>
      </c>
      <c r="AA164" s="41" t="s">
        <v>2659</v>
      </c>
      <c r="AB164" s="41" t="s">
        <v>2659</v>
      </c>
      <c r="AC164" s="41" t="s">
        <v>2659</v>
      </c>
      <c r="AD164" s="41" t="s">
        <v>2422</v>
      </c>
      <c r="AE164" s="41" t="s">
        <v>2422</v>
      </c>
      <c r="AF164" s="41" t="s">
        <v>2422</v>
      </c>
      <c r="AG164" s="41" t="s">
        <v>2660</v>
      </c>
      <c r="AH164" s="41" t="s">
        <v>2423</v>
      </c>
      <c r="AI164" s="41" t="s">
        <v>2423</v>
      </c>
      <c r="AJ164" s="41" t="s">
        <v>2417</v>
      </c>
      <c r="AK164" s="41" t="s">
        <v>2425</v>
      </c>
      <c r="AL164" s="41" t="s">
        <v>2428</v>
      </c>
      <c r="AM164" s="41" t="s">
        <v>2428</v>
      </c>
      <c r="AN164" s="41" t="s">
        <v>2428</v>
      </c>
      <c r="AO164" s="41" t="s">
        <v>2428</v>
      </c>
      <c r="AP164" s="41" t="s">
        <v>2428</v>
      </c>
      <c r="AQ164" s="41" t="s">
        <v>2428</v>
      </c>
    </row>
    <row r="165" ht="15.5" spans="1:43">
      <c r="A165" s="38" t="s">
        <v>4053</v>
      </c>
      <c r="B165" s="39" t="s">
        <v>4053</v>
      </c>
      <c r="C165" s="41" t="s">
        <v>67</v>
      </c>
      <c r="D165" s="41" t="s">
        <v>67</v>
      </c>
      <c r="E165" s="41" t="s">
        <v>67</v>
      </c>
      <c r="F165" s="41" t="s">
        <v>67</v>
      </c>
      <c r="G165" s="41" t="s">
        <v>67</v>
      </c>
      <c r="H165" s="41" t="s">
        <v>67</v>
      </c>
      <c r="I165" s="41" t="s">
        <v>67</v>
      </c>
      <c r="J165" s="41" t="s">
        <v>67</v>
      </c>
      <c r="K165" s="41" t="s">
        <v>2589</v>
      </c>
      <c r="L165" s="41" t="s">
        <v>2586</v>
      </c>
      <c r="M165" s="41" t="s">
        <v>2589</v>
      </c>
      <c r="N165" s="41" t="s">
        <v>2589</v>
      </c>
      <c r="O165" s="41" t="s">
        <v>2590</v>
      </c>
      <c r="P165" s="41" t="s">
        <v>2591</v>
      </c>
      <c r="Q165" s="41" t="s">
        <v>2592</v>
      </c>
      <c r="R165" s="41" t="s">
        <v>2593</v>
      </c>
      <c r="S165" s="41" t="s">
        <v>2594</v>
      </c>
      <c r="T165" s="41" t="s">
        <v>2595</v>
      </c>
      <c r="U165" s="41" t="s">
        <v>2596</v>
      </c>
      <c r="V165" s="41" t="s">
        <v>2597</v>
      </c>
      <c r="W165" s="41" t="s">
        <v>2598</v>
      </c>
      <c r="X165" s="41" t="s">
        <v>2599</v>
      </c>
      <c r="Y165" s="41" t="s">
        <v>2600</v>
      </c>
      <c r="Z165" s="41" t="s">
        <v>2601</v>
      </c>
      <c r="AA165" s="41" t="s">
        <v>2601</v>
      </c>
      <c r="AB165" s="41" t="s">
        <v>2600</v>
      </c>
      <c r="AC165" s="41" t="s">
        <v>2602</v>
      </c>
      <c r="AD165" s="41" t="s">
        <v>2602</v>
      </c>
      <c r="AE165" s="41" t="s">
        <v>2600</v>
      </c>
      <c r="AF165" s="41" t="s">
        <v>2603</v>
      </c>
      <c r="AG165" s="41" t="s">
        <v>2600</v>
      </c>
      <c r="AH165" s="41" t="s">
        <v>2604</v>
      </c>
      <c r="AI165" s="41" t="s">
        <v>2411</v>
      </c>
      <c r="AJ165" s="41" t="s">
        <v>2411</v>
      </c>
      <c r="AK165" s="41" t="s">
        <v>2413</v>
      </c>
      <c r="AL165" s="41" t="s">
        <v>2410</v>
      </c>
      <c r="AM165" s="41" t="s">
        <v>2410</v>
      </c>
      <c r="AN165" s="41" t="s">
        <v>2410</v>
      </c>
      <c r="AO165" s="41" t="s">
        <v>2410</v>
      </c>
      <c r="AP165" s="41" t="s">
        <v>2410</v>
      </c>
      <c r="AQ165" s="41" t="s">
        <v>2410</v>
      </c>
    </row>
    <row r="166" ht="13.5" spans="1:43">
      <c r="A166" s="42"/>
      <c r="B166" s="36"/>
      <c r="C166" s="43"/>
      <c r="D166" s="2"/>
      <c r="E166" s="2"/>
      <c r="F166" s="2"/>
      <c r="G166" s="2"/>
      <c r="H166" s="2"/>
      <c r="I166" s="2"/>
      <c r="J166" s="2"/>
      <c r="K166" s="2"/>
      <c r="L166" s="2"/>
      <c r="M166" s="2"/>
      <c r="N166" s="2"/>
      <c r="O166" s="2"/>
      <c r="P166" s="2"/>
      <c r="Q166" s="2"/>
      <c r="R166" s="2"/>
      <c r="S166" s="2"/>
      <c r="T166" s="2"/>
      <c r="U166" s="2"/>
    </row>
    <row r="167" ht="13.5" spans="1:43">
      <c r="A167" s="42"/>
      <c r="B167" s="36"/>
      <c r="C167" s="43"/>
      <c r="D167" s="2"/>
      <c r="E167" s="2"/>
      <c r="F167" s="2"/>
      <c r="G167" s="2"/>
      <c r="H167" s="2"/>
      <c r="I167" s="2"/>
      <c r="J167" s="2"/>
      <c r="K167" s="2"/>
      <c r="L167" s="2"/>
      <c r="M167" s="2"/>
      <c r="N167" s="2"/>
      <c r="O167" s="2"/>
      <c r="P167" s="2"/>
      <c r="Q167" s="2"/>
      <c r="R167" s="2"/>
      <c r="S167" s="2"/>
      <c r="T167" s="2"/>
      <c r="U167" s="2"/>
    </row>
    <row r="168" ht="15.5" spans="1:43">
      <c r="A168" s="3" t="s">
        <v>2408</v>
      </c>
      <c r="B168" s="36"/>
      <c r="C168" s="27" t="s">
        <v>2367</v>
      </c>
      <c r="D168" s="27" t="s">
        <v>2368</v>
      </c>
      <c r="E168" s="27" t="s">
        <v>2369</v>
      </c>
      <c r="F168" s="27" t="s">
        <v>2370</v>
      </c>
      <c r="G168" s="27" t="s">
        <v>2371</v>
      </c>
      <c r="H168" s="27" t="s">
        <v>2372</v>
      </c>
      <c r="I168" s="27" t="s">
        <v>2373</v>
      </c>
      <c r="J168" s="27" t="s">
        <v>2374</v>
      </c>
      <c r="K168" s="27" t="s">
        <v>2375</v>
      </c>
      <c r="L168" s="27" t="s">
        <v>2376</v>
      </c>
      <c r="M168" s="27" t="s">
        <v>2377</v>
      </c>
      <c r="N168" s="27" t="s">
        <v>2378</v>
      </c>
      <c r="O168" s="27" t="s">
        <v>2379</v>
      </c>
      <c r="P168" s="27" t="s">
        <v>2380</v>
      </c>
      <c r="Q168" s="27" t="s">
        <v>2381</v>
      </c>
      <c r="R168" s="27" t="s">
        <v>2382</v>
      </c>
      <c r="S168" s="27" t="s">
        <v>2383</v>
      </c>
      <c r="T168" s="27" t="s">
        <v>2384</v>
      </c>
      <c r="U168" s="27" t="s">
        <v>2385</v>
      </c>
      <c r="V168" s="27" t="s">
        <v>2386</v>
      </c>
      <c r="W168" s="27" t="s">
        <v>2387</v>
      </c>
      <c r="X168" s="27" t="s">
        <v>2388</v>
      </c>
      <c r="Y168" s="27" t="s">
        <v>2389</v>
      </c>
      <c r="Z168" s="27" t="s">
        <v>2390</v>
      </c>
      <c r="AA168" s="27" t="s">
        <v>2391</v>
      </c>
      <c r="AB168" s="27" t="s">
        <v>2392</v>
      </c>
      <c r="AC168" s="27" t="s">
        <v>2393</v>
      </c>
      <c r="AD168" s="27" t="s">
        <v>2394</v>
      </c>
      <c r="AE168" s="27" t="s">
        <v>2395</v>
      </c>
      <c r="AF168" s="27" t="s">
        <v>2396</v>
      </c>
      <c r="AG168" s="27" t="s">
        <v>2397</v>
      </c>
      <c r="AH168" s="27" t="s">
        <v>2398</v>
      </c>
      <c r="AI168" s="27" t="s">
        <v>2399</v>
      </c>
      <c r="AJ168" s="27" t="s">
        <v>2400</v>
      </c>
      <c r="AK168" s="27" t="s">
        <v>2401</v>
      </c>
      <c r="AL168" s="27" t="s">
        <v>2402</v>
      </c>
      <c r="AM168" s="27" t="s">
        <v>2403</v>
      </c>
      <c r="AN168" s="27" t="s">
        <v>2404</v>
      </c>
      <c r="AO168" s="27" t="s">
        <v>2405</v>
      </c>
      <c r="AP168" s="27" t="s">
        <v>2406</v>
      </c>
      <c r="AQ168" s="27" t="s">
        <v>2407</v>
      </c>
    </row>
    <row r="169" ht="13.5" spans="1:43">
      <c r="A169" s="11" t="s">
        <v>2409</v>
      </c>
      <c r="B169" s="44" t="s">
        <v>2409</v>
      </c>
      <c r="C169" s="37" t="s">
        <v>2410</v>
      </c>
      <c r="D169" s="37" t="s">
        <v>2411</v>
      </c>
      <c r="E169" s="37" t="s">
        <v>2412</v>
      </c>
      <c r="F169" s="37" t="s">
        <v>2413</v>
      </c>
      <c r="G169" s="37" t="s">
        <v>2414</v>
      </c>
      <c r="H169" s="37" t="s">
        <v>2415</v>
      </c>
      <c r="I169" s="37" t="s">
        <v>2416</v>
      </c>
      <c r="J169" s="37" t="s">
        <v>2417</v>
      </c>
      <c r="K169" s="37" t="s">
        <v>2418</v>
      </c>
      <c r="L169" s="37" t="s">
        <v>2419</v>
      </c>
      <c r="M169" s="37" t="s">
        <v>2420</v>
      </c>
      <c r="N169" s="37" t="s">
        <v>2416</v>
      </c>
      <c r="O169" s="37" t="s">
        <v>2421</v>
      </c>
      <c r="P169" s="37" t="s">
        <v>2422</v>
      </c>
      <c r="Q169" s="37" t="s">
        <v>2423</v>
      </c>
      <c r="R169" s="37" t="s">
        <v>2410</v>
      </c>
      <c r="S169" s="37" t="s">
        <v>2421</v>
      </c>
      <c r="T169" s="37" t="s">
        <v>2411</v>
      </c>
      <c r="U169" s="37" t="s">
        <v>2424</v>
      </c>
      <c r="V169" s="37" t="s">
        <v>2425</v>
      </c>
      <c r="W169" s="37" t="s">
        <v>2414</v>
      </c>
      <c r="X169" s="37" t="s">
        <v>2417</v>
      </c>
      <c r="Y169" s="37" t="s">
        <v>2426</v>
      </c>
      <c r="Z169" s="37" t="s">
        <v>2414</v>
      </c>
      <c r="AA169" s="37" t="s">
        <v>2427</v>
      </c>
      <c r="AB169" s="37" t="s">
        <v>2416</v>
      </c>
      <c r="AC169" s="37" t="s">
        <v>2410</v>
      </c>
      <c r="AD169" s="37" t="s">
        <v>2428</v>
      </c>
      <c r="AE169" s="37" t="s">
        <v>2429</v>
      </c>
      <c r="AF169" s="37" t="s">
        <v>2416</v>
      </c>
      <c r="AG169" s="37" t="s">
        <v>2425</v>
      </c>
      <c r="AH169" s="37" t="s">
        <v>2426</v>
      </c>
      <c r="AI169" s="37" t="s">
        <v>2429</v>
      </c>
      <c r="AJ169" s="37" t="s">
        <v>2428</v>
      </c>
      <c r="AK169" s="37" t="s">
        <v>2414</v>
      </c>
      <c r="AL169" s="37" t="s">
        <v>2429</v>
      </c>
      <c r="AM169" s="37" t="s">
        <v>2427</v>
      </c>
      <c r="AN169" s="37" t="s">
        <v>2426</v>
      </c>
      <c r="AO169" s="37" t="s">
        <v>2414</v>
      </c>
      <c r="AP169" s="37" t="s">
        <v>2429</v>
      </c>
      <c r="AQ169" s="37" t="s">
        <v>2427</v>
      </c>
    </row>
    <row r="170" ht="13.5" spans="1:43">
      <c r="A170" s="11"/>
      <c r="B170" s="44" t="s">
        <v>4054</v>
      </c>
      <c r="C170" s="37" t="s">
        <v>2410</v>
      </c>
      <c r="D170" s="37" t="s">
        <v>2411</v>
      </c>
      <c r="E170" s="37" t="s">
        <v>2412</v>
      </c>
      <c r="F170" s="37" t="s">
        <v>2413</v>
      </c>
      <c r="G170" s="37" t="s">
        <v>2414</v>
      </c>
      <c r="H170" s="37" t="s">
        <v>2415</v>
      </c>
      <c r="I170" s="37" t="s">
        <v>2416</v>
      </c>
      <c r="J170" s="37" t="s">
        <v>2417</v>
      </c>
      <c r="K170" s="37" t="s">
        <v>2418</v>
      </c>
      <c r="L170" s="37" t="s">
        <v>2419</v>
      </c>
      <c r="M170" s="37" t="s">
        <v>2420</v>
      </c>
      <c r="N170" s="37" t="s">
        <v>2416</v>
      </c>
      <c r="O170" s="37" t="s">
        <v>2421</v>
      </c>
      <c r="P170" s="37" t="s">
        <v>2422</v>
      </c>
      <c r="Q170" s="37" t="s">
        <v>2423</v>
      </c>
      <c r="R170" s="37" t="s">
        <v>2410</v>
      </c>
      <c r="S170" s="37" t="s">
        <v>2421</v>
      </c>
      <c r="T170" s="37" t="s">
        <v>2411</v>
      </c>
      <c r="U170" s="37" t="s">
        <v>2424</v>
      </c>
      <c r="V170" s="37" t="s">
        <v>2425</v>
      </c>
      <c r="W170" s="37" t="s">
        <v>2414</v>
      </c>
      <c r="X170" s="37" t="s">
        <v>2417</v>
      </c>
      <c r="Y170" s="37" t="s">
        <v>2426</v>
      </c>
      <c r="Z170" s="37" t="s">
        <v>2414</v>
      </c>
      <c r="AA170" s="37" t="s">
        <v>2427</v>
      </c>
      <c r="AB170" s="37" t="s">
        <v>2416</v>
      </c>
      <c r="AC170" s="37" t="s">
        <v>2410</v>
      </c>
      <c r="AD170" s="37" t="s">
        <v>2428</v>
      </c>
      <c r="AE170" s="37" t="s">
        <v>2429</v>
      </c>
      <c r="AF170" s="37" t="s">
        <v>2416</v>
      </c>
      <c r="AG170" s="37" t="s">
        <v>2425</v>
      </c>
      <c r="AH170" s="37" t="s">
        <v>2426</v>
      </c>
      <c r="AI170" s="37" t="s">
        <v>2429</v>
      </c>
      <c r="AJ170" s="37" t="s">
        <v>2428</v>
      </c>
      <c r="AK170" s="37" t="s">
        <v>2414</v>
      </c>
      <c r="AL170" s="37" t="s">
        <v>2429</v>
      </c>
      <c r="AM170" s="37" t="s">
        <v>2427</v>
      </c>
      <c r="AN170" s="37" t="s">
        <v>2426</v>
      </c>
      <c r="AO170" s="37" t="s">
        <v>2414</v>
      </c>
      <c r="AP170" s="37" t="s">
        <v>2429</v>
      </c>
      <c r="AQ170" s="37" t="s">
        <v>2427</v>
      </c>
    </row>
    <row r="171" ht="13.5" spans="1:43">
      <c r="A171" s="11"/>
      <c r="B171" s="44" t="s">
        <v>4055</v>
      </c>
      <c r="C171" s="37" t="s">
        <v>67</v>
      </c>
      <c r="D171" s="37" t="s">
        <v>67</v>
      </c>
      <c r="E171" s="37" t="s">
        <v>67</v>
      </c>
      <c r="F171" s="37" t="s">
        <v>67</v>
      </c>
      <c r="G171" s="37" t="s">
        <v>67</v>
      </c>
      <c r="H171" s="37" t="s">
        <v>67</v>
      </c>
      <c r="I171" s="37" t="s">
        <v>67</v>
      </c>
      <c r="J171" s="37" t="s">
        <v>67</v>
      </c>
      <c r="K171" s="37" t="s">
        <v>67</v>
      </c>
      <c r="L171" s="37" t="s">
        <v>67</v>
      </c>
      <c r="M171" s="37" t="s">
        <v>67</v>
      </c>
      <c r="N171" s="37" t="s">
        <v>67</v>
      </c>
      <c r="O171" s="37" t="s">
        <v>67</v>
      </c>
      <c r="P171" s="37" t="s">
        <v>67</v>
      </c>
      <c r="Q171" s="37" t="s">
        <v>67</v>
      </c>
      <c r="R171" s="37" t="s">
        <v>67</v>
      </c>
      <c r="S171" s="37" t="s">
        <v>67</v>
      </c>
      <c r="T171" s="37" t="s">
        <v>67</v>
      </c>
      <c r="U171" s="37" t="s">
        <v>67</v>
      </c>
      <c r="V171" s="37" t="s">
        <v>67</v>
      </c>
      <c r="W171" s="37" t="s">
        <v>67</v>
      </c>
      <c r="X171" s="37" t="s">
        <v>67</v>
      </c>
      <c r="Y171" s="37" t="s">
        <v>67</v>
      </c>
      <c r="Z171" s="37" t="s">
        <v>67</v>
      </c>
      <c r="AA171" s="37" t="s">
        <v>67</v>
      </c>
      <c r="AB171" s="37" t="s">
        <v>67</v>
      </c>
      <c r="AC171" s="37" t="s">
        <v>67</v>
      </c>
      <c r="AD171" s="37" t="s">
        <v>67</v>
      </c>
      <c r="AE171" s="37" t="s">
        <v>67</v>
      </c>
      <c r="AF171" s="37" t="s">
        <v>67</v>
      </c>
      <c r="AG171" s="37" t="s">
        <v>67</v>
      </c>
      <c r="AH171" s="37" t="s">
        <v>67</v>
      </c>
      <c r="AI171" s="37" t="s">
        <v>67</v>
      </c>
      <c r="AJ171" s="37" t="s">
        <v>67</v>
      </c>
      <c r="AK171" s="37" t="s">
        <v>67</v>
      </c>
      <c r="AL171" s="37" t="s">
        <v>67</v>
      </c>
      <c r="AM171" s="37" t="s">
        <v>67</v>
      </c>
      <c r="AN171" s="37" t="s">
        <v>67</v>
      </c>
      <c r="AO171" s="37" t="s">
        <v>67</v>
      </c>
      <c r="AP171" s="37" t="s">
        <v>67</v>
      </c>
      <c r="AQ171" s="37" t="s">
        <v>67</v>
      </c>
    </row>
    <row r="172" ht="13.5" spans="1:43">
      <c r="A172" s="11"/>
      <c r="B172" s="44" t="s">
        <v>4056</v>
      </c>
      <c r="C172" s="37" t="s">
        <v>67</v>
      </c>
      <c r="D172" s="37" t="s">
        <v>67</v>
      </c>
      <c r="E172" s="37" t="s">
        <v>67</v>
      </c>
      <c r="F172" s="37" t="s">
        <v>67</v>
      </c>
      <c r="G172" s="37" t="s">
        <v>67</v>
      </c>
      <c r="H172" s="37" t="s">
        <v>67</v>
      </c>
      <c r="I172" s="37" t="s">
        <v>67</v>
      </c>
      <c r="J172" s="37" t="s">
        <v>67</v>
      </c>
      <c r="K172" s="37" t="s">
        <v>67</v>
      </c>
      <c r="L172" s="37" t="s">
        <v>67</v>
      </c>
      <c r="M172" s="37" t="s">
        <v>67</v>
      </c>
      <c r="N172" s="37" t="s">
        <v>67</v>
      </c>
      <c r="O172" s="37" t="s">
        <v>67</v>
      </c>
      <c r="P172" s="37" t="s">
        <v>67</v>
      </c>
      <c r="Q172" s="37" t="s">
        <v>67</v>
      </c>
      <c r="R172" s="37" t="s">
        <v>67</v>
      </c>
      <c r="S172" s="37" t="s">
        <v>67</v>
      </c>
      <c r="T172" s="37" t="s">
        <v>67</v>
      </c>
      <c r="U172" s="37" t="s">
        <v>67</v>
      </c>
      <c r="V172" s="37" t="s">
        <v>67</v>
      </c>
      <c r="W172" s="37" t="s">
        <v>67</v>
      </c>
      <c r="X172" s="37" t="s">
        <v>67</v>
      </c>
      <c r="Y172" s="37" t="s">
        <v>67</v>
      </c>
      <c r="Z172" s="37" t="s">
        <v>67</v>
      </c>
      <c r="AA172" s="37" t="s">
        <v>67</v>
      </c>
      <c r="AB172" s="37" t="s">
        <v>67</v>
      </c>
      <c r="AC172" s="37" t="s">
        <v>67</v>
      </c>
      <c r="AD172" s="37" t="s">
        <v>67</v>
      </c>
      <c r="AE172" s="37" t="s">
        <v>67</v>
      </c>
      <c r="AF172" s="37" t="s">
        <v>67</v>
      </c>
      <c r="AG172" s="37" t="s">
        <v>67</v>
      </c>
      <c r="AH172" s="37" t="s">
        <v>67</v>
      </c>
      <c r="AI172" s="37" t="s">
        <v>67</v>
      </c>
      <c r="AJ172" s="37" t="s">
        <v>67</v>
      </c>
      <c r="AK172" s="37" t="s">
        <v>67</v>
      </c>
      <c r="AL172" s="37" t="s">
        <v>67</v>
      </c>
      <c r="AM172" s="37" t="s">
        <v>67</v>
      </c>
      <c r="AN172" s="37" t="s">
        <v>67</v>
      </c>
      <c r="AO172" s="37" t="s">
        <v>67</v>
      </c>
      <c r="AP172" s="37" t="s">
        <v>67</v>
      </c>
      <c r="AQ172" s="37" t="s">
        <v>67</v>
      </c>
    </row>
    <row r="173" ht="13.5" spans="1:43">
      <c r="A173" s="11"/>
      <c r="B173" s="44" t="s">
        <v>4057</v>
      </c>
      <c r="C173" s="37" t="s">
        <v>67</v>
      </c>
      <c r="D173" s="37" t="s">
        <v>67</v>
      </c>
      <c r="E173" s="37" t="s">
        <v>67</v>
      </c>
      <c r="F173" s="37" t="s">
        <v>67</v>
      </c>
      <c r="G173" s="37" t="s">
        <v>67</v>
      </c>
      <c r="H173" s="37" t="s">
        <v>67</v>
      </c>
      <c r="I173" s="37" t="s">
        <v>67</v>
      </c>
      <c r="J173" s="37" t="s">
        <v>67</v>
      </c>
      <c r="K173" s="37" t="s">
        <v>67</v>
      </c>
      <c r="L173" s="37" t="s">
        <v>67</v>
      </c>
      <c r="M173" s="37" t="s">
        <v>67</v>
      </c>
      <c r="N173" s="37" t="s">
        <v>67</v>
      </c>
      <c r="O173" s="37" t="s">
        <v>67</v>
      </c>
      <c r="P173" s="37" t="s">
        <v>67</v>
      </c>
      <c r="Q173" s="37" t="s">
        <v>67</v>
      </c>
      <c r="R173" s="37" t="s">
        <v>67</v>
      </c>
      <c r="S173" s="37" t="s">
        <v>67</v>
      </c>
      <c r="T173" s="37" t="s">
        <v>67</v>
      </c>
      <c r="U173" s="37" t="s">
        <v>67</v>
      </c>
      <c r="V173" s="37" t="s">
        <v>67</v>
      </c>
      <c r="W173" s="37" t="s">
        <v>67</v>
      </c>
      <c r="X173" s="37" t="s">
        <v>67</v>
      </c>
      <c r="Y173" s="37" t="s">
        <v>67</v>
      </c>
      <c r="Z173" s="37" t="s">
        <v>67</v>
      </c>
      <c r="AA173" s="37" t="s">
        <v>67</v>
      </c>
      <c r="AB173" s="37" t="s">
        <v>67</v>
      </c>
      <c r="AC173" s="37" t="s">
        <v>67</v>
      </c>
      <c r="AD173" s="37" t="s">
        <v>67</v>
      </c>
      <c r="AE173" s="37" t="s">
        <v>67</v>
      </c>
      <c r="AF173" s="37" t="s">
        <v>67</v>
      </c>
      <c r="AG173" s="37" t="s">
        <v>67</v>
      </c>
      <c r="AH173" s="37" t="s">
        <v>67</v>
      </c>
      <c r="AI173" s="37" t="s">
        <v>67</v>
      </c>
      <c r="AJ173" s="37" t="s">
        <v>67</v>
      </c>
      <c r="AK173" s="37" t="s">
        <v>67</v>
      </c>
      <c r="AL173" s="37" t="s">
        <v>67</v>
      </c>
      <c r="AM173" s="37" t="s">
        <v>67</v>
      </c>
      <c r="AN173" s="37" t="s">
        <v>67</v>
      </c>
      <c r="AO173" s="37" t="s">
        <v>67</v>
      </c>
      <c r="AP173" s="37" t="s">
        <v>67</v>
      </c>
      <c r="AQ173" s="37" t="s">
        <v>67</v>
      </c>
    </row>
    <row r="174" ht="13.5" spans="1:43">
      <c r="A174" s="11" t="s">
        <v>4058</v>
      </c>
      <c r="B174" s="44" t="s">
        <v>4058</v>
      </c>
      <c r="C174" s="37" t="s">
        <v>2418</v>
      </c>
      <c r="D174" s="37" t="s">
        <v>2658</v>
      </c>
      <c r="E174" s="37" t="s">
        <v>2659</v>
      </c>
      <c r="F174" s="37" t="s">
        <v>2424</v>
      </c>
      <c r="G174" s="37" t="s">
        <v>2421</v>
      </c>
      <c r="H174" s="37" t="s">
        <v>2656</v>
      </c>
      <c r="I174" s="37" t="s">
        <v>2660</v>
      </c>
      <c r="J174" s="37" t="s">
        <v>2417</v>
      </c>
      <c r="K174" s="37" t="s">
        <v>2418</v>
      </c>
      <c r="L174" s="37" t="s">
        <v>2604</v>
      </c>
      <c r="M174" s="37" t="s">
        <v>3475</v>
      </c>
      <c r="N174" s="37" t="s">
        <v>2416</v>
      </c>
      <c r="O174" s="37" t="s">
        <v>2421</v>
      </c>
      <c r="P174" s="37" t="s">
        <v>2415</v>
      </c>
      <c r="Q174" s="37" t="s">
        <v>2416</v>
      </c>
      <c r="R174" s="37" t="s">
        <v>2410</v>
      </c>
      <c r="S174" s="37" t="s">
        <v>2421</v>
      </c>
      <c r="T174" s="37" t="s">
        <v>2411</v>
      </c>
      <c r="U174" s="37" t="s">
        <v>2424</v>
      </c>
      <c r="V174" s="37" t="s">
        <v>2425</v>
      </c>
      <c r="W174" s="37" t="s">
        <v>2414</v>
      </c>
      <c r="X174" s="37" t="s">
        <v>2424</v>
      </c>
      <c r="Y174" s="37" t="s">
        <v>2428</v>
      </c>
      <c r="Z174" s="37" t="s">
        <v>2414</v>
      </c>
      <c r="AA174" s="37" t="s">
        <v>2427</v>
      </c>
      <c r="AB174" s="37" t="s">
        <v>2416</v>
      </c>
      <c r="AC174" s="37" t="s">
        <v>2418</v>
      </c>
      <c r="AD174" s="37" t="s">
        <v>2428</v>
      </c>
      <c r="AE174" s="37" t="s">
        <v>2429</v>
      </c>
      <c r="AF174" s="37" t="s">
        <v>2423</v>
      </c>
      <c r="AG174" s="37" t="s">
        <v>2425</v>
      </c>
      <c r="AH174" s="37" t="s">
        <v>2426</v>
      </c>
      <c r="AI174" s="37" t="s">
        <v>2429</v>
      </c>
      <c r="AJ174" s="37" t="s">
        <v>2428</v>
      </c>
      <c r="AK174" s="37" t="s">
        <v>2414</v>
      </c>
      <c r="AL174" s="37" t="s">
        <v>2429</v>
      </c>
      <c r="AM174" s="37" t="s">
        <v>4059</v>
      </c>
      <c r="AN174" s="37" t="s">
        <v>2426</v>
      </c>
      <c r="AO174" s="37" t="s">
        <v>2414</v>
      </c>
      <c r="AP174" s="37" t="s">
        <v>2429</v>
      </c>
      <c r="AQ174" s="37" t="s">
        <v>2427</v>
      </c>
    </row>
    <row r="175" ht="13.5" spans="1:43">
      <c r="A175" s="11"/>
      <c r="B175" s="44" t="s">
        <v>4060</v>
      </c>
      <c r="C175" s="37" t="s">
        <v>2425</v>
      </c>
      <c r="D175" s="37" t="s">
        <v>3475</v>
      </c>
      <c r="E175" s="37" t="s">
        <v>2423</v>
      </c>
      <c r="F175" s="37" t="s">
        <v>2410</v>
      </c>
      <c r="G175" s="37" t="s">
        <v>2414</v>
      </c>
      <c r="H175" s="37" t="s">
        <v>2660</v>
      </c>
      <c r="I175" s="37" t="s">
        <v>2417</v>
      </c>
      <c r="J175" s="37" t="s">
        <v>2410</v>
      </c>
      <c r="K175" s="37" t="s">
        <v>2425</v>
      </c>
      <c r="L175" s="37" t="s">
        <v>2415</v>
      </c>
      <c r="M175" s="37" t="s">
        <v>2660</v>
      </c>
      <c r="N175" s="37" t="s">
        <v>2417</v>
      </c>
      <c r="O175" s="37" t="s">
        <v>2414</v>
      </c>
      <c r="P175" s="37" t="s">
        <v>2423</v>
      </c>
      <c r="Q175" s="37" t="s">
        <v>2413</v>
      </c>
      <c r="R175" s="37" t="s">
        <v>2425</v>
      </c>
      <c r="S175" s="37" t="s">
        <v>2414</v>
      </c>
      <c r="T175" s="37" t="s">
        <v>2422</v>
      </c>
      <c r="U175" s="37" t="s">
        <v>2418</v>
      </c>
      <c r="V175" s="37" t="s">
        <v>2426</v>
      </c>
      <c r="W175" s="37" t="s">
        <v>2429</v>
      </c>
      <c r="X175" s="37" t="s">
        <v>2418</v>
      </c>
      <c r="Y175" s="37" t="s">
        <v>2414</v>
      </c>
      <c r="Z175" s="37" t="s">
        <v>2429</v>
      </c>
      <c r="AA175" s="37" t="s">
        <v>4061</v>
      </c>
      <c r="AB175" s="37" t="s">
        <v>2413</v>
      </c>
      <c r="AC175" s="37" t="s">
        <v>2428</v>
      </c>
      <c r="AD175" s="37" t="s">
        <v>2421</v>
      </c>
      <c r="AE175" s="37" t="s">
        <v>2427</v>
      </c>
      <c r="AF175" s="37" t="s">
        <v>2410</v>
      </c>
      <c r="AG175" s="37" t="s">
        <v>2426</v>
      </c>
      <c r="AH175" s="37" t="s">
        <v>2414</v>
      </c>
      <c r="AI175" s="37" t="s">
        <v>2427</v>
      </c>
      <c r="AJ175" s="37" t="s">
        <v>2421</v>
      </c>
      <c r="AK175" s="37" t="s">
        <v>2429</v>
      </c>
      <c r="AL175" s="37" t="s">
        <v>2427</v>
      </c>
      <c r="AM175" s="37" t="s">
        <v>4062</v>
      </c>
      <c r="AN175" s="37" t="s">
        <v>2414</v>
      </c>
      <c r="AO175" s="37" t="s">
        <v>2429</v>
      </c>
      <c r="AP175" s="37" t="s">
        <v>2427</v>
      </c>
      <c r="AQ175" s="37" t="s">
        <v>4063</v>
      </c>
    </row>
    <row r="176" ht="13.5" spans="1:43">
      <c r="A176" s="11"/>
      <c r="B176" s="44" t="s">
        <v>4064</v>
      </c>
      <c r="C176" s="37" t="s">
        <v>67</v>
      </c>
      <c r="D176" s="37" t="s">
        <v>67</v>
      </c>
      <c r="E176" s="37" t="s">
        <v>67</v>
      </c>
      <c r="F176" s="37" t="s">
        <v>67</v>
      </c>
      <c r="G176" s="37" t="s">
        <v>67</v>
      </c>
      <c r="H176" s="37" t="s">
        <v>67</v>
      </c>
      <c r="I176" s="37" t="s">
        <v>67</v>
      </c>
      <c r="J176" s="37" t="s">
        <v>67</v>
      </c>
      <c r="K176" s="37" t="s">
        <v>67</v>
      </c>
      <c r="L176" s="37" t="s">
        <v>67</v>
      </c>
      <c r="M176" s="37" t="s">
        <v>67</v>
      </c>
      <c r="N176" s="37" t="s">
        <v>67</v>
      </c>
      <c r="O176" s="37" t="s">
        <v>67</v>
      </c>
      <c r="P176" s="37" t="s">
        <v>67</v>
      </c>
      <c r="Q176" s="37" t="s">
        <v>67</v>
      </c>
      <c r="R176" s="37" t="s">
        <v>67</v>
      </c>
      <c r="S176" s="37" t="s">
        <v>67</v>
      </c>
      <c r="T176" s="37" t="s">
        <v>67</v>
      </c>
      <c r="U176" s="37" t="s">
        <v>67</v>
      </c>
      <c r="V176" s="37" t="s">
        <v>67</v>
      </c>
      <c r="W176" s="37" t="s">
        <v>67</v>
      </c>
      <c r="X176" s="37" t="s">
        <v>67</v>
      </c>
      <c r="Y176" s="37" t="s">
        <v>67</v>
      </c>
      <c r="Z176" s="37" t="s">
        <v>67</v>
      </c>
      <c r="AA176" s="37" t="s">
        <v>67</v>
      </c>
      <c r="AB176" s="37" t="s">
        <v>67</v>
      </c>
      <c r="AC176" s="37" t="s">
        <v>67</v>
      </c>
      <c r="AD176" s="37" t="s">
        <v>67</v>
      </c>
      <c r="AE176" s="37" t="s">
        <v>67</v>
      </c>
      <c r="AF176" s="37" t="s">
        <v>67</v>
      </c>
      <c r="AG176" s="37" t="s">
        <v>67</v>
      </c>
      <c r="AH176" s="37" t="s">
        <v>67</v>
      </c>
      <c r="AI176" s="37" t="s">
        <v>67</v>
      </c>
      <c r="AJ176" s="37" t="s">
        <v>67</v>
      </c>
      <c r="AK176" s="37" t="s">
        <v>67</v>
      </c>
      <c r="AL176" s="37" t="s">
        <v>67</v>
      </c>
      <c r="AM176" s="37" t="s">
        <v>67</v>
      </c>
      <c r="AN176" s="37" t="s">
        <v>67</v>
      </c>
      <c r="AO176" s="37" t="s">
        <v>67</v>
      </c>
      <c r="AP176" s="37" t="s">
        <v>67</v>
      </c>
      <c r="AQ176" s="37" t="s">
        <v>67</v>
      </c>
    </row>
    <row r="177" ht="13.5" spans="1:43">
      <c r="A177" s="11"/>
      <c r="B177" s="44" t="s">
        <v>4065</v>
      </c>
      <c r="C177" s="37" t="s">
        <v>4066</v>
      </c>
      <c r="D177" s="37" t="s">
        <v>4067</v>
      </c>
      <c r="E177" s="37" t="s">
        <v>4068</v>
      </c>
      <c r="F177" s="37" t="s">
        <v>4069</v>
      </c>
      <c r="G177" s="37" t="s">
        <v>4070</v>
      </c>
      <c r="H177" s="37" t="s">
        <v>4071</v>
      </c>
      <c r="I177" s="37" t="s">
        <v>4072</v>
      </c>
      <c r="J177" s="37" t="s">
        <v>4073</v>
      </c>
      <c r="K177" s="37" t="s">
        <v>4074</v>
      </c>
      <c r="L177" s="37" t="s">
        <v>4075</v>
      </c>
      <c r="M177" s="37" t="s">
        <v>3962</v>
      </c>
      <c r="N177" s="37" t="s">
        <v>4076</v>
      </c>
      <c r="O177" s="37" t="s">
        <v>3313</v>
      </c>
      <c r="P177" s="37" t="s">
        <v>4077</v>
      </c>
      <c r="Q177" s="37" t="s">
        <v>3703</v>
      </c>
      <c r="R177" s="37" t="s">
        <v>4078</v>
      </c>
      <c r="S177" s="37" t="s">
        <v>3975</v>
      </c>
      <c r="T177" s="37" t="s">
        <v>4079</v>
      </c>
      <c r="U177" s="37" t="s">
        <v>4080</v>
      </c>
      <c r="V177" s="37" t="s">
        <v>4081</v>
      </c>
      <c r="W177" s="37" t="s">
        <v>4082</v>
      </c>
      <c r="X177" s="37" t="s">
        <v>4083</v>
      </c>
      <c r="Y177" s="37" t="s">
        <v>2841</v>
      </c>
      <c r="Z177" s="37" t="s">
        <v>4084</v>
      </c>
      <c r="AA177" s="37" t="s">
        <v>3585</v>
      </c>
      <c r="AB177" s="37" t="s">
        <v>4085</v>
      </c>
      <c r="AC177" s="37" t="s">
        <v>4086</v>
      </c>
      <c r="AD177" s="37" t="s">
        <v>4087</v>
      </c>
      <c r="AE177" s="37" t="s">
        <v>4088</v>
      </c>
      <c r="AF177" s="37" t="s">
        <v>4089</v>
      </c>
      <c r="AG177" s="37" t="s">
        <v>3558</v>
      </c>
      <c r="AH177" s="37" t="s">
        <v>4087</v>
      </c>
      <c r="AI177" s="37" t="s">
        <v>4090</v>
      </c>
      <c r="AJ177" s="37" t="s">
        <v>4091</v>
      </c>
      <c r="AK177" s="37" t="s">
        <v>4092</v>
      </c>
      <c r="AL177" s="37" t="s">
        <v>4093</v>
      </c>
      <c r="AM177" s="37" t="s">
        <v>3626</v>
      </c>
      <c r="AN177" s="37" t="s">
        <v>4094</v>
      </c>
      <c r="AO177" s="37" t="s">
        <v>4095</v>
      </c>
      <c r="AP177" s="37" t="s">
        <v>4096</v>
      </c>
      <c r="AQ177" s="37" t="s">
        <v>4097</v>
      </c>
    </row>
    <row r="178" ht="13.5" spans="1:43">
      <c r="A178" s="11"/>
      <c r="B178" s="44" t="s">
        <v>4098</v>
      </c>
      <c r="C178" s="37" t="s">
        <v>67</v>
      </c>
      <c r="D178" s="37" t="s">
        <v>67</v>
      </c>
      <c r="E178" s="37" t="s">
        <v>67</v>
      </c>
      <c r="F178" s="37" t="s">
        <v>67</v>
      </c>
      <c r="G178" s="37" t="s">
        <v>67</v>
      </c>
      <c r="H178" s="37" t="s">
        <v>67</v>
      </c>
      <c r="I178" s="37" t="s">
        <v>67</v>
      </c>
      <c r="J178" s="37" t="s">
        <v>67</v>
      </c>
      <c r="K178" s="37" t="s">
        <v>67</v>
      </c>
      <c r="L178" s="37" t="s">
        <v>67</v>
      </c>
      <c r="M178" s="37" t="s">
        <v>67</v>
      </c>
      <c r="N178" s="37" t="s">
        <v>67</v>
      </c>
      <c r="O178" s="37" t="s">
        <v>67</v>
      </c>
      <c r="P178" s="37" t="s">
        <v>67</v>
      </c>
      <c r="Q178" s="37" t="s">
        <v>67</v>
      </c>
      <c r="R178" s="37" t="s">
        <v>67</v>
      </c>
      <c r="S178" s="37" t="s">
        <v>67</v>
      </c>
      <c r="T178" s="37" t="s">
        <v>67</v>
      </c>
      <c r="U178" s="37" t="s">
        <v>67</v>
      </c>
      <c r="V178" s="37" t="s">
        <v>67</v>
      </c>
      <c r="W178" s="37" t="s">
        <v>67</v>
      </c>
      <c r="X178" s="37" t="s">
        <v>67</v>
      </c>
      <c r="Y178" s="37" t="s">
        <v>67</v>
      </c>
      <c r="Z178" s="37" t="s">
        <v>67</v>
      </c>
      <c r="AA178" s="37" t="s">
        <v>67</v>
      </c>
      <c r="AB178" s="37" t="s">
        <v>67</v>
      </c>
      <c r="AC178" s="37" t="s">
        <v>67</v>
      </c>
      <c r="AD178" s="37" t="s">
        <v>67</v>
      </c>
      <c r="AE178" s="37" t="s">
        <v>67</v>
      </c>
      <c r="AF178" s="37" t="s">
        <v>67</v>
      </c>
      <c r="AG178" s="37" t="s">
        <v>67</v>
      </c>
      <c r="AH178" s="37" t="s">
        <v>67</v>
      </c>
      <c r="AI178" s="37" t="s">
        <v>67</v>
      </c>
      <c r="AJ178" s="37" t="s">
        <v>67</v>
      </c>
      <c r="AK178" s="37" t="s">
        <v>67</v>
      </c>
      <c r="AL178" s="37" t="s">
        <v>67</v>
      </c>
      <c r="AM178" s="37" t="s">
        <v>67</v>
      </c>
      <c r="AN178" s="37" t="s">
        <v>67</v>
      </c>
      <c r="AO178" s="37" t="s">
        <v>67</v>
      </c>
      <c r="AP178" s="37" t="s">
        <v>67</v>
      </c>
      <c r="AQ178" s="37" t="s">
        <v>67</v>
      </c>
    </row>
    <row r="179" ht="13.5" spans="1:43">
      <c r="A179" s="11"/>
      <c r="B179" s="44" t="s">
        <v>4099</v>
      </c>
      <c r="C179" s="37" t="s">
        <v>4100</v>
      </c>
      <c r="D179" s="37" t="s">
        <v>2429</v>
      </c>
      <c r="E179" s="37" t="s">
        <v>2427</v>
      </c>
      <c r="F179" s="37" t="s">
        <v>4101</v>
      </c>
      <c r="G179" s="37" t="s">
        <v>4102</v>
      </c>
      <c r="H179" s="37" t="s">
        <v>2429</v>
      </c>
      <c r="I179" s="37" t="s">
        <v>2427</v>
      </c>
      <c r="J179" s="37" t="s">
        <v>4103</v>
      </c>
      <c r="K179" s="37" t="s">
        <v>4104</v>
      </c>
      <c r="L179" s="37" t="s">
        <v>2429</v>
      </c>
      <c r="M179" s="37" t="s">
        <v>2427</v>
      </c>
      <c r="N179" s="37" t="s">
        <v>4105</v>
      </c>
      <c r="O179" s="37" t="s">
        <v>4106</v>
      </c>
      <c r="P179" s="37" t="s">
        <v>2429</v>
      </c>
      <c r="Q179" s="37" t="s">
        <v>2427</v>
      </c>
      <c r="R179" s="37" t="s">
        <v>4107</v>
      </c>
      <c r="S179" s="37" t="s">
        <v>3527</v>
      </c>
      <c r="T179" s="37" t="s">
        <v>2429</v>
      </c>
      <c r="U179" s="37" t="s">
        <v>4108</v>
      </c>
      <c r="V179" s="37" t="s">
        <v>4109</v>
      </c>
      <c r="W179" s="37" t="s">
        <v>4110</v>
      </c>
      <c r="X179" s="37" t="s">
        <v>2427</v>
      </c>
      <c r="Y179" s="37" t="s">
        <v>3568</v>
      </c>
      <c r="Z179" s="37" t="s">
        <v>4111</v>
      </c>
      <c r="AA179" s="37" t="s">
        <v>4112</v>
      </c>
      <c r="AB179" s="37" t="s">
        <v>2427</v>
      </c>
      <c r="AC179" s="37" t="s">
        <v>4113</v>
      </c>
      <c r="AD179" s="37" t="s">
        <v>4114</v>
      </c>
      <c r="AE179" s="37" t="s">
        <v>4115</v>
      </c>
      <c r="AF179" s="37" t="s">
        <v>2427</v>
      </c>
      <c r="AG179" s="37" t="s">
        <v>4116</v>
      </c>
      <c r="AH179" s="37" t="s">
        <v>4117</v>
      </c>
      <c r="AI179" s="37" t="s">
        <v>4118</v>
      </c>
      <c r="AJ179" s="37" t="s">
        <v>4119</v>
      </c>
      <c r="AK179" s="37" t="s">
        <v>4120</v>
      </c>
      <c r="AL179" s="37" t="s">
        <v>4121</v>
      </c>
      <c r="AM179" s="37" t="s">
        <v>4122</v>
      </c>
      <c r="AN179" s="37" t="s">
        <v>4123</v>
      </c>
      <c r="AO179" s="37" t="s">
        <v>4124</v>
      </c>
      <c r="AP179" s="37" t="s">
        <v>3430</v>
      </c>
      <c r="AQ179" s="37" t="s">
        <v>4125</v>
      </c>
    </row>
    <row r="180" ht="13.5" spans="1:43">
      <c r="A180" s="11"/>
      <c r="B180" s="44" t="s">
        <v>4126</v>
      </c>
      <c r="C180" s="37" t="s">
        <v>4127</v>
      </c>
      <c r="D180" s="37" t="s">
        <v>2429</v>
      </c>
      <c r="E180" s="37" t="s">
        <v>2427</v>
      </c>
      <c r="F180" s="37" t="s">
        <v>4128</v>
      </c>
      <c r="G180" s="37" t="s">
        <v>4129</v>
      </c>
      <c r="H180" s="37" t="s">
        <v>2429</v>
      </c>
      <c r="I180" s="37" t="s">
        <v>2429</v>
      </c>
      <c r="J180" s="37" t="s">
        <v>2427</v>
      </c>
      <c r="K180" s="37" t="s">
        <v>4130</v>
      </c>
      <c r="L180" s="37" t="s">
        <v>2429</v>
      </c>
      <c r="M180" s="37" t="s">
        <v>2429</v>
      </c>
      <c r="N180" s="37" t="s">
        <v>2427</v>
      </c>
      <c r="O180" s="37" t="s">
        <v>4131</v>
      </c>
      <c r="P180" s="37" t="s">
        <v>2429</v>
      </c>
      <c r="Q180" s="37" t="s">
        <v>2427</v>
      </c>
      <c r="R180" s="37" t="s">
        <v>4132</v>
      </c>
      <c r="S180" s="37" t="s">
        <v>4133</v>
      </c>
      <c r="T180" s="37" t="s">
        <v>2429</v>
      </c>
      <c r="U180" s="37" t="s">
        <v>2427</v>
      </c>
      <c r="V180" s="37" t="s">
        <v>4134</v>
      </c>
      <c r="W180" s="37" t="s">
        <v>4135</v>
      </c>
      <c r="X180" s="37" t="s">
        <v>2427</v>
      </c>
      <c r="Y180" s="37" t="s">
        <v>4136</v>
      </c>
      <c r="Z180" s="37" t="s">
        <v>4137</v>
      </c>
      <c r="AA180" s="37" t="s">
        <v>4138</v>
      </c>
      <c r="AB180" s="37" t="s">
        <v>2427</v>
      </c>
      <c r="AC180" s="37" t="s">
        <v>4139</v>
      </c>
      <c r="AD180" s="37" t="s">
        <v>4140</v>
      </c>
      <c r="AE180" s="37" t="s">
        <v>4141</v>
      </c>
      <c r="AF180" s="37" t="s">
        <v>2427</v>
      </c>
      <c r="AG180" s="37" t="s">
        <v>4142</v>
      </c>
      <c r="AH180" s="37" t="s">
        <v>4143</v>
      </c>
      <c r="AI180" s="37" t="s">
        <v>4144</v>
      </c>
      <c r="AJ180" s="37" t="s">
        <v>2427</v>
      </c>
      <c r="AK180" s="37" t="s">
        <v>4145</v>
      </c>
      <c r="AL180" s="37" t="s">
        <v>4146</v>
      </c>
      <c r="AM180" s="37" t="s">
        <v>4147</v>
      </c>
      <c r="AN180" s="37" t="s">
        <v>4148</v>
      </c>
      <c r="AO180" s="37" t="s">
        <v>4149</v>
      </c>
      <c r="AP180" s="37" t="s">
        <v>4150</v>
      </c>
      <c r="AQ180" s="37" t="s">
        <v>4151</v>
      </c>
    </row>
    <row r="181" ht="13.5" spans="1:43">
      <c r="A181" s="11"/>
      <c r="B181" s="44" t="s">
        <v>4152</v>
      </c>
      <c r="C181" s="37" t="s">
        <v>4153</v>
      </c>
      <c r="D181" s="37" t="s">
        <v>2429</v>
      </c>
      <c r="E181" s="37" t="s">
        <v>67</v>
      </c>
      <c r="F181" s="37" t="s">
        <v>67</v>
      </c>
      <c r="G181" s="37" t="s">
        <v>67</v>
      </c>
      <c r="H181" s="37" t="s">
        <v>67</v>
      </c>
      <c r="I181" s="37" t="s">
        <v>67</v>
      </c>
      <c r="J181" s="37" t="s">
        <v>67</v>
      </c>
      <c r="K181" s="37" t="s">
        <v>4154</v>
      </c>
      <c r="L181" s="37" t="s">
        <v>2429</v>
      </c>
      <c r="M181" s="37" t="s">
        <v>2427</v>
      </c>
      <c r="N181" s="37" t="s">
        <v>4155</v>
      </c>
      <c r="O181" s="37" t="s">
        <v>4156</v>
      </c>
      <c r="P181" s="37" t="s">
        <v>2429</v>
      </c>
      <c r="Q181" s="37" t="s">
        <v>2427</v>
      </c>
      <c r="R181" s="37" t="s">
        <v>4157</v>
      </c>
      <c r="S181" s="37" t="s">
        <v>4158</v>
      </c>
      <c r="T181" s="37" t="s">
        <v>2427</v>
      </c>
      <c r="U181" s="37" t="s">
        <v>4159</v>
      </c>
      <c r="V181" s="37" t="s">
        <v>4160</v>
      </c>
      <c r="W181" s="37" t="s">
        <v>4161</v>
      </c>
      <c r="X181" s="37" t="s">
        <v>4162</v>
      </c>
      <c r="Y181" s="37" t="s">
        <v>4163</v>
      </c>
      <c r="Z181" s="37" t="s">
        <v>4164</v>
      </c>
      <c r="AA181" s="37" t="s">
        <v>4165</v>
      </c>
      <c r="AB181" s="37" t="s">
        <v>3444</v>
      </c>
      <c r="AC181" s="37" t="s">
        <v>4166</v>
      </c>
      <c r="AD181" s="37" t="s">
        <v>4167</v>
      </c>
      <c r="AE181" s="37" t="s">
        <v>4168</v>
      </c>
      <c r="AF181" s="37" t="s">
        <v>4169</v>
      </c>
      <c r="AG181" s="37" t="s">
        <v>4170</v>
      </c>
      <c r="AH181" s="37" t="s">
        <v>67</v>
      </c>
      <c r="AI181" s="37" t="s">
        <v>67</v>
      </c>
      <c r="AJ181" s="37" t="s">
        <v>67</v>
      </c>
      <c r="AK181" s="37" t="s">
        <v>67</v>
      </c>
      <c r="AL181" s="37" t="s">
        <v>67</v>
      </c>
      <c r="AM181" s="37" t="s">
        <v>67</v>
      </c>
      <c r="AN181" s="37" t="s">
        <v>67</v>
      </c>
      <c r="AO181" s="37" t="s">
        <v>67</v>
      </c>
      <c r="AP181" s="37" t="s">
        <v>67</v>
      </c>
      <c r="AQ181" s="37" t="s">
        <v>67</v>
      </c>
    </row>
    <row r="182" ht="13.5" spans="1:43">
      <c r="A182" s="11"/>
      <c r="B182" s="44" t="s">
        <v>4171</v>
      </c>
      <c r="C182" s="37" t="s">
        <v>4172</v>
      </c>
      <c r="D182" s="37" t="s">
        <v>4173</v>
      </c>
      <c r="E182" s="37" t="s">
        <v>4174</v>
      </c>
      <c r="F182" s="37" t="s">
        <v>4175</v>
      </c>
      <c r="G182" s="37" t="s">
        <v>4176</v>
      </c>
      <c r="H182" s="37" t="s">
        <v>4177</v>
      </c>
      <c r="I182" s="37" t="s">
        <v>4178</v>
      </c>
      <c r="J182" s="37" t="s">
        <v>3695</v>
      </c>
      <c r="K182" s="37" t="s">
        <v>4179</v>
      </c>
      <c r="L182" s="37" t="s">
        <v>4180</v>
      </c>
      <c r="M182" s="37" t="s">
        <v>4181</v>
      </c>
      <c r="N182" s="37" t="s">
        <v>4182</v>
      </c>
      <c r="O182" s="37" t="s">
        <v>4183</v>
      </c>
      <c r="P182" s="37" t="s">
        <v>4184</v>
      </c>
      <c r="Q182" s="37" t="s">
        <v>4185</v>
      </c>
      <c r="R182" s="37" t="s">
        <v>4186</v>
      </c>
      <c r="S182" s="37" t="s">
        <v>4019</v>
      </c>
      <c r="T182" s="37" t="s">
        <v>4187</v>
      </c>
      <c r="U182" s="37" t="s">
        <v>4188</v>
      </c>
      <c r="V182" s="37" t="s">
        <v>4189</v>
      </c>
      <c r="W182" s="37" t="s">
        <v>3813</v>
      </c>
      <c r="X182" s="37" t="s">
        <v>3956</v>
      </c>
      <c r="Y182" s="37" t="s">
        <v>4190</v>
      </c>
      <c r="Z182" s="37" t="s">
        <v>3510</v>
      </c>
      <c r="AA182" s="37" t="s">
        <v>4191</v>
      </c>
      <c r="AB182" s="37" t="s">
        <v>3654</v>
      </c>
      <c r="AC182" s="37" t="s">
        <v>4192</v>
      </c>
      <c r="AD182" s="37" t="s">
        <v>4193</v>
      </c>
      <c r="AE182" s="37" t="s">
        <v>4194</v>
      </c>
      <c r="AF182" s="37" t="s">
        <v>4195</v>
      </c>
      <c r="AG182" s="37" t="s">
        <v>4196</v>
      </c>
      <c r="AH182" s="37" t="s">
        <v>3828</v>
      </c>
      <c r="AI182" s="37" t="s">
        <v>4197</v>
      </c>
      <c r="AJ182" s="37" t="s">
        <v>4198</v>
      </c>
      <c r="AK182" s="37" t="s">
        <v>4199</v>
      </c>
      <c r="AL182" s="37" t="s">
        <v>3775</v>
      </c>
      <c r="AM182" s="37" t="s">
        <v>4200</v>
      </c>
      <c r="AN182" s="37" t="s">
        <v>3987</v>
      </c>
      <c r="AO182" s="37" t="s">
        <v>4201</v>
      </c>
      <c r="AP182" s="37" t="s">
        <v>4202</v>
      </c>
      <c r="AQ182" s="37" t="s">
        <v>4203</v>
      </c>
    </row>
    <row r="183" ht="13.5" spans="1:43">
      <c r="A183" s="11"/>
      <c r="B183" s="44" t="s">
        <v>4204</v>
      </c>
      <c r="C183" s="37" t="s">
        <v>67</v>
      </c>
      <c r="D183" s="37" t="s">
        <v>67</v>
      </c>
      <c r="E183" s="37" t="s">
        <v>67</v>
      </c>
      <c r="F183" s="37" t="s">
        <v>67</v>
      </c>
      <c r="G183" s="37" t="s">
        <v>67</v>
      </c>
      <c r="H183" s="37" t="s">
        <v>67</v>
      </c>
      <c r="I183" s="37" t="s">
        <v>67</v>
      </c>
      <c r="J183" s="37" t="s">
        <v>67</v>
      </c>
      <c r="K183" s="37" t="s">
        <v>3763</v>
      </c>
      <c r="L183" s="37" t="s">
        <v>4205</v>
      </c>
      <c r="M183" s="37" t="s">
        <v>4206</v>
      </c>
      <c r="N183" s="37" t="s">
        <v>3355</v>
      </c>
      <c r="O183" s="37" t="s">
        <v>4207</v>
      </c>
      <c r="P183" s="37" t="s">
        <v>4208</v>
      </c>
      <c r="Q183" s="37" t="s">
        <v>4209</v>
      </c>
      <c r="R183" s="37" t="s">
        <v>4210</v>
      </c>
      <c r="S183" s="37" t="s">
        <v>4211</v>
      </c>
      <c r="T183" s="37" t="s">
        <v>4212</v>
      </c>
      <c r="U183" s="37" t="s">
        <v>4213</v>
      </c>
      <c r="V183" s="37" t="s">
        <v>4214</v>
      </c>
      <c r="W183" s="37" t="s">
        <v>4215</v>
      </c>
      <c r="X183" s="37" t="s">
        <v>4216</v>
      </c>
      <c r="Y183" s="37" t="s">
        <v>4217</v>
      </c>
      <c r="Z183" s="37" t="s">
        <v>4218</v>
      </c>
      <c r="AA183" s="37" t="s">
        <v>4219</v>
      </c>
      <c r="AB183" s="37" t="s">
        <v>4220</v>
      </c>
      <c r="AC183" s="37" t="s">
        <v>4221</v>
      </c>
      <c r="AD183" s="37" t="s">
        <v>4222</v>
      </c>
      <c r="AE183" s="37" t="s">
        <v>4223</v>
      </c>
      <c r="AF183" s="37" t="s">
        <v>4224</v>
      </c>
      <c r="AG183" s="37" t="s">
        <v>4225</v>
      </c>
      <c r="AH183" s="37" t="s">
        <v>67</v>
      </c>
      <c r="AI183" s="37" t="s">
        <v>67</v>
      </c>
      <c r="AJ183" s="37" t="s">
        <v>67</v>
      </c>
      <c r="AK183" s="37" t="s">
        <v>67</v>
      </c>
      <c r="AL183" s="37" t="s">
        <v>67</v>
      </c>
      <c r="AM183" s="37" t="s">
        <v>67</v>
      </c>
      <c r="AN183" s="37" t="s">
        <v>67</v>
      </c>
      <c r="AO183" s="37" t="s">
        <v>67</v>
      </c>
      <c r="AP183" s="37" t="s">
        <v>67</v>
      </c>
      <c r="AQ183" s="37" t="s">
        <v>67</v>
      </c>
    </row>
    <row r="184" ht="13.5" spans="1:43">
      <c r="A184" s="11"/>
      <c r="B184" s="44" t="s">
        <v>4226</v>
      </c>
      <c r="C184" s="37" t="s">
        <v>67</v>
      </c>
      <c r="D184" s="37" t="s">
        <v>67</v>
      </c>
      <c r="E184" s="37" t="s">
        <v>67</v>
      </c>
      <c r="F184" s="37" t="s">
        <v>67</v>
      </c>
      <c r="G184" s="37" t="s">
        <v>67</v>
      </c>
      <c r="H184" s="37" t="s">
        <v>67</v>
      </c>
      <c r="I184" s="37" t="s">
        <v>67</v>
      </c>
      <c r="J184" s="37" t="s">
        <v>67</v>
      </c>
      <c r="K184" s="37" t="s">
        <v>67</v>
      </c>
      <c r="L184" s="37" t="s">
        <v>67</v>
      </c>
      <c r="M184" s="37" t="s">
        <v>67</v>
      </c>
      <c r="N184" s="37" t="s">
        <v>67</v>
      </c>
      <c r="O184" s="37" t="s">
        <v>67</v>
      </c>
      <c r="P184" s="37" t="s">
        <v>67</v>
      </c>
      <c r="Q184" s="37" t="s">
        <v>67</v>
      </c>
      <c r="R184" s="37" t="s">
        <v>67</v>
      </c>
      <c r="S184" s="37" t="s">
        <v>67</v>
      </c>
      <c r="T184" s="37" t="s">
        <v>67</v>
      </c>
      <c r="U184" s="37" t="s">
        <v>67</v>
      </c>
      <c r="V184" s="37" t="s">
        <v>67</v>
      </c>
      <c r="W184" s="37" t="s">
        <v>67</v>
      </c>
      <c r="X184" s="37" t="s">
        <v>67</v>
      </c>
      <c r="Y184" s="37" t="s">
        <v>67</v>
      </c>
      <c r="Z184" s="37" t="s">
        <v>67</v>
      </c>
      <c r="AA184" s="37" t="s">
        <v>67</v>
      </c>
      <c r="AB184" s="37" t="s">
        <v>67</v>
      </c>
      <c r="AC184" s="37" t="s">
        <v>67</v>
      </c>
      <c r="AD184" s="37" t="s">
        <v>67</v>
      </c>
      <c r="AE184" s="37" t="s">
        <v>67</v>
      </c>
      <c r="AF184" s="37" t="s">
        <v>67</v>
      </c>
      <c r="AG184" s="37" t="s">
        <v>67</v>
      </c>
      <c r="AH184" s="37" t="s">
        <v>67</v>
      </c>
      <c r="AI184" s="37" t="s">
        <v>67</v>
      </c>
      <c r="AJ184" s="37" t="s">
        <v>67</v>
      </c>
      <c r="AK184" s="37" t="s">
        <v>67</v>
      </c>
      <c r="AL184" s="37" t="s">
        <v>67</v>
      </c>
      <c r="AM184" s="37" t="s">
        <v>67</v>
      </c>
      <c r="AN184" s="37" t="s">
        <v>67</v>
      </c>
      <c r="AO184" s="37" t="s">
        <v>67</v>
      </c>
      <c r="AP184" s="37" t="s">
        <v>67</v>
      </c>
      <c r="AQ184" s="37" t="s">
        <v>67</v>
      </c>
    </row>
    <row r="185" ht="13.5" spans="1:43">
      <c r="A185" s="11"/>
      <c r="B185" s="44" t="s">
        <v>4227</v>
      </c>
      <c r="C185" s="37" t="s">
        <v>67</v>
      </c>
      <c r="D185" s="37" t="s">
        <v>67</v>
      </c>
      <c r="E185" s="37" t="s">
        <v>67</v>
      </c>
      <c r="F185" s="37" t="s">
        <v>67</v>
      </c>
      <c r="G185" s="37" t="s">
        <v>67</v>
      </c>
      <c r="H185" s="37" t="s">
        <v>67</v>
      </c>
      <c r="I185" s="37" t="s">
        <v>67</v>
      </c>
      <c r="J185" s="37" t="s">
        <v>67</v>
      </c>
      <c r="K185" s="37" t="s">
        <v>67</v>
      </c>
      <c r="L185" s="37" t="s">
        <v>67</v>
      </c>
      <c r="M185" s="37" t="s">
        <v>67</v>
      </c>
      <c r="N185" s="37" t="s">
        <v>67</v>
      </c>
      <c r="O185" s="37" t="s">
        <v>67</v>
      </c>
      <c r="P185" s="37" t="s">
        <v>67</v>
      </c>
      <c r="Q185" s="37" t="s">
        <v>67</v>
      </c>
      <c r="R185" s="37" t="s">
        <v>67</v>
      </c>
      <c r="S185" s="37" t="s">
        <v>67</v>
      </c>
      <c r="T185" s="37" t="s">
        <v>67</v>
      </c>
      <c r="U185" s="37" t="s">
        <v>67</v>
      </c>
      <c r="V185" s="37" t="s">
        <v>67</v>
      </c>
      <c r="W185" s="37" t="s">
        <v>67</v>
      </c>
      <c r="X185" s="37" t="s">
        <v>67</v>
      </c>
      <c r="Y185" s="37" t="s">
        <v>67</v>
      </c>
      <c r="Z185" s="37" t="s">
        <v>67</v>
      </c>
      <c r="AA185" s="37" t="s">
        <v>67</v>
      </c>
      <c r="AB185" s="37" t="s">
        <v>67</v>
      </c>
      <c r="AC185" s="37" t="s">
        <v>67</v>
      </c>
      <c r="AD185" s="37" t="s">
        <v>67</v>
      </c>
      <c r="AE185" s="37" t="s">
        <v>4228</v>
      </c>
      <c r="AF185" s="37" t="s">
        <v>4229</v>
      </c>
      <c r="AG185" s="37" t="s">
        <v>4230</v>
      </c>
      <c r="AH185" s="37" t="s">
        <v>4231</v>
      </c>
      <c r="AI185" s="37" t="s">
        <v>3331</v>
      </c>
      <c r="AJ185" s="37" t="s">
        <v>4232</v>
      </c>
      <c r="AK185" s="37" t="s">
        <v>4233</v>
      </c>
      <c r="AL185" s="37" t="s">
        <v>4234</v>
      </c>
      <c r="AM185" s="37" t="s">
        <v>4235</v>
      </c>
      <c r="AN185" s="37" t="s">
        <v>4236</v>
      </c>
      <c r="AO185" s="37" t="s">
        <v>3511</v>
      </c>
      <c r="AP185" s="37" t="s">
        <v>4237</v>
      </c>
      <c r="AQ185" s="37" t="s">
        <v>4238</v>
      </c>
    </row>
    <row r="186" ht="13.5" spans="1:43">
      <c r="A186" s="11"/>
      <c r="B186" s="44" t="s">
        <v>4239</v>
      </c>
      <c r="C186" s="37" t="s">
        <v>67</v>
      </c>
      <c r="D186" s="37" t="s">
        <v>67</v>
      </c>
      <c r="E186" s="37" t="s">
        <v>67</v>
      </c>
      <c r="F186" s="37" t="s">
        <v>67</v>
      </c>
      <c r="G186" s="37" t="s">
        <v>67</v>
      </c>
      <c r="H186" s="37" t="s">
        <v>67</v>
      </c>
      <c r="I186" s="37" t="s">
        <v>67</v>
      </c>
      <c r="J186" s="37" t="s">
        <v>67</v>
      </c>
      <c r="K186" s="37" t="s">
        <v>67</v>
      </c>
      <c r="L186" s="37" t="s">
        <v>67</v>
      </c>
      <c r="M186" s="37" t="s">
        <v>67</v>
      </c>
      <c r="N186" s="37" t="s">
        <v>67</v>
      </c>
      <c r="O186" s="37" t="s">
        <v>67</v>
      </c>
      <c r="P186" s="37" t="s">
        <v>67</v>
      </c>
      <c r="Q186" s="37" t="s">
        <v>67</v>
      </c>
      <c r="R186" s="37" t="s">
        <v>67</v>
      </c>
      <c r="S186" s="37" t="s">
        <v>67</v>
      </c>
      <c r="T186" s="37" t="s">
        <v>67</v>
      </c>
      <c r="U186" s="37" t="s">
        <v>67</v>
      </c>
      <c r="V186" s="37" t="s">
        <v>67</v>
      </c>
      <c r="W186" s="37" t="s">
        <v>67</v>
      </c>
      <c r="X186" s="37" t="s">
        <v>67</v>
      </c>
      <c r="Y186" s="37" t="s">
        <v>67</v>
      </c>
      <c r="Z186" s="37" t="s">
        <v>67</v>
      </c>
      <c r="AA186" s="37" t="s">
        <v>67</v>
      </c>
      <c r="AB186" s="37" t="s">
        <v>67</v>
      </c>
      <c r="AC186" s="37" t="s">
        <v>67</v>
      </c>
      <c r="AD186" s="37" t="s">
        <v>67</v>
      </c>
      <c r="AE186" s="37" t="s">
        <v>67</v>
      </c>
      <c r="AF186" s="37" t="s">
        <v>67</v>
      </c>
      <c r="AG186" s="37" t="s">
        <v>67</v>
      </c>
      <c r="AH186" s="37" t="s">
        <v>67</v>
      </c>
      <c r="AI186" s="37" t="s">
        <v>67</v>
      </c>
      <c r="AJ186" s="37" t="s">
        <v>67</v>
      </c>
      <c r="AK186" s="37" t="s">
        <v>67</v>
      </c>
      <c r="AL186" s="37" t="s">
        <v>67</v>
      </c>
      <c r="AM186" s="37" t="s">
        <v>67</v>
      </c>
      <c r="AN186" s="37" t="s">
        <v>67</v>
      </c>
      <c r="AO186" s="37" t="s">
        <v>67</v>
      </c>
      <c r="AP186" s="37" t="s">
        <v>67</v>
      </c>
      <c r="AQ186" s="37" t="s">
        <v>67</v>
      </c>
    </row>
    <row r="187" ht="13.5" spans="1:43">
      <c r="A187" s="11" t="s">
        <v>4240</v>
      </c>
      <c r="B187" s="44" t="s">
        <v>4241</v>
      </c>
      <c r="C187" s="37" t="s">
        <v>4242</v>
      </c>
      <c r="D187" s="37" t="s">
        <v>3828</v>
      </c>
      <c r="E187" s="37" t="s">
        <v>4211</v>
      </c>
      <c r="F187" s="37" t="s">
        <v>4243</v>
      </c>
      <c r="G187" s="37" t="s">
        <v>4244</v>
      </c>
      <c r="H187" s="37" t="s">
        <v>4245</v>
      </c>
      <c r="I187" s="37" t="s">
        <v>4246</v>
      </c>
      <c r="J187" s="37" t="s">
        <v>4247</v>
      </c>
      <c r="K187" s="37" t="s">
        <v>4248</v>
      </c>
      <c r="L187" s="37" t="s">
        <v>4077</v>
      </c>
      <c r="M187" s="37" t="s">
        <v>4249</v>
      </c>
      <c r="N187" s="37" t="s">
        <v>4225</v>
      </c>
      <c r="O187" s="37" t="s">
        <v>4250</v>
      </c>
      <c r="P187" s="37" t="s">
        <v>4249</v>
      </c>
      <c r="Q187" s="37" t="s">
        <v>4251</v>
      </c>
      <c r="R187" s="37" t="s">
        <v>4252</v>
      </c>
      <c r="S187" s="37" t="s">
        <v>3833</v>
      </c>
      <c r="T187" s="37" t="s">
        <v>4253</v>
      </c>
      <c r="U187" s="37" t="s">
        <v>4254</v>
      </c>
      <c r="V187" s="37" t="s">
        <v>4255</v>
      </c>
      <c r="W187" s="37" t="s">
        <v>4256</v>
      </c>
      <c r="X187" s="37" t="s">
        <v>4257</v>
      </c>
      <c r="Y187" s="37" t="s">
        <v>4258</v>
      </c>
      <c r="Z187" s="37" t="s">
        <v>3700</v>
      </c>
      <c r="AA187" s="37" t="s">
        <v>4259</v>
      </c>
      <c r="AB187" s="37" t="s">
        <v>4260</v>
      </c>
      <c r="AC187" s="37" t="s">
        <v>4201</v>
      </c>
      <c r="AD187" s="37" t="s">
        <v>4261</v>
      </c>
      <c r="AE187" s="37" t="s">
        <v>4262</v>
      </c>
      <c r="AF187" s="37" t="s">
        <v>3636</v>
      </c>
      <c r="AG187" s="37" t="s">
        <v>4263</v>
      </c>
      <c r="AH187" s="37" t="s">
        <v>4264</v>
      </c>
      <c r="AI187" s="37" t="s">
        <v>3432</v>
      </c>
      <c r="AJ187" s="37" t="s">
        <v>3638</v>
      </c>
      <c r="AK187" s="37" t="s">
        <v>3638</v>
      </c>
      <c r="AL187" s="37" t="s">
        <v>4265</v>
      </c>
      <c r="AM187" s="37" t="s">
        <v>4266</v>
      </c>
      <c r="AN187" s="37" t="s">
        <v>4267</v>
      </c>
      <c r="AO187" s="37" t="s">
        <v>4268</v>
      </c>
      <c r="AP187" s="37" t="s">
        <v>4090</v>
      </c>
      <c r="AQ187" s="37" t="s">
        <v>4269</v>
      </c>
    </row>
    <row r="188" ht="13.5" spans="1:43">
      <c r="A188" s="11"/>
      <c r="B188" s="44" t="s">
        <v>4270</v>
      </c>
      <c r="C188" s="37" t="s">
        <v>67</v>
      </c>
      <c r="D188" s="37" t="s">
        <v>67</v>
      </c>
      <c r="E188" s="37" t="s">
        <v>67</v>
      </c>
      <c r="F188" s="37" t="s">
        <v>67</v>
      </c>
      <c r="G188" s="37" t="s">
        <v>67</v>
      </c>
      <c r="H188" s="37" t="s">
        <v>67</v>
      </c>
      <c r="I188" s="37" t="s">
        <v>67</v>
      </c>
      <c r="J188" s="37" t="s">
        <v>67</v>
      </c>
      <c r="K188" s="37" t="s">
        <v>67</v>
      </c>
      <c r="L188" s="37" t="s">
        <v>67</v>
      </c>
      <c r="M188" s="37" t="s">
        <v>67</v>
      </c>
      <c r="N188" s="37" t="s">
        <v>67</v>
      </c>
      <c r="O188" s="37" t="s">
        <v>67</v>
      </c>
      <c r="P188" s="37" t="s">
        <v>67</v>
      </c>
      <c r="Q188" s="37" t="s">
        <v>67</v>
      </c>
      <c r="R188" s="37" t="s">
        <v>67</v>
      </c>
      <c r="S188" s="37" t="s">
        <v>67</v>
      </c>
      <c r="T188" s="37" t="s">
        <v>67</v>
      </c>
      <c r="U188" s="37" t="s">
        <v>67</v>
      </c>
      <c r="V188" s="37" t="s">
        <v>67</v>
      </c>
      <c r="W188" s="37" t="s">
        <v>67</v>
      </c>
      <c r="X188" s="37" t="s">
        <v>67</v>
      </c>
      <c r="Y188" s="37" t="s">
        <v>67</v>
      </c>
      <c r="Z188" s="37" t="s">
        <v>67</v>
      </c>
      <c r="AA188" s="37" t="s">
        <v>67</v>
      </c>
      <c r="AB188" s="37" t="s">
        <v>67</v>
      </c>
      <c r="AC188" s="37" t="s">
        <v>67</v>
      </c>
      <c r="AD188" s="37" t="s">
        <v>67</v>
      </c>
      <c r="AE188" s="37" t="s">
        <v>67</v>
      </c>
      <c r="AF188" s="37" t="s">
        <v>67</v>
      </c>
      <c r="AG188" s="37" t="s">
        <v>67</v>
      </c>
      <c r="AH188" s="37" t="s">
        <v>67</v>
      </c>
      <c r="AI188" s="37" t="s">
        <v>67</v>
      </c>
      <c r="AJ188" s="37" t="s">
        <v>67</v>
      </c>
      <c r="AK188" s="37" t="s">
        <v>67</v>
      </c>
      <c r="AL188" s="37" t="s">
        <v>67</v>
      </c>
      <c r="AM188" s="37" t="s">
        <v>67</v>
      </c>
      <c r="AN188" s="37" t="s">
        <v>67</v>
      </c>
      <c r="AO188" s="37" t="s">
        <v>67</v>
      </c>
      <c r="AP188" s="37" t="s">
        <v>67</v>
      </c>
      <c r="AQ188" s="37" t="s">
        <v>67</v>
      </c>
    </row>
    <row r="189" ht="13.5" spans="1:43">
      <c r="A189" s="11"/>
      <c r="B189" s="44" t="s">
        <v>4271</v>
      </c>
      <c r="C189" s="37" t="s">
        <v>67</v>
      </c>
      <c r="D189" s="37" t="s">
        <v>67</v>
      </c>
      <c r="E189" s="37" t="s">
        <v>67</v>
      </c>
      <c r="F189" s="37" t="s">
        <v>67</v>
      </c>
      <c r="G189" s="37" t="s">
        <v>67</v>
      </c>
      <c r="H189" s="37" t="s">
        <v>67</v>
      </c>
      <c r="I189" s="37" t="s">
        <v>67</v>
      </c>
      <c r="J189" s="37" t="s">
        <v>67</v>
      </c>
      <c r="K189" s="37" t="s">
        <v>67</v>
      </c>
      <c r="L189" s="37" t="s">
        <v>67</v>
      </c>
      <c r="M189" s="37" t="s">
        <v>67</v>
      </c>
      <c r="N189" s="37" t="s">
        <v>67</v>
      </c>
      <c r="O189" s="37" t="s">
        <v>67</v>
      </c>
      <c r="P189" s="37" t="s">
        <v>67</v>
      </c>
      <c r="Q189" s="37" t="s">
        <v>67</v>
      </c>
      <c r="R189" s="37" t="s">
        <v>67</v>
      </c>
      <c r="S189" s="37" t="s">
        <v>67</v>
      </c>
      <c r="T189" s="37" t="s">
        <v>67</v>
      </c>
      <c r="U189" s="37" t="s">
        <v>67</v>
      </c>
      <c r="V189" s="37" t="s">
        <v>67</v>
      </c>
      <c r="W189" s="37" t="s">
        <v>67</v>
      </c>
      <c r="X189" s="37" t="s">
        <v>67</v>
      </c>
      <c r="Y189" s="37" t="s">
        <v>67</v>
      </c>
      <c r="Z189" s="37" t="s">
        <v>67</v>
      </c>
      <c r="AA189" s="37" t="s">
        <v>67</v>
      </c>
      <c r="AB189" s="37" t="s">
        <v>67</v>
      </c>
      <c r="AC189" s="37" t="s">
        <v>67</v>
      </c>
      <c r="AD189" s="37" t="s">
        <v>67</v>
      </c>
      <c r="AE189" s="37" t="s">
        <v>67</v>
      </c>
      <c r="AF189" s="37" t="s">
        <v>67</v>
      </c>
      <c r="AG189" s="37" t="s">
        <v>67</v>
      </c>
      <c r="AH189" s="37" t="s">
        <v>67</v>
      </c>
      <c r="AI189" s="37" t="s">
        <v>67</v>
      </c>
      <c r="AJ189" s="37" t="s">
        <v>67</v>
      </c>
      <c r="AK189" s="37" t="s">
        <v>67</v>
      </c>
      <c r="AL189" s="37" t="s">
        <v>67</v>
      </c>
      <c r="AM189" s="37" t="s">
        <v>67</v>
      </c>
      <c r="AN189" s="37" t="s">
        <v>67</v>
      </c>
      <c r="AO189" s="37" t="s">
        <v>67</v>
      </c>
      <c r="AP189" s="37" t="s">
        <v>67</v>
      </c>
      <c r="AQ189" s="37" t="s">
        <v>67</v>
      </c>
    </row>
    <row r="190" ht="13.5" spans="1:43">
      <c r="A190" s="11"/>
      <c r="B190" s="44" t="s">
        <v>4272</v>
      </c>
      <c r="C190" s="37" t="s">
        <v>67</v>
      </c>
      <c r="D190" s="37" t="s">
        <v>67</v>
      </c>
      <c r="E190" s="37" t="s">
        <v>67</v>
      </c>
      <c r="F190" s="37" t="s">
        <v>67</v>
      </c>
      <c r="G190" s="37" t="s">
        <v>67</v>
      </c>
      <c r="H190" s="37" t="s">
        <v>67</v>
      </c>
      <c r="I190" s="37" t="s">
        <v>67</v>
      </c>
      <c r="J190" s="37" t="s">
        <v>67</v>
      </c>
      <c r="K190" s="37" t="s">
        <v>67</v>
      </c>
      <c r="L190" s="37" t="s">
        <v>67</v>
      </c>
      <c r="M190" s="37" t="s">
        <v>67</v>
      </c>
      <c r="N190" s="37" t="s">
        <v>67</v>
      </c>
      <c r="O190" s="37" t="s">
        <v>67</v>
      </c>
      <c r="P190" s="37" t="s">
        <v>67</v>
      </c>
      <c r="Q190" s="37" t="s">
        <v>67</v>
      </c>
      <c r="R190" s="37" t="s">
        <v>67</v>
      </c>
      <c r="S190" s="37" t="s">
        <v>67</v>
      </c>
      <c r="T190" s="37" t="s">
        <v>67</v>
      </c>
      <c r="U190" s="37" t="s">
        <v>67</v>
      </c>
      <c r="V190" s="37" t="s">
        <v>67</v>
      </c>
      <c r="W190" s="37" t="s">
        <v>67</v>
      </c>
      <c r="X190" s="37" t="s">
        <v>67</v>
      </c>
      <c r="Y190" s="37" t="s">
        <v>67</v>
      </c>
      <c r="Z190" s="37" t="s">
        <v>67</v>
      </c>
      <c r="AA190" s="37" t="s">
        <v>67</v>
      </c>
      <c r="AB190" s="37" t="s">
        <v>67</v>
      </c>
      <c r="AC190" s="37" t="s">
        <v>67</v>
      </c>
      <c r="AD190" s="37" t="s">
        <v>67</v>
      </c>
      <c r="AE190" s="37" t="s">
        <v>67</v>
      </c>
      <c r="AF190" s="37" t="s">
        <v>67</v>
      </c>
      <c r="AG190" s="37" t="s">
        <v>67</v>
      </c>
      <c r="AH190" s="37" t="s">
        <v>67</v>
      </c>
      <c r="AI190" s="37" t="s">
        <v>67</v>
      </c>
      <c r="AJ190" s="37" t="s">
        <v>67</v>
      </c>
      <c r="AK190" s="37" t="s">
        <v>67</v>
      </c>
      <c r="AL190" s="37" t="s">
        <v>67</v>
      </c>
      <c r="AM190" s="37" t="s">
        <v>67</v>
      </c>
      <c r="AN190" s="37" t="s">
        <v>67</v>
      </c>
      <c r="AO190" s="37" t="s">
        <v>67</v>
      </c>
      <c r="AP190" s="37" t="s">
        <v>67</v>
      </c>
      <c r="AQ190" s="37" t="s">
        <v>67</v>
      </c>
    </row>
    <row r="191" ht="13.5" spans="1:43">
      <c r="A191" s="11"/>
      <c r="B191" s="44" t="s">
        <v>4273</v>
      </c>
      <c r="C191" s="37" t="s">
        <v>67</v>
      </c>
      <c r="D191" s="37" t="s">
        <v>67</v>
      </c>
      <c r="E191" s="37" t="s">
        <v>67</v>
      </c>
      <c r="F191" s="37" t="s">
        <v>67</v>
      </c>
      <c r="G191" s="37" t="s">
        <v>67</v>
      </c>
      <c r="H191" s="37" t="s">
        <v>67</v>
      </c>
      <c r="I191" s="37" t="s">
        <v>67</v>
      </c>
      <c r="J191" s="37" t="s">
        <v>67</v>
      </c>
      <c r="K191" s="37" t="s">
        <v>67</v>
      </c>
      <c r="L191" s="37" t="s">
        <v>67</v>
      </c>
      <c r="M191" s="37" t="s">
        <v>67</v>
      </c>
      <c r="N191" s="37" t="s">
        <v>67</v>
      </c>
      <c r="O191" s="37" t="s">
        <v>67</v>
      </c>
      <c r="P191" s="37" t="s">
        <v>67</v>
      </c>
      <c r="Q191" s="37" t="s">
        <v>67</v>
      </c>
      <c r="R191" s="37" t="s">
        <v>67</v>
      </c>
      <c r="S191" s="37" t="s">
        <v>67</v>
      </c>
      <c r="T191" s="37" t="s">
        <v>67</v>
      </c>
      <c r="U191" s="37" t="s">
        <v>67</v>
      </c>
      <c r="V191" s="37" t="s">
        <v>67</v>
      </c>
      <c r="W191" s="37" t="s">
        <v>67</v>
      </c>
      <c r="X191" s="37" t="s">
        <v>67</v>
      </c>
      <c r="Y191" s="37" t="s">
        <v>67</v>
      </c>
      <c r="Z191" s="37" t="s">
        <v>67</v>
      </c>
      <c r="AA191" s="37" t="s">
        <v>67</v>
      </c>
      <c r="AB191" s="37" t="s">
        <v>67</v>
      </c>
      <c r="AC191" s="37" t="s">
        <v>67</v>
      </c>
      <c r="AD191" s="37" t="s">
        <v>67</v>
      </c>
      <c r="AE191" s="37" t="s">
        <v>67</v>
      </c>
      <c r="AF191" s="37" t="s">
        <v>67</v>
      </c>
      <c r="AG191" s="37" t="s">
        <v>67</v>
      </c>
      <c r="AH191" s="37" t="s">
        <v>67</v>
      </c>
      <c r="AI191" s="37" t="s">
        <v>67</v>
      </c>
      <c r="AJ191" s="37" t="s">
        <v>67</v>
      </c>
      <c r="AK191" s="37" t="s">
        <v>67</v>
      </c>
      <c r="AL191" s="37" t="s">
        <v>67</v>
      </c>
      <c r="AM191" s="37" t="s">
        <v>67</v>
      </c>
      <c r="AN191" s="37" t="s">
        <v>67</v>
      </c>
      <c r="AO191" s="37" t="s">
        <v>67</v>
      </c>
      <c r="AP191" s="37" t="s">
        <v>67</v>
      </c>
      <c r="AQ191" s="37" t="s">
        <v>67</v>
      </c>
    </row>
    <row r="192" ht="13.5" spans="1:43">
      <c r="A192" s="11"/>
      <c r="B192" s="44" t="s">
        <v>4274</v>
      </c>
      <c r="C192" s="37" t="s">
        <v>67</v>
      </c>
      <c r="D192" s="37" t="s">
        <v>67</v>
      </c>
      <c r="E192" s="37" t="s">
        <v>67</v>
      </c>
      <c r="F192" s="37" t="s">
        <v>67</v>
      </c>
      <c r="G192" s="37" t="s">
        <v>67</v>
      </c>
      <c r="H192" s="37" t="s">
        <v>67</v>
      </c>
      <c r="I192" s="37" t="s">
        <v>67</v>
      </c>
      <c r="J192" s="37" t="s">
        <v>67</v>
      </c>
      <c r="K192" s="37" t="s">
        <v>67</v>
      </c>
      <c r="L192" s="37" t="s">
        <v>67</v>
      </c>
      <c r="M192" s="37" t="s">
        <v>67</v>
      </c>
      <c r="N192" s="37" t="s">
        <v>67</v>
      </c>
      <c r="O192" s="37" t="s">
        <v>67</v>
      </c>
      <c r="P192" s="37" t="s">
        <v>67</v>
      </c>
      <c r="Q192" s="37" t="s">
        <v>67</v>
      </c>
      <c r="R192" s="37" t="s">
        <v>67</v>
      </c>
      <c r="S192" s="37" t="s">
        <v>67</v>
      </c>
      <c r="T192" s="37" t="s">
        <v>67</v>
      </c>
      <c r="U192" s="37" t="s">
        <v>67</v>
      </c>
      <c r="V192" s="37" t="s">
        <v>67</v>
      </c>
      <c r="W192" s="37" t="s">
        <v>67</v>
      </c>
      <c r="X192" s="37" t="s">
        <v>67</v>
      </c>
      <c r="Y192" s="37" t="s">
        <v>67</v>
      </c>
      <c r="Z192" s="37" t="s">
        <v>67</v>
      </c>
      <c r="AA192" s="37" t="s">
        <v>67</v>
      </c>
      <c r="AB192" s="37" t="s">
        <v>67</v>
      </c>
      <c r="AC192" s="37" t="s">
        <v>67</v>
      </c>
      <c r="AD192" s="37" t="s">
        <v>67</v>
      </c>
      <c r="AE192" s="37" t="s">
        <v>67</v>
      </c>
      <c r="AF192" s="37" t="s">
        <v>67</v>
      </c>
      <c r="AG192" s="37" t="s">
        <v>67</v>
      </c>
      <c r="AH192" s="37" t="s">
        <v>67</v>
      </c>
      <c r="AI192" s="37" t="s">
        <v>67</v>
      </c>
      <c r="AJ192" s="37" t="s">
        <v>67</v>
      </c>
      <c r="AK192" s="37" t="s">
        <v>67</v>
      </c>
      <c r="AL192" s="37" t="s">
        <v>67</v>
      </c>
      <c r="AM192" s="37" t="s">
        <v>67</v>
      </c>
      <c r="AN192" s="37" t="s">
        <v>67</v>
      </c>
      <c r="AO192" s="37" t="s">
        <v>67</v>
      </c>
      <c r="AP192" s="37" t="s">
        <v>67</v>
      </c>
      <c r="AQ192" s="37" t="s">
        <v>67</v>
      </c>
    </row>
    <row r="193" ht="13.5" spans="1:43">
      <c r="A193" s="11"/>
      <c r="B193" s="44" t="s">
        <v>4275</v>
      </c>
      <c r="C193" s="37" t="s">
        <v>4276</v>
      </c>
      <c r="D193" s="37" t="s">
        <v>4277</v>
      </c>
      <c r="E193" s="37" t="s">
        <v>4278</v>
      </c>
      <c r="F193" s="37" t="s">
        <v>3635</v>
      </c>
      <c r="G193" s="37" t="s">
        <v>4279</v>
      </c>
      <c r="H193" s="37" t="s">
        <v>4280</v>
      </c>
      <c r="I193" s="37" t="s">
        <v>3632</v>
      </c>
      <c r="J193" s="37" t="s">
        <v>4281</v>
      </c>
      <c r="K193" s="37" t="s">
        <v>67</v>
      </c>
      <c r="L193" s="37" t="s">
        <v>4282</v>
      </c>
      <c r="M193" s="37" t="s">
        <v>4282</v>
      </c>
      <c r="N193" s="37" t="s">
        <v>4282</v>
      </c>
      <c r="O193" s="37" t="s">
        <v>4283</v>
      </c>
      <c r="P193" s="37" t="s">
        <v>4284</v>
      </c>
      <c r="Q193" s="37" t="s">
        <v>4285</v>
      </c>
      <c r="R193" s="37" t="s">
        <v>3328</v>
      </c>
      <c r="S193" s="37" t="s">
        <v>4256</v>
      </c>
      <c r="T193" s="37" t="s">
        <v>3775</v>
      </c>
      <c r="U193" s="37" t="s">
        <v>3727</v>
      </c>
      <c r="V193" s="37" t="s">
        <v>3727</v>
      </c>
      <c r="W193" s="37" t="s">
        <v>3775</v>
      </c>
      <c r="X193" s="37" t="s">
        <v>4256</v>
      </c>
      <c r="Y193" s="37" t="s">
        <v>4256</v>
      </c>
      <c r="Z193" s="37" t="s">
        <v>3775</v>
      </c>
      <c r="AA193" s="37" t="s">
        <v>93</v>
      </c>
      <c r="AB193" s="37" t="s">
        <v>4286</v>
      </c>
      <c r="AC193" s="37" t="s">
        <v>67</v>
      </c>
      <c r="AD193" s="37" t="s">
        <v>67</v>
      </c>
      <c r="AE193" s="37" t="s">
        <v>67</v>
      </c>
      <c r="AF193" s="37" t="s">
        <v>4287</v>
      </c>
      <c r="AG193" s="37" t="s">
        <v>67</v>
      </c>
      <c r="AH193" s="37" t="s">
        <v>67</v>
      </c>
      <c r="AI193" s="37" t="s">
        <v>67</v>
      </c>
      <c r="AJ193" s="37" t="s">
        <v>4288</v>
      </c>
      <c r="AK193" s="37" t="s">
        <v>67</v>
      </c>
      <c r="AL193" s="37" t="s">
        <v>67</v>
      </c>
      <c r="AM193" s="37" t="s">
        <v>67</v>
      </c>
      <c r="AN193" s="37" t="s">
        <v>67</v>
      </c>
      <c r="AO193" s="37" t="s">
        <v>67</v>
      </c>
      <c r="AP193" s="37" t="s">
        <v>67</v>
      </c>
      <c r="AQ193" s="37" t="s">
        <v>67</v>
      </c>
    </row>
    <row r="194" ht="13.5" spans="1:43">
      <c r="A194" s="11"/>
      <c r="B194" s="44" t="s">
        <v>4289</v>
      </c>
      <c r="C194" s="37" t="s">
        <v>67</v>
      </c>
      <c r="D194" s="37" t="s">
        <v>67</v>
      </c>
      <c r="E194" s="37" t="s">
        <v>67</v>
      </c>
      <c r="F194" s="37" t="s">
        <v>67</v>
      </c>
      <c r="G194" s="37" t="s">
        <v>67</v>
      </c>
      <c r="H194" s="37" t="s">
        <v>67</v>
      </c>
      <c r="I194" s="37" t="s">
        <v>67</v>
      </c>
      <c r="J194" s="37" t="s">
        <v>67</v>
      </c>
      <c r="K194" s="37" t="s">
        <v>4290</v>
      </c>
      <c r="L194" s="37" t="s">
        <v>3543</v>
      </c>
      <c r="M194" s="37" t="s">
        <v>4291</v>
      </c>
      <c r="N194" s="37" t="s">
        <v>4292</v>
      </c>
      <c r="O194" s="37" t="s">
        <v>4293</v>
      </c>
      <c r="P194" s="37" t="s">
        <v>4294</v>
      </c>
      <c r="Q194" s="37" t="s">
        <v>4295</v>
      </c>
      <c r="R194" s="37" t="s">
        <v>3785</v>
      </c>
      <c r="S194" s="37" t="s">
        <v>4296</v>
      </c>
      <c r="T194" s="37" t="s">
        <v>4297</v>
      </c>
      <c r="U194" s="37" t="s">
        <v>4298</v>
      </c>
      <c r="V194" s="37" t="s">
        <v>4299</v>
      </c>
      <c r="W194" s="37" t="s">
        <v>4084</v>
      </c>
      <c r="X194" s="37" t="s">
        <v>4300</v>
      </c>
      <c r="Y194" s="37" t="s">
        <v>3807</v>
      </c>
      <c r="Z194" s="37" t="s">
        <v>4301</v>
      </c>
      <c r="AA194" s="37" t="s">
        <v>4302</v>
      </c>
      <c r="AB194" s="37" t="s">
        <v>4303</v>
      </c>
      <c r="AC194" s="37" t="s">
        <v>4304</v>
      </c>
      <c r="AD194" s="37" t="s">
        <v>3978</v>
      </c>
      <c r="AE194" s="37" t="s">
        <v>4305</v>
      </c>
      <c r="AF194" s="37" t="s">
        <v>2489</v>
      </c>
      <c r="AG194" s="37" t="s">
        <v>4306</v>
      </c>
      <c r="AH194" s="37" t="s">
        <v>4307</v>
      </c>
      <c r="AI194" s="37" t="s">
        <v>4308</v>
      </c>
      <c r="AJ194" s="37" t="s">
        <v>4309</v>
      </c>
      <c r="AK194" s="37" t="s">
        <v>4310</v>
      </c>
      <c r="AL194" s="37" t="s">
        <v>4244</v>
      </c>
      <c r="AM194" s="37" t="s">
        <v>67</v>
      </c>
      <c r="AN194" s="37" t="s">
        <v>67</v>
      </c>
      <c r="AO194" s="37" t="s">
        <v>67</v>
      </c>
      <c r="AP194" s="37" t="s">
        <v>67</v>
      </c>
      <c r="AQ194" s="37" t="s">
        <v>67</v>
      </c>
    </row>
    <row r="195" ht="13.5" spans="1:43">
      <c r="A195" s="11"/>
      <c r="B195" s="44" t="s">
        <v>4227</v>
      </c>
      <c r="C195" s="37" t="s">
        <v>67</v>
      </c>
      <c r="D195" s="37" t="s">
        <v>67</v>
      </c>
      <c r="E195" s="37" t="s">
        <v>67</v>
      </c>
      <c r="F195" s="37" t="s">
        <v>67</v>
      </c>
      <c r="G195" s="37" t="s">
        <v>67</v>
      </c>
      <c r="H195" s="37" t="s">
        <v>67</v>
      </c>
      <c r="I195" s="37" t="s">
        <v>67</v>
      </c>
      <c r="J195" s="37" t="s">
        <v>67</v>
      </c>
      <c r="K195" s="37" t="s">
        <v>67</v>
      </c>
      <c r="L195" s="37" t="s">
        <v>67</v>
      </c>
      <c r="M195" s="37" t="s">
        <v>67</v>
      </c>
      <c r="N195" s="37" t="s">
        <v>67</v>
      </c>
      <c r="O195" s="37" t="s">
        <v>67</v>
      </c>
      <c r="P195" s="37" t="s">
        <v>67</v>
      </c>
      <c r="Q195" s="37" t="s">
        <v>67</v>
      </c>
      <c r="R195" s="37" t="s">
        <v>67</v>
      </c>
      <c r="S195" s="37" t="s">
        <v>67</v>
      </c>
      <c r="T195" s="37" t="s">
        <v>67</v>
      </c>
      <c r="U195" s="37" t="s">
        <v>67</v>
      </c>
      <c r="V195" s="37" t="s">
        <v>67</v>
      </c>
      <c r="W195" s="37" t="s">
        <v>67</v>
      </c>
      <c r="X195" s="37" t="s">
        <v>67</v>
      </c>
      <c r="Y195" s="37" t="s">
        <v>67</v>
      </c>
      <c r="Z195" s="37" t="s">
        <v>67</v>
      </c>
      <c r="AA195" s="37" t="s">
        <v>67</v>
      </c>
      <c r="AB195" s="37" t="s">
        <v>67</v>
      </c>
      <c r="AC195" s="37" t="s">
        <v>67</v>
      </c>
      <c r="AD195" s="37" t="s">
        <v>67</v>
      </c>
      <c r="AE195" s="37" t="s">
        <v>4228</v>
      </c>
      <c r="AF195" s="37" t="s">
        <v>4229</v>
      </c>
      <c r="AG195" s="37" t="s">
        <v>4230</v>
      </c>
      <c r="AH195" s="37" t="s">
        <v>4231</v>
      </c>
      <c r="AI195" s="37" t="s">
        <v>3331</v>
      </c>
      <c r="AJ195" s="37" t="s">
        <v>4232</v>
      </c>
      <c r="AK195" s="37" t="s">
        <v>4233</v>
      </c>
      <c r="AL195" s="37" t="s">
        <v>4234</v>
      </c>
      <c r="AM195" s="37" t="s">
        <v>4235</v>
      </c>
      <c r="AN195" s="37" t="s">
        <v>4236</v>
      </c>
      <c r="AO195" s="37" t="s">
        <v>3511</v>
      </c>
      <c r="AP195" s="37" t="s">
        <v>4237</v>
      </c>
      <c r="AQ195" s="37" t="s">
        <v>4238</v>
      </c>
    </row>
    <row r="196" ht="13.5" spans="1:43">
      <c r="A196" s="11"/>
      <c r="B196" s="44" t="s">
        <v>4311</v>
      </c>
      <c r="C196" s="37" t="s">
        <v>67</v>
      </c>
      <c r="D196" s="37" t="s">
        <v>67</v>
      </c>
      <c r="E196" s="37" t="s">
        <v>67</v>
      </c>
      <c r="F196" s="37" t="s">
        <v>67</v>
      </c>
      <c r="G196" s="37" t="s">
        <v>67</v>
      </c>
      <c r="H196" s="37" t="s">
        <v>67</v>
      </c>
      <c r="I196" s="37" t="s">
        <v>67</v>
      </c>
      <c r="J196" s="37" t="s">
        <v>67</v>
      </c>
      <c r="K196" s="37" t="s">
        <v>67</v>
      </c>
      <c r="L196" s="37" t="s">
        <v>67</v>
      </c>
      <c r="M196" s="37" t="s">
        <v>67</v>
      </c>
      <c r="N196" s="37" t="s">
        <v>67</v>
      </c>
      <c r="O196" s="37" t="s">
        <v>67</v>
      </c>
      <c r="P196" s="37" t="s">
        <v>67</v>
      </c>
      <c r="Q196" s="37" t="s">
        <v>67</v>
      </c>
      <c r="R196" s="37" t="s">
        <v>67</v>
      </c>
      <c r="S196" s="37" t="s">
        <v>67</v>
      </c>
      <c r="T196" s="37" t="s">
        <v>67</v>
      </c>
      <c r="U196" s="37" t="s">
        <v>67</v>
      </c>
      <c r="V196" s="37" t="s">
        <v>67</v>
      </c>
      <c r="W196" s="37" t="s">
        <v>67</v>
      </c>
      <c r="X196" s="37" t="s">
        <v>4312</v>
      </c>
      <c r="Y196" s="37" t="s">
        <v>4313</v>
      </c>
      <c r="Z196" s="37" t="s">
        <v>3768</v>
      </c>
      <c r="AA196" s="37" t="s">
        <v>4314</v>
      </c>
      <c r="AB196" s="37" t="s">
        <v>4315</v>
      </c>
      <c r="AC196" s="37" t="s">
        <v>4316</v>
      </c>
      <c r="AD196" s="37" t="s">
        <v>4317</v>
      </c>
      <c r="AE196" s="37" t="s">
        <v>67</v>
      </c>
      <c r="AF196" s="37" t="s">
        <v>67</v>
      </c>
      <c r="AG196" s="37" t="s">
        <v>67</v>
      </c>
      <c r="AH196" s="37" t="s">
        <v>67</v>
      </c>
      <c r="AI196" s="37" t="s">
        <v>67</v>
      </c>
      <c r="AJ196" s="37" t="s">
        <v>67</v>
      </c>
      <c r="AK196" s="37" t="s">
        <v>67</v>
      </c>
      <c r="AL196" s="37" t="s">
        <v>67</v>
      </c>
      <c r="AM196" s="37" t="s">
        <v>67</v>
      </c>
      <c r="AN196" s="37" t="s">
        <v>67</v>
      </c>
      <c r="AO196" s="37" t="s">
        <v>67</v>
      </c>
      <c r="AP196" s="37" t="s">
        <v>67</v>
      </c>
      <c r="AQ196" s="37" t="s">
        <v>67</v>
      </c>
    </row>
    <row r="197" ht="13.5" spans="1:43">
      <c r="A197" s="11"/>
      <c r="B197" s="44" t="s">
        <v>4318</v>
      </c>
      <c r="C197" s="37" t="s">
        <v>67</v>
      </c>
      <c r="D197" s="37" t="s">
        <v>67</v>
      </c>
      <c r="E197" s="37" t="s">
        <v>67</v>
      </c>
      <c r="F197" s="37" t="s">
        <v>67</v>
      </c>
      <c r="G197" s="37" t="s">
        <v>67</v>
      </c>
      <c r="H197" s="37" t="s">
        <v>67</v>
      </c>
      <c r="I197" s="37" t="s">
        <v>67</v>
      </c>
      <c r="J197" s="37" t="s">
        <v>67</v>
      </c>
      <c r="K197" s="37" t="s">
        <v>67</v>
      </c>
      <c r="L197" s="37" t="s">
        <v>67</v>
      </c>
      <c r="M197" s="37" t="s">
        <v>67</v>
      </c>
      <c r="N197" s="37" t="s">
        <v>67</v>
      </c>
      <c r="O197" s="37" t="s">
        <v>67</v>
      </c>
      <c r="P197" s="37" t="s">
        <v>67</v>
      </c>
      <c r="Q197" s="37" t="s">
        <v>67</v>
      </c>
      <c r="R197" s="37" t="s">
        <v>67</v>
      </c>
      <c r="S197" s="37" t="s">
        <v>67</v>
      </c>
      <c r="T197" s="37" t="s">
        <v>67</v>
      </c>
      <c r="U197" s="37" t="s">
        <v>67</v>
      </c>
      <c r="V197" s="37" t="s">
        <v>67</v>
      </c>
      <c r="W197" s="37" t="s">
        <v>67</v>
      </c>
      <c r="X197" s="37" t="s">
        <v>67</v>
      </c>
      <c r="Y197" s="37" t="s">
        <v>67</v>
      </c>
      <c r="Z197" s="37" t="s">
        <v>67</v>
      </c>
      <c r="AA197" s="37" t="s">
        <v>67</v>
      </c>
      <c r="AB197" s="37" t="s">
        <v>67</v>
      </c>
      <c r="AC197" s="37" t="s">
        <v>67</v>
      </c>
      <c r="AD197" s="37" t="s">
        <v>67</v>
      </c>
      <c r="AE197" s="37" t="s">
        <v>67</v>
      </c>
      <c r="AF197" s="37" t="s">
        <v>67</v>
      </c>
      <c r="AG197" s="37" t="s">
        <v>67</v>
      </c>
      <c r="AH197" s="37" t="s">
        <v>67</v>
      </c>
      <c r="AI197" s="37" t="s">
        <v>67</v>
      </c>
      <c r="AJ197" s="37" t="s">
        <v>67</v>
      </c>
      <c r="AK197" s="37" t="s">
        <v>67</v>
      </c>
      <c r="AL197" s="37" t="s">
        <v>67</v>
      </c>
      <c r="AM197" s="37" t="s">
        <v>67</v>
      </c>
      <c r="AN197" s="37" t="s">
        <v>67</v>
      </c>
      <c r="AO197" s="37" t="s">
        <v>67</v>
      </c>
      <c r="AP197" s="37" t="s">
        <v>67</v>
      </c>
      <c r="AQ197" s="37" t="s">
        <v>67</v>
      </c>
    </row>
    <row r="198" ht="13.5" spans="1:43">
      <c r="A198" s="11"/>
      <c r="B198" s="44" t="s">
        <v>4319</v>
      </c>
      <c r="C198" s="37" t="s">
        <v>2427</v>
      </c>
      <c r="D198" s="37" t="s">
        <v>2472</v>
      </c>
      <c r="E198" s="37" t="s">
        <v>2473</v>
      </c>
      <c r="F198" s="37" t="s">
        <v>2473</v>
      </c>
      <c r="G198" s="37" t="s">
        <v>4320</v>
      </c>
      <c r="H198" s="37" t="s">
        <v>2475</v>
      </c>
      <c r="I198" s="37" t="s">
        <v>2473</v>
      </c>
      <c r="J198" s="37" t="s">
        <v>4321</v>
      </c>
      <c r="K198" s="37" t="s">
        <v>4322</v>
      </c>
      <c r="L198" s="37" t="s">
        <v>2473</v>
      </c>
      <c r="M198" s="37" t="s">
        <v>4323</v>
      </c>
      <c r="N198" s="37" t="s">
        <v>4324</v>
      </c>
      <c r="O198" s="37" t="s">
        <v>4325</v>
      </c>
      <c r="P198" s="37" t="s">
        <v>2481</v>
      </c>
      <c r="Q198" s="37" t="s">
        <v>4326</v>
      </c>
      <c r="R198" s="37" t="s">
        <v>4327</v>
      </c>
      <c r="S198" s="37" t="s">
        <v>4328</v>
      </c>
      <c r="T198" s="37" t="s">
        <v>4329</v>
      </c>
      <c r="U198" s="37" t="s">
        <v>4330</v>
      </c>
      <c r="V198" s="37" t="s">
        <v>3904</v>
      </c>
      <c r="W198" s="37" t="s">
        <v>4093</v>
      </c>
      <c r="X198" s="37" t="s">
        <v>4331</v>
      </c>
      <c r="Y198" s="37" t="s">
        <v>4332</v>
      </c>
      <c r="Z198" s="37" t="s">
        <v>4333</v>
      </c>
      <c r="AA198" s="37" t="s">
        <v>4334</v>
      </c>
      <c r="AB198" s="37" t="s">
        <v>2427</v>
      </c>
      <c r="AC198" s="37" t="s">
        <v>4335</v>
      </c>
      <c r="AD198" s="37" t="s">
        <v>4336</v>
      </c>
      <c r="AE198" s="37" t="s">
        <v>4337</v>
      </c>
      <c r="AF198" s="37" t="s">
        <v>2427</v>
      </c>
      <c r="AG198" s="37" t="s">
        <v>4338</v>
      </c>
      <c r="AH198" s="37" t="s">
        <v>4339</v>
      </c>
      <c r="AI198" s="37" t="s">
        <v>4340</v>
      </c>
      <c r="AJ198" s="37" t="s">
        <v>4341</v>
      </c>
      <c r="AK198" s="37" t="s">
        <v>3394</v>
      </c>
      <c r="AL198" s="37" t="s">
        <v>4342</v>
      </c>
      <c r="AM198" s="37" t="s">
        <v>4343</v>
      </c>
      <c r="AN198" s="37" t="s">
        <v>4344</v>
      </c>
      <c r="AO198" s="37" t="s">
        <v>4345</v>
      </c>
      <c r="AP198" s="37" t="s">
        <v>4346</v>
      </c>
      <c r="AQ198" s="37" t="s">
        <v>4347</v>
      </c>
    </row>
    <row r="199" ht="13.5" spans="1:43">
      <c r="A199" s="11"/>
      <c r="B199" s="44" t="s">
        <v>4348</v>
      </c>
      <c r="C199" s="37" t="s">
        <v>3644</v>
      </c>
      <c r="D199" s="37" t="s">
        <v>4095</v>
      </c>
      <c r="E199" s="37" t="s">
        <v>4349</v>
      </c>
      <c r="F199" s="37" t="s">
        <v>4350</v>
      </c>
      <c r="G199" s="37" t="s">
        <v>4351</v>
      </c>
      <c r="H199" s="37" t="s">
        <v>3886</v>
      </c>
      <c r="I199" s="37" t="s">
        <v>4352</v>
      </c>
      <c r="J199" s="37" t="s">
        <v>4353</v>
      </c>
      <c r="K199" s="37" t="s">
        <v>4354</v>
      </c>
      <c r="L199" s="37" t="s">
        <v>4355</v>
      </c>
      <c r="M199" s="37" t="s">
        <v>3331</v>
      </c>
      <c r="N199" s="37" t="s">
        <v>4356</v>
      </c>
      <c r="O199" s="37" t="s">
        <v>4357</v>
      </c>
      <c r="P199" s="37" t="s">
        <v>4358</v>
      </c>
      <c r="Q199" s="37" t="s">
        <v>4359</v>
      </c>
      <c r="R199" s="37" t="s">
        <v>4360</v>
      </c>
      <c r="S199" s="37" t="s">
        <v>3432</v>
      </c>
      <c r="T199" s="37" t="s">
        <v>2521</v>
      </c>
      <c r="U199" s="37" t="s">
        <v>4361</v>
      </c>
      <c r="V199" s="37" t="s">
        <v>3728</v>
      </c>
      <c r="W199" s="37" t="s">
        <v>4362</v>
      </c>
      <c r="X199" s="37" t="s">
        <v>4363</v>
      </c>
      <c r="Y199" s="37" t="s">
        <v>4364</v>
      </c>
      <c r="Z199" s="37" t="s">
        <v>3639</v>
      </c>
      <c r="AA199" s="37" t="s">
        <v>4365</v>
      </c>
      <c r="AB199" s="37" t="s">
        <v>4366</v>
      </c>
      <c r="AC199" s="37" t="s">
        <v>4367</v>
      </c>
      <c r="AD199" s="37" t="s">
        <v>3633</v>
      </c>
      <c r="AE199" s="37" t="s">
        <v>3328</v>
      </c>
      <c r="AF199" s="37" t="s">
        <v>4368</v>
      </c>
      <c r="AG199" s="37" t="s">
        <v>4097</v>
      </c>
      <c r="AH199" s="37" t="s">
        <v>4369</v>
      </c>
      <c r="AI199" s="37" t="s">
        <v>2832</v>
      </c>
      <c r="AJ199" s="37" t="s">
        <v>3632</v>
      </c>
      <c r="AK199" s="37" t="s">
        <v>4225</v>
      </c>
      <c r="AL199" s="37" t="s">
        <v>3860</v>
      </c>
      <c r="AM199" s="37" t="s">
        <v>4364</v>
      </c>
      <c r="AN199" s="37" t="s">
        <v>3505</v>
      </c>
      <c r="AO199" s="37" t="s">
        <v>4370</v>
      </c>
      <c r="AP199" s="37" t="s">
        <v>4371</v>
      </c>
      <c r="AQ199" s="37" t="s">
        <v>4247</v>
      </c>
    </row>
    <row r="200" ht="13.5" spans="1:43">
      <c r="A200" s="11"/>
      <c r="B200" s="44" t="s">
        <v>4372</v>
      </c>
      <c r="C200" s="37" t="s">
        <v>4256</v>
      </c>
      <c r="D200" s="37" t="s">
        <v>4373</v>
      </c>
      <c r="E200" s="37" t="s">
        <v>3817</v>
      </c>
      <c r="F200" s="37" t="s">
        <v>4365</v>
      </c>
      <c r="G200" s="37" t="s">
        <v>3727</v>
      </c>
      <c r="H200" s="37" t="s">
        <v>4360</v>
      </c>
      <c r="I200" s="37" t="s">
        <v>4374</v>
      </c>
      <c r="J200" s="37" t="s">
        <v>4375</v>
      </c>
      <c r="K200" s="37" t="s">
        <v>3328</v>
      </c>
      <c r="L200" s="37" t="s">
        <v>4376</v>
      </c>
      <c r="M200" s="37" t="s">
        <v>4368</v>
      </c>
      <c r="N200" s="37" t="s">
        <v>4369</v>
      </c>
      <c r="O200" s="37" t="s">
        <v>4365</v>
      </c>
      <c r="P200" s="37" t="s">
        <v>4377</v>
      </c>
      <c r="Q200" s="37" t="s">
        <v>3728</v>
      </c>
      <c r="R200" s="37" t="s">
        <v>3644</v>
      </c>
      <c r="S200" s="37" t="s">
        <v>3332</v>
      </c>
      <c r="T200" s="37" t="s">
        <v>4378</v>
      </c>
      <c r="U200" s="37" t="s">
        <v>4266</v>
      </c>
      <c r="V200" s="37" t="s">
        <v>4276</v>
      </c>
      <c r="W200" s="37" t="s">
        <v>4276</v>
      </c>
      <c r="X200" s="37" t="s">
        <v>4379</v>
      </c>
      <c r="Y200" s="37" t="s">
        <v>4358</v>
      </c>
      <c r="Z200" s="37" t="s">
        <v>4380</v>
      </c>
      <c r="AA200" s="37" t="s">
        <v>4361</v>
      </c>
      <c r="AB200" s="37" t="s">
        <v>3637</v>
      </c>
      <c r="AC200" s="37" t="s">
        <v>3732</v>
      </c>
      <c r="AD200" s="37" t="s">
        <v>3432</v>
      </c>
      <c r="AE200" s="37" t="s">
        <v>2832</v>
      </c>
      <c r="AF200" s="37" t="s">
        <v>4352</v>
      </c>
      <c r="AG200" s="37" t="s">
        <v>3817</v>
      </c>
      <c r="AH200" s="37" t="s">
        <v>3817</v>
      </c>
      <c r="AI200" s="37" t="s">
        <v>4381</v>
      </c>
      <c r="AJ200" s="37" t="s">
        <v>3643</v>
      </c>
      <c r="AK200" s="37" t="s">
        <v>3643</v>
      </c>
      <c r="AL200" s="37" t="s">
        <v>4256</v>
      </c>
      <c r="AM200" s="37" t="s">
        <v>4382</v>
      </c>
      <c r="AN200" s="37" t="s">
        <v>3775</v>
      </c>
      <c r="AO200" s="37" t="s">
        <v>4383</v>
      </c>
      <c r="AP200" s="37" t="s">
        <v>4384</v>
      </c>
      <c r="AQ200" s="37" t="s">
        <v>4384</v>
      </c>
    </row>
    <row r="201" ht="13.5" spans="1:43">
      <c r="A201" s="11"/>
      <c r="B201" s="44" t="s">
        <v>416</v>
      </c>
      <c r="C201" s="37" t="s">
        <v>2427</v>
      </c>
      <c r="D201" s="37" t="s">
        <v>2472</v>
      </c>
      <c r="E201" s="37" t="s">
        <v>2473</v>
      </c>
      <c r="F201" s="37" t="s">
        <v>2473</v>
      </c>
      <c r="G201" s="37" t="s">
        <v>2474</v>
      </c>
      <c r="H201" s="37" t="s">
        <v>2475</v>
      </c>
      <c r="I201" s="37" t="s">
        <v>2473</v>
      </c>
      <c r="J201" s="37" t="s">
        <v>2476</v>
      </c>
      <c r="K201" s="37" t="s">
        <v>2477</v>
      </c>
      <c r="L201" s="37" t="s">
        <v>2473</v>
      </c>
      <c r="M201" s="37" t="s">
        <v>2478</v>
      </c>
      <c r="N201" s="37" t="s">
        <v>2479</v>
      </c>
      <c r="O201" s="37" t="s">
        <v>2480</v>
      </c>
      <c r="P201" s="37" t="s">
        <v>2481</v>
      </c>
      <c r="Q201" s="37" t="s">
        <v>2482</v>
      </c>
      <c r="R201" s="37" t="s">
        <v>2483</v>
      </c>
      <c r="S201" s="37" t="s">
        <v>2484</v>
      </c>
      <c r="T201" s="37" t="s">
        <v>2485</v>
      </c>
      <c r="U201" s="37" t="s">
        <v>2486</v>
      </c>
      <c r="V201" s="37" t="s">
        <v>2487</v>
      </c>
      <c r="W201" s="37" t="s">
        <v>2488</v>
      </c>
      <c r="X201" s="37" t="s">
        <v>2489</v>
      </c>
      <c r="Y201" s="37" t="s">
        <v>2490</v>
      </c>
      <c r="Z201" s="37" t="s">
        <v>2491</v>
      </c>
      <c r="AA201" s="37" t="s">
        <v>2492</v>
      </c>
      <c r="AB201" s="37" t="s">
        <v>2427</v>
      </c>
      <c r="AC201" s="37" t="s">
        <v>2493</v>
      </c>
      <c r="AD201" s="37" t="s">
        <v>2494</v>
      </c>
      <c r="AE201" s="37" t="s">
        <v>2495</v>
      </c>
      <c r="AF201" s="37" t="s">
        <v>2427</v>
      </c>
      <c r="AG201" s="37" t="s">
        <v>2496</v>
      </c>
      <c r="AH201" s="37" t="s">
        <v>2497</v>
      </c>
      <c r="AI201" s="37" t="s">
        <v>2498</v>
      </c>
      <c r="AJ201" s="37" t="s">
        <v>2499</v>
      </c>
      <c r="AK201" s="37" t="s">
        <v>2500</v>
      </c>
      <c r="AL201" s="37" t="s">
        <v>2501</v>
      </c>
      <c r="AM201" s="37" t="s">
        <v>2502</v>
      </c>
      <c r="AN201" s="37" t="s">
        <v>2503</v>
      </c>
      <c r="AO201" s="37" t="s">
        <v>2504</v>
      </c>
      <c r="AP201" s="37" t="s">
        <v>2505</v>
      </c>
      <c r="AQ201" s="37" t="s">
        <v>2506</v>
      </c>
    </row>
    <row r="202" ht="13.5" spans="1:43">
      <c r="A202" s="11"/>
      <c r="B202" s="44" t="s">
        <v>4385</v>
      </c>
      <c r="C202" s="37" t="s">
        <v>4386</v>
      </c>
      <c r="D202" s="37" t="s">
        <v>4387</v>
      </c>
      <c r="E202" s="37" t="s">
        <v>4388</v>
      </c>
      <c r="F202" s="37" t="s">
        <v>4389</v>
      </c>
      <c r="G202" s="37" t="s">
        <v>4390</v>
      </c>
      <c r="H202" s="37" t="s">
        <v>4391</v>
      </c>
      <c r="I202" s="37" t="s">
        <v>4392</v>
      </c>
      <c r="J202" s="37" t="s">
        <v>4393</v>
      </c>
      <c r="K202" s="37" t="s">
        <v>4394</v>
      </c>
      <c r="L202" s="37" t="s">
        <v>4395</v>
      </c>
      <c r="M202" s="37" t="s">
        <v>4396</v>
      </c>
      <c r="N202" s="37" t="s">
        <v>4397</v>
      </c>
      <c r="O202" s="37" t="s">
        <v>4398</v>
      </c>
      <c r="P202" s="37" t="s">
        <v>4399</v>
      </c>
      <c r="Q202" s="37" t="s">
        <v>4400</v>
      </c>
      <c r="R202" s="37" t="s">
        <v>3989</v>
      </c>
      <c r="S202" s="37" t="s">
        <v>4401</v>
      </c>
      <c r="T202" s="37" t="s">
        <v>4402</v>
      </c>
      <c r="U202" s="37" t="s">
        <v>4403</v>
      </c>
      <c r="V202" s="37" t="s">
        <v>4404</v>
      </c>
      <c r="W202" s="37" t="s">
        <v>4405</v>
      </c>
      <c r="X202" s="37" t="s">
        <v>4406</v>
      </c>
      <c r="Y202" s="37" t="s">
        <v>4407</v>
      </c>
      <c r="Z202" s="37" t="s">
        <v>2790</v>
      </c>
      <c r="AA202" s="37" t="s">
        <v>4408</v>
      </c>
      <c r="AB202" s="37" t="s">
        <v>4409</v>
      </c>
      <c r="AC202" s="37" t="s">
        <v>3316</v>
      </c>
      <c r="AD202" s="37" t="s">
        <v>4410</v>
      </c>
      <c r="AE202" s="37" t="s">
        <v>3930</v>
      </c>
      <c r="AF202" s="37" t="s">
        <v>4411</v>
      </c>
      <c r="AG202" s="37" t="s">
        <v>4412</v>
      </c>
      <c r="AH202" s="37" t="s">
        <v>3884</v>
      </c>
      <c r="AI202" s="37" t="s">
        <v>4413</v>
      </c>
      <c r="AJ202" s="37" t="s">
        <v>4414</v>
      </c>
      <c r="AK202" s="37" t="s">
        <v>4415</v>
      </c>
      <c r="AL202" s="37" t="s">
        <v>3362</v>
      </c>
      <c r="AM202" s="37" t="s">
        <v>4416</v>
      </c>
      <c r="AN202" s="37" t="s">
        <v>4417</v>
      </c>
      <c r="AO202" s="37" t="s">
        <v>4418</v>
      </c>
      <c r="AP202" s="37" t="s">
        <v>4197</v>
      </c>
      <c r="AQ202" s="37" t="s">
        <v>4419</v>
      </c>
    </row>
    <row r="203" ht="13.5" spans="1:43">
      <c r="A203" s="11"/>
      <c r="B203" s="44" t="s">
        <v>418</v>
      </c>
      <c r="C203" s="37" t="s">
        <v>2507</v>
      </c>
      <c r="D203" s="37" t="s">
        <v>2472</v>
      </c>
      <c r="E203" s="37" t="s">
        <v>2473</v>
      </c>
      <c r="F203" s="37" t="s">
        <v>2508</v>
      </c>
      <c r="G203" s="37" t="s">
        <v>2509</v>
      </c>
      <c r="H203" s="37" t="s">
        <v>2475</v>
      </c>
      <c r="I203" s="37" t="s">
        <v>2473</v>
      </c>
      <c r="J203" s="37" t="s">
        <v>2510</v>
      </c>
      <c r="K203" s="37" t="s">
        <v>2511</v>
      </c>
      <c r="L203" s="37" t="s">
        <v>2473</v>
      </c>
      <c r="M203" s="37" t="s">
        <v>2512</v>
      </c>
      <c r="N203" s="37" t="s">
        <v>2513</v>
      </c>
      <c r="O203" s="37" t="s">
        <v>2514</v>
      </c>
      <c r="P203" s="37" t="s">
        <v>2475</v>
      </c>
      <c r="Q203" s="37" t="s">
        <v>2515</v>
      </c>
      <c r="R203" s="37" t="s">
        <v>2516</v>
      </c>
      <c r="S203" s="37" t="s">
        <v>2517</v>
      </c>
      <c r="T203" s="37" t="s">
        <v>2518</v>
      </c>
      <c r="U203" s="37" t="s">
        <v>2519</v>
      </c>
      <c r="V203" s="37" t="s">
        <v>2520</v>
      </c>
      <c r="W203" s="37" t="s">
        <v>2521</v>
      </c>
      <c r="X203" s="37" t="s">
        <v>2522</v>
      </c>
      <c r="Y203" s="37" t="s">
        <v>2523</v>
      </c>
      <c r="Z203" s="37" t="s">
        <v>2524</v>
      </c>
      <c r="AA203" s="37" t="s">
        <v>2525</v>
      </c>
      <c r="AB203" s="37" t="s">
        <v>2526</v>
      </c>
      <c r="AC203" s="37" t="s">
        <v>2527</v>
      </c>
      <c r="AD203" s="37" t="s">
        <v>2528</v>
      </c>
      <c r="AE203" s="37" t="s">
        <v>2529</v>
      </c>
      <c r="AF203" s="37" t="s">
        <v>2530</v>
      </c>
      <c r="AG203" s="37" t="s">
        <v>2531</v>
      </c>
      <c r="AH203" s="37" t="s">
        <v>2532</v>
      </c>
      <c r="AI203" s="37" t="s">
        <v>2533</v>
      </c>
      <c r="AJ203" s="37" t="s">
        <v>2534</v>
      </c>
      <c r="AK203" s="37" t="s">
        <v>2535</v>
      </c>
      <c r="AL203" s="37" t="s">
        <v>2536</v>
      </c>
      <c r="AM203" s="37" t="s">
        <v>2537</v>
      </c>
      <c r="AN203" s="37" t="s">
        <v>2538</v>
      </c>
      <c r="AO203" s="37" t="s">
        <v>2539</v>
      </c>
      <c r="AP203" s="37" t="s">
        <v>2540</v>
      </c>
      <c r="AQ203" s="37" t="s">
        <v>2541</v>
      </c>
    </row>
    <row r="204" ht="13.5" spans="1:43">
      <c r="A204" s="11" t="s">
        <v>4420</v>
      </c>
      <c r="B204" s="44" t="s">
        <v>4421</v>
      </c>
      <c r="C204" s="37" t="s">
        <v>2507</v>
      </c>
      <c r="D204" s="37" t="s">
        <v>2472</v>
      </c>
      <c r="E204" s="37" t="s">
        <v>2473</v>
      </c>
      <c r="F204" s="37" t="s">
        <v>2508</v>
      </c>
      <c r="G204" s="37" t="s">
        <v>2509</v>
      </c>
      <c r="H204" s="37" t="s">
        <v>2475</v>
      </c>
      <c r="I204" s="37" t="s">
        <v>2473</v>
      </c>
      <c r="J204" s="37" t="s">
        <v>2510</v>
      </c>
      <c r="K204" s="37" t="s">
        <v>67</v>
      </c>
      <c r="L204" s="37" t="s">
        <v>2473</v>
      </c>
      <c r="M204" s="37" t="s">
        <v>2512</v>
      </c>
      <c r="N204" s="37" t="s">
        <v>2513</v>
      </c>
      <c r="O204" s="37" t="s">
        <v>2514</v>
      </c>
      <c r="P204" s="37" t="s">
        <v>2475</v>
      </c>
      <c r="Q204" s="37" t="s">
        <v>2515</v>
      </c>
      <c r="R204" s="37" t="s">
        <v>2516</v>
      </c>
      <c r="S204" s="37" t="s">
        <v>2517</v>
      </c>
      <c r="T204" s="37" t="s">
        <v>4422</v>
      </c>
      <c r="U204" s="37" t="s">
        <v>2519</v>
      </c>
      <c r="V204" s="37" t="s">
        <v>2520</v>
      </c>
      <c r="W204" s="37" t="s">
        <v>2521</v>
      </c>
      <c r="X204" s="37" t="s">
        <v>2522</v>
      </c>
      <c r="Y204" s="37" t="s">
        <v>2523</v>
      </c>
      <c r="Z204" s="37" t="s">
        <v>2524</v>
      </c>
      <c r="AA204" s="37" t="s">
        <v>2525</v>
      </c>
      <c r="AB204" s="37" t="s">
        <v>2526</v>
      </c>
      <c r="AC204" s="37" t="s">
        <v>2527</v>
      </c>
      <c r="AD204" s="37" t="s">
        <v>2528</v>
      </c>
      <c r="AE204" s="37" t="s">
        <v>67</v>
      </c>
      <c r="AF204" s="37" t="s">
        <v>2530</v>
      </c>
      <c r="AG204" s="37" t="s">
        <v>2531</v>
      </c>
      <c r="AH204" s="37" t="s">
        <v>2532</v>
      </c>
      <c r="AI204" s="37" t="s">
        <v>67</v>
      </c>
      <c r="AJ204" s="37" t="s">
        <v>67</v>
      </c>
      <c r="AK204" s="37" t="s">
        <v>67</v>
      </c>
      <c r="AL204" s="37" t="s">
        <v>67</v>
      </c>
      <c r="AM204" s="37" t="s">
        <v>67</v>
      </c>
      <c r="AN204" s="37" t="s">
        <v>67</v>
      </c>
      <c r="AO204" s="37" t="s">
        <v>67</v>
      </c>
      <c r="AP204" s="37" t="s">
        <v>67</v>
      </c>
      <c r="AQ204" s="37" t="s">
        <v>67</v>
      </c>
    </row>
    <row r="205" ht="13.5" spans="1:43">
      <c r="A205" s="11"/>
      <c r="B205" s="44" t="s">
        <v>4423</v>
      </c>
      <c r="C205" s="37" t="s">
        <v>67</v>
      </c>
      <c r="D205" s="37" t="s">
        <v>67</v>
      </c>
      <c r="E205" s="37" t="s">
        <v>67</v>
      </c>
      <c r="F205" s="37" t="s">
        <v>67</v>
      </c>
      <c r="G205" s="37" t="s">
        <v>67</v>
      </c>
      <c r="H205" s="37" t="s">
        <v>67</v>
      </c>
      <c r="I205" s="37" t="s">
        <v>67</v>
      </c>
      <c r="J205" s="37" t="s">
        <v>67</v>
      </c>
      <c r="K205" s="37" t="s">
        <v>2511</v>
      </c>
      <c r="L205" s="37" t="s">
        <v>67</v>
      </c>
      <c r="M205" s="37" t="s">
        <v>67</v>
      </c>
      <c r="N205" s="37" t="s">
        <v>67</v>
      </c>
      <c r="O205" s="37" t="s">
        <v>67</v>
      </c>
      <c r="P205" s="37" t="s">
        <v>67</v>
      </c>
      <c r="Q205" s="37" t="s">
        <v>67</v>
      </c>
      <c r="R205" s="37" t="s">
        <v>67</v>
      </c>
      <c r="S205" s="37" t="s">
        <v>67</v>
      </c>
      <c r="T205" s="37" t="s">
        <v>3729</v>
      </c>
      <c r="U205" s="37" t="s">
        <v>67</v>
      </c>
      <c r="V205" s="37" t="s">
        <v>67</v>
      </c>
      <c r="W205" s="37" t="s">
        <v>67</v>
      </c>
      <c r="X205" s="37" t="s">
        <v>67</v>
      </c>
      <c r="Y205" s="37" t="s">
        <v>67</v>
      </c>
      <c r="Z205" s="37" t="s">
        <v>67</v>
      </c>
      <c r="AA205" s="37" t="s">
        <v>67</v>
      </c>
      <c r="AB205" s="37" t="s">
        <v>67</v>
      </c>
      <c r="AC205" s="37" t="s">
        <v>67</v>
      </c>
      <c r="AD205" s="37" t="s">
        <v>67</v>
      </c>
      <c r="AE205" s="37" t="s">
        <v>67</v>
      </c>
      <c r="AF205" s="37" t="s">
        <v>67</v>
      </c>
      <c r="AG205" s="37" t="s">
        <v>67</v>
      </c>
      <c r="AH205" s="37" t="s">
        <v>67</v>
      </c>
      <c r="AI205" s="37" t="s">
        <v>67</v>
      </c>
      <c r="AJ205" s="37" t="s">
        <v>67</v>
      </c>
      <c r="AK205" s="37" t="s">
        <v>67</v>
      </c>
      <c r="AL205" s="37" t="s">
        <v>67</v>
      </c>
      <c r="AM205" s="37" t="s">
        <v>67</v>
      </c>
      <c r="AN205" s="37" t="s">
        <v>67</v>
      </c>
      <c r="AO205" s="37" t="s">
        <v>67</v>
      </c>
      <c r="AP205" s="37" t="s">
        <v>67</v>
      </c>
      <c r="AQ205" s="37" t="s">
        <v>67</v>
      </c>
    </row>
    <row r="206" ht="13.5" spans="1:43">
      <c r="A206" s="11" t="s">
        <v>4424</v>
      </c>
      <c r="B206" s="44" t="s">
        <v>4425</v>
      </c>
      <c r="C206" s="37" t="s">
        <v>4426</v>
      </c>
      <c r="D206" s="37" t="s">
        <v>2472</v>
      </c>
      <c r="E206" s="37" t="s">
        <v>2473</v>
      </c>
      <c r="F206" s="37" t="s">
        <v>2508</v>
      </c>
      <c r="G206" s="37" t="s">
        <v>4427</v>
      </c>
      <c r="H206" s="37" t="s">
        <v>2475</v>
      </c>
      <c r="I206" s="37" t="s">
        <v>2508</v>
      </c>
      <c r="J206" s="37" t="s">
        <v>4428</v>
      </c>
      <c r="K206" s="37" t="s">
        <v>4429</v>
      </c>
      <c r="L206" s="37" t="s">
        <v>2473</v>
      </c>
      <c r="M206" s="37" t="s">
        <v>4430</v>
      </c>
      <c r="N206" s="37" t="s">
        <v>4349</v>
      </c>
      <c r="O206" s="37" t="s">
        <v>4431</v>
      </c>
      <c r="P206" s="37" t="s">
        <v>2475</v>
      </c>
      <c r="Q206" s="37" t="s">
        <v>4432</v>
      </c>
      <c r="R206" s="37" t="s">
        <v>4433</v>
      </c>
      <c r="S206" s="37" t="s">
        <v>4434</v>
      </c>
      <c r="T206" s="37" t="s">
        <v>4435</v>
      </c>
      <c r="U206" s="37" t="s">
        <v>4436</v>
      </c>
      <c r="V206" s="37" t="s">
        <v>4437</v>
      </c>
      <c r="W206" s="37" t="s">
        <v>4438</v>
      </c>
      <c r="X206" s="37" t="s">
        <v>4439</v>
      </c>
      <c r="Y206" s="37" t="s">
        <v>4440</v>
      </c>
      <c r="Z206" s="37" t="s">
        <v>4441</v>
      </c>
      <c r="AA206" s="37" t="s">
        <v>4442</v>
      </c>
      <c r="AB206" s="37" t="s">
        <v>4443</v>
      </c>
      <c r="AC206" s="37" t="s">
        <v>4444</v>
      </c>
      <c r="AD206" s="37" t="s">
        <v>4445</v>
      </c>
      <c r="AE206" s="37" t="s">
        <v>4446</v>
      </c>
      <c r="AF206" s="37" t="s">
        <v>2427</v>
      </c>
      <c r="AG206" s="37" t="s">
        <v>4447</v>
      </c>
      <c r="AH206" s="37" t="s">
        <v>4448</v>
      </c>
      <c r="AI206" s="37" t="s">
        <v>4449</v>
      </c>
      <c r="AJ206" s="37" t="s">
        <v>4450</v>
      </c>
      <c r="AK206" s="37" t="s">
        <v>4451</v>
      </c>
      <c r="AL206" s="37" t="s">
        <v>4452</v>
      </c>
      <c r="AM206" s="37" t="s">
        <v>3428</v>
      </c>
      <c r="AN206" s="37" t="s">
        <v>4453</v>
      </c>
      <c r="AO206" s="37" t="s">
        <v>2539</v>
      </c>
      <c r="AP206" s="37" t="s">
        <v>2540</v>
      </c>
      <c r="AQ206" s="37" t="s">
        <v>2541</v>
      </c>
    </row>
    <row r="207" ht="13.5" spans="1:43">
      <c r="A207" s="11"/>
      <c r="B207" s="44" t="s">
        <v>4454</v>
      </c>
      <c r="C207" s="37" t="s">
        <v>67</v>
      </c>
      <c r="D207" s="37" t="s">
        <v>67</v>
      </c>
      <c r="E207" s="37" t="s">
        <v>67</v>
      </c>
      <c r="F207" s="37" t="s">
        <v>67</v>
      </c>
      <c r="G207" s="37" t="s">
        <v>67</v>
      </c>
      <c r="H207" s="37" t="s">
        <v>67</v>
      </c>
      <c r="I207" s="37" t="s">
        <v>67</v>
      </c>
      <c r="J207" s="37" t="s">
        <v>67</v>
      </c>
      <c r="K207" s="37" t="s">
        <v>67</v>
      </c>
      <c r="L207" s="37" t="s">
        <v>67</v>
      </c>
      <c r="M207" s="37" t="s">
        <v>67</v>
      </c>
      <c r="N207" s="37" t="s">
        <v>67</v>
      </c>
      <c r="O207" s="37" t="s">
        <v>67</v>
      </c>
      <c r="P207" s="37" t="s">
        <v>67</v>
      </c>
      <c r="Q207" s="37" t="s">
        <v>67</v>
      </c>
      <c r="R207" s="37" t="s">
        <v>67</v>
      </c>
      <c r="S207" s="37" t="s">
        <v>67</v>
      </c>
      <c r="T207" s="37" t="s">
        <v>67</v>
      </c>
      <c r="U207" s="37" t="s">
        <v>67</v>
      </c>
      <c r="V207" s="37" t="s">
        <v>67</v>
      </c>
      <c r="W207" s="37" t="s">
        <v>67</v>
      </c>
      <c r="X207" s="37" t="s">
        <v>67</v>
      </c>
      <c r="Y207" s="37" t="s">
        <v>67</v>
      </c>
      <c r="Z207" s="37" t="s">
        <v>67</v>
      </c>
      <c r="AA207" s="37" t="s">
        <v>67</v>
      </c>
      <c r="AB207" s="37" t="s">
        <v>67</v>
      </c>
      <c r="AC207" s="37" t="s">
        <v>67</v>
      </c>
      <c r="AD207" s="37" t="s">
        <v>67</v>
      </c>
      <c r="AE207" s="37" t="s">
        <v>67</v>
      </c>
      <c r="AF207" s="37" t="s">
        <v>67</v>
      </c>
      <c r="AG207" s="37" t="s">
        <v>67</v>
      </c>
      <c r="AH207" s="37" t="s">
        <v>67</v>
      </c>
      <c r="AI207" s="37" t="s">
        <v>67</v>
      </c>
      <c r="AJ207" s="37" t="s">
        <v>67</v>
      </c>
      <c r="AK207" s="37" t="s">
        <v>67</v>
      </c>
      <c r="AL207" s="37" t="s">
        <v>67</v>
      </c>
      <c r="AM207" s="37" t="s">
        <v>67</v>
      </c>
      <c r="AN207" s="37" t="s">
        <v>67</v>
      </c>
      <c r="AO207" s="37" t="s">
        <v>67</v>
      </c>
      <c r="AP207" s="37" t="s">
        <v>67</v>
      </c>
      <c r="AQ207" s="37" t="s">
        <v>67</v>
      </c>
    </row>
    <row r="208" ht="13.5" spans="1:43">
      <c r="A208" s="11"/>
      <c r="B208" s="44" t="s">
        <v>4455</v>
      </c>
      <c r="C208" s="37" t="s">
        <v>4426</v>
      </c>
      <c r="D208" s="37" t="s">
        <v>2472</v>
      </c>
      <c r="E208" s="37" t="s">
        <v>2473</v>
      </c>
      <c r="F208" s="37" t="s">
        <v>2508</v>
      </c>
      <c r="G208" s="37" t="s">
        <v>4427</v>
      </c>
      <c r="H208" s="37" t="s">
        <v>2475</v>
      </c>
      <c r="I208" s="37" t="s">
        <v>2508</v>
      </c>
      <c r="J208" s="37" t="s">
        <v>4428</v>
      </c>
      <c r="K208" s="37" t="s">
        <v>4429</v>
      </c>
      <c r="L208" s="37" t="s">
        <v>2473</v>
      </c>
      <c r="M208" s="37" t="s">
        <v>4430</v>
      </c>
      <c r="N208" s="37" t="s">
        <v>4349</v>
      </c>
      <c r="O208" s="37" t="s">
        <v>4431</v>
      </c>
      <c r="P208" s="37" t="s">
        <v>2475</v>
      </c>
      <c r="Q208" s="37" t="s">
        <v>4432</v>
      </c>
      <c r="R208" s="37" t="s">
        <v>4456</v>
      </c>
      <c r="S208" s="37" t="s">
        <v>4434</v>
      </c>
      <c r="T208" s="37" t="s">
        <v>4457</v>
      </c>
      <c r="U208" s="37" t="s">
        <v>4436</v>
      </c>
      <c r="V208" s="37" t="s">
        <v>4437</v>
      </c>
      <c r="W208" s="37" t="s">
        <v>4438</v>
      </c>
      <c r="X208" s="37" t="s">
        <v>3453</v>
      </c>
      <c r="Y208" s="37" t="s">
        <v>4440</v>
      </c>
      <c r="Z208" s="37" t="s">
        <v>4441</v>
      </c>
      <c r="AA208" s="37" t="s">
        <v>4442</v>
      </c>
      <c r="AB208" s="37" t="s">
        <v>4458</v>
      </c>
      <c r="AC208" s="37" t="s">
        <v>4444</v>
      </c>
      <c r="AD208" s="37" t="s">
        <v>4445</v>
      </c>
      <c r="AE208" s="37" t="s">
        <v>4446</v>
      </c>
      <c r="AF208" s="37" t="s">
        <v>2427</v>
      </c>
      <c r="AG208" s="37" t="s">
        <v>4447</v>
      </c>
      <c r="AH208" s="37" t="s">
        <v>4448</v>
      </c>
      <c r="AI208" s="37" t="s">
        <v>4449</v>
      </c>
      <c r="AJ208" s="37" t="s">
        <v>4450</v>
      </c>
      <c r="AK208" s="37" t="s">
        <v>4451</v>
      </c>
      <c r="AL208" s="37" t="s">
        <v>4452</v>
      </c>
      <c r="AM208" s="37" t="s">
        <v>3428</v>
      </c>
      <c r="AN208" s="37" t="s">
        <v>4453</v>
      </c>
      <c r="AO208" s="37" t="s">
        <v>2539</v>
      </c>
      <c r="AP208" s="37" t="s">
        <v>2540</v>
      </c>
      <c r="AQ208" s="37" t="s">
        <v>2541</v>
      </c>
    </row>
    <row r="209" ht="13.5" spans="1:43">
      <c r="A209" s="11"/>
      <c r="B209" s="44" t="s">
        <v>4459</v>
      </c>
      <c r="C209" s="37" t="s">
        <v>67</v>
      </c>
      <c r="D209" s="37" t="s">
        <v>67</v>
      </c>
      <c r="E209" s="37" t="s">
        <v>67</v>
      </c>
      <c r="F209" s="37" t="s">
        <v>67</v>
      </c>
      <c r="G209" s="37" t="s">
        <v>67</v>
      </c>
      <c r="H209" s="37" t="s">
        <v>67</v>
      </c>
      <c r="I209" s="37" t="s">
        <v>67</v>
      </c>
      <c r="J209" s="37" t="s">
        <v>67</v>
      </c>
      <c r="K209" s="37" t="s">
        <v>67</v>
      </c>
      <c r="L209" s="37" t="s">
        <v>67</v>
      </c>
      <c r="M209" s="37" t="s">
        <v>67</v>
      </c>
      <c r="N209" s="37" t="s">
        <v>67</v>
      </c>
      <c r="O209" s="37" t="s">
        <v>67</v>
      </c>
      <c r="P209" s="37" t="s">
        <v>67</v>
      </c>
      <c r="Q209" s="37" t="s">
        <v>67</v>
      </c>
      <c r="R209" s="37" t="s">
        <v>67</v>
      </c>
      <c r="S209" s="37" t="s">
        <v>67</v>
      </c>
      <c r="T209" s="37" t="s">
        <v>67</v>
      </c>
      <c r="U209" s="37" t="s">
        <v>67</v>
      </c>
      <c r="V209" s="37" t="s">
        <v>67</v>
      </c>
      <c r="W209" s="37" t="s">
        <v>67</v>
      </c>
      <c r="X209" s="37" t="s">
        <v>67</v>
      </c>
      <c r="Y209" s="37" t="s">
        <v>67</v>
      </c>
      <c r="Z209" s="37" t="s">
        <v>67</v>
      </c>
      <c r="AA209" s="37" t="s">
        <v>67</v>
      </c>
      <c r="AB209" s="37" t="s">
        <v>67</v>
      </c>
      <c r="AC209" s="37" t="s">
        <v>67</v>
      </c>
      <c r="AD209" s="37" t="s">
        <v>67</v>
      </c>
      <c r="AE209" s="37" t="s">
        <v>67</v>
      </c>
      <c r="AF209" s="37" t="s">
        <v>67</v>
      </c>
      <c r="AG209" s="37" t="s">
        <v>67</v>
      </c>
      <c r="AH209" s="37" t="s">
        <v>67</v>
      </c>
      <c r="AI209" s="37" t="s">
        <v>67</v>
      </c>
      <c r="AJ209" s="37" t="s">
        <v>67</v>
      </c>
      <c r="AK209" s="37" t="s">
        <v>67</v>
      </c>
      <c r="AL209" s="37" t="s">
        <v>67</v>
      </c>
      <c r="AM209" s="37" t="s">
        <v>67</v>
      </c>
      <c r="AN209" s="37" t="s">
        <v>67</v>
      </c>
      <c r="AO209" s="37" t="s">
        <v>67</v>
      </c>
      <c r="AP209" s="37" t="s">
        <v>67</v>
      </c>
      <c r="AQ209" s="37" t="s">
        <v>67</v>
      </c>
    </row>
    <row r="210" ht="13.5" spans="1:43">
      <c r="A210" s="11"/>
      <c r="B210" s="44" t="s">
        <v>4460</v>
      </c>
      <c r="C210" s="37" t="s">
        <v>2507</v>
      </c>
      <c r="D210" s="37" t="s">
        <v>2472</v>
      </c>
      <c r="E210" s="37" t="s">
        <v>2473</v>
      </c>
      <c r="F210" s="37" t="s">
        <v>2508</v>
      </c>
      <c r="G210" s="37" t="s">
        <v>2509</v>
      </c>
      <c r="H210" s="37" t="s">
        <v>2475</v>
      </c>
      <c r="I210" s="37" t="s">
        <v>2473</v>
      </c>
      <c r="J210" s="37" t="s">
        <v>2510</v>
      </c>
      <c r="K210" s="37" t="s">
        <v>2511</v>
      </c>
      <c r="L210" s="37" t="s">
        <v>2473</v>
      </c>
      <c r="M210" s="37" t="s">
        <v>2512</v>
      </c>
      <c r="N210" s="37" t="s">
        <v>2513</v>
      </c>
      <c r="O210" s="37" t="s">
        <v>2514</v>
      </c>
      <c r="P210" s="37" t="s">
        <v>2475</v>
      </c>
      <c r="Q210" s="37" t="s">
        <v>2515</v>
      </c>
      <c r="R210" s="37" t="s">
        <v>4431</v>
      </c>
      <c r="S210" s="37" t="s">
        <v>2517</v>
      </c>
      <c r="T210" s="37" t="s">
        <v>4461</v>
      </c>
      <c r="U210" s="37" t="s">
        <v>2519</v>
      </c>
      <c r="V210" s="37" t="s">
        <v>2520</v>
      </c>
      <c r="W210" s="37" t="s">
        <v>2521</v>
      </c>
      <c r="X210" s="37" t="s">
        <v>4462</v>
      </c>
      <c r="Y210" s="37" t="s">
        <v>2523</v>
      </c>
      <c r="Z210" s="37" t="s">
        <v>2524</v>
      </c>
      <c r="AA210" s="37" t="s">
        <v>2525</v>
      </c>
      <c r="AB210" s="37" t="s">
        <v>4463</v>
      </c>
      <c r="AC210" s="37" t="s">
        <v>2527</v>
      </c>
      <c r="AD210" s="37" t="s">
        <v>2528</v>
      </c>
      <c r="AE210" s="37" t="s">
        <v>2529</v>
      </c>
      <c r="AF210" s="37" t="s">
        <v>2530</v>
      </c>
      <c r="AG210" s="37" t="s">
        <v>2531</v>
      </c>
      <c r="AH210" s="37" t="s">
        <v>2532</v>
      </c>
      <c r="AI210" s="37" t="s">
        <v>2533</v>
      </c>
      <c r="AJ210" s="37" t="s">
        <v>2534</v>
      </c>
      <c r="AK210" s="37" t="s">
        <v>2535</v>
      </c>
      <c r="AL210" s="37" t="s">
        <v>2536</v>
      </c>
      <c r="AM210" s="37" t="s">
        <v>2537</v>
      </c>
      <c r="AN210" s="37" t="s">
        <v>2538</v>
      </c>
      <c r="AO210" s="37" t="s">
        <v>2539</v>
      </c>
      <c r="AP210" s="37" t="s">
        <v>2540</v>
      </c>
      <c r="AQ210" s="37" t="s">
        <v>2541</v>
      </c>
    </row>
    <row r="211" ht="13.5" spans="1:43">
      <c r="A211" s="11"/>
      <c r="B211" s="44" t="s">
        <v>4464</v>
      </c>
      <c r="C211" s="37" t="s">
        <v>67</v>
      </c>
      <c r="D211" s="37" t="s">
        <v>67</v>
      </c>
      <c r="E211" s="37" t="s">
        <v>67</v>
      </c>
      <c r="F211" s="37" t="s">
        <v>67</v>
      </c>
      <c r="G211" s="37" t="s">
        <v>67</v>
      </c>
      <c r="H211" s="37" t="s">
        <v>67</v>
      </c>
      <c r="I211" s="37" t="s">
        <v>67</v>
      </c>
      <c r="J211" s="37" t="s">
        <v>67</v>
      </c>
      <c r="K211" s="37" t="s">
        <v>4429</v>
      </c>
      <c r="L211" s="37" t="s">
        <v>2473</v>
      </c>
      <c r="M211" s="37" t="s">
        <v>4430</v>
      </c>
      <c r="N211" s="37" t="s">
        <v>4349</v>
      </c>
      <c r="O211" s="37" t="s">
        <v>4431</v>
      </c>
      <c r="P211" s="37" t="s">
        <v>2475</v>
      </c>
      <c r="Q211" s="37" t="s">
        <v>4432</v>
      </c>
      <c r="R211" s="37" t="s">
        <v>4433</v>
      </c>
      <c r="S211" s="37" t="s">
        <v>4434</v>
      </c>
      <c r="T211" s="37" t="s">
        <v>4457</v>
      </c>
      <c r="U211" s="37" t="s">
        <v>4436</v>
      </c>
      <c r="V211" s="37" t="s">
        <v>4437</v>
      </c>
      <c r="W211" s="37" t="s">
        <v>4438</v>
      </c>
      <c r="X211" s="37" t="s">
        <v>3453</v>
      </c>
      <c r="Y211" s="37" t="s">
        <v>4440</v>
      </c>
      <c r="Z211" s="37" t="s">
        <v>4441</v>
      </c>
      <c r="AA211" s="37" t="s">
        <v>4442</v>
      </c>
      <c r="AB211" s="37" t="s">
        <v>4458</v>
      </c>
      <c r="AC211" s="37" t="s">
        <v>4444</v>
      </c>
      <c r="AD211" s="37" t="s">
        <v>4445</v>
      </c>
      <c r="AE211" s="37" t="s">
        <v>4446</v>
      </c>
      <c r="AF211" s="37" t="s">
        <v>2427</v>
      </c>
      <c r="AG211" s="37" t="s">
        <v>4447</v>
      </c>
      <c r="AH211" s="37" t="s">
        <v>4448</v>
      </c>
      <c r="AI211" s="37" t="s">
        <v>4449</v>
      </c>
      <c r="AJ211" s="37" t="s">
        <v>4450</v>
      </c>
      <c r="AK211" s="37" t="s">
        <v>4451</v>
      </c>
      <c r="AL211" s="37" t="s">
        <v>4452</v>
      </c>
      <c r="AM211" s="37" t="s">
        <v>3428</v>
      </c>
      <c r="AN211" s="37" t="s">
        <v>4453</v>
      </c>
      <c r="AO211" s="37" t="s">
        <v>2539</v>
      </c>
      <c r="AP211" s="37" t="s">
        <v>2540</v>
      </c>
      <c r="AQ211" s="37" t="s">
        <v>2541</v>
      </c>
    </row>
    <row r="212" ht="13.5" spans="1:43">
      <c r="A212" s="11"/>
      <c r="B212" s="44" t="s">
        <v>4465</v>
      </c>
      <c r="C212" s="37" t="s">
        <v>67</v>
      </c>
      <c r="D212" s="37" t="s">
        <v>67</v>
      </c>
      <c r="E212" s="37" t="s">
        <v>67</v>
      </c>
      <c r="F212" s="37" t="s">
        <v>67</v>
      </c>
      <c r="G212" s="37" t="s">
        <v>67</v>
      </c>
      <c r="H212" s="37" t="s">
        <v>67</v>
      </c>
      <c r="I212" s="37" t="s">
        <v>67</v>
      </c>
      <c r="J212" s="37" t="s">
        <v>67</v>
      </c>
      <c r="K212" s="37" t="s">
        <v>67</v>
      </c>
      <c r="L212" s="37" t="s">
        <v>67</v>
      </c>
      <c r="M212" s="37" t="s">
        <v>67</v>
      </c>
      <c r="N212" s="37" t="s">
        <v>67</v>
      </c>
      <c r="O212" s="37" t="s">
        <v>67</v>
      </c>
      <c r="P212" s="37" t="s">
        <v>67</v>
      </c>
      <c r="Q212" s="37" t="s">
        <v>67</v>
      </c>
      <c r="R212" s="37" t="s">
        <v>67</v>
      </c>
      <c r="S212" s="37" t="s">
        <v>67</v>
      </c>
      <c r="T212" s="37" t="s">
        <v>67</v>
      </c>
      <c r="U212" s="37" t="s">
        <v>67</v>
      </c>
      <c r="V212" s="37" t="s">
        <v>67</v>
      </c>
      <c r="W212" s="37" t="s">
        <v>67</v>
      </c>
      <c r="X212" s="37" t="s">
        <v>67</v>
      </c>
      <c r="Y212" s="37" t="s">
        <v>67</v>
      </c>
      <c r="Z212" s="37" t="s">
        <v>67</v>
      </c>
      <c r="AA212" s="37" t="s">
        <v>67</v>
      </c>
      <c r="AB212" s="37" t="s">
        <v>67</v>
      </c>
      <c r="AC212" s="37" t="s">
        <v>67</v>
      </c>
      <c r="AD212" s="37" t="s">
        <v>67</v>
      </c>
      <c r="AE212" s="37" t="s">
        <v>67</v>
      </c>
      <c r="AF212" s="37" t="s">
        <v>67</v>
      </c>
      <c r="AG212" s="37" t="s">
        <v>67</v>
      </c>
      <c r="AH212" s="37" t="s">
        <v>67</v>
      </c>
      <c r="AI212" s="37" t="s">
        <v>67</v>
      </c>
      <c r="AJ212" s="37" t="s">
        <v>67</v>
      </c>
      <c r="AK212" s="37" t="s">
        <v>67</v>
      </c>
      <c r="AL212" s="37" t="s">
        <v>67</v>
      </c>
      <c r="AM212" s="37" t="s">
        <v>67</v>
      </c>
      <c r="AN212" s="37" t="s">
        <v>67</v>
      </c>
      <c r="AO212" s="37" t="s">
        <v>67</v>
      </c>
      <c r="AP212" s="37" t="s">
        <v>67</v>
      </c>
      <c r="AQ212" s="37" t="s">
        <v>67</v>
      </c>
    </row>
    <row r="213" ht="13.5" spans="1:43">
      <c r="A213" s="11" t="s">
        <v>4466</v>
      </c>
      <c r="B213" s="44" t="s">
        <v>4467</v>
      </c>
      <c r="C213" s="37" t="s">
        <v>2894</v>
      </c>
      <c r="D213" s="37" t="s">
        <v>2895</v>
      </c>
      <c r="E213" s="37" t="s">
        <v>2896</v>
      </c>
      <c r="F213" s="37" t="s">
        <v>2897</v>
      </c>
      <c r="G213" s="37" t="s">
        <v>2898</v>
      </c>
      <c r="H213" s="37" t="s">
        <v>2899</v>
      </c>
      <c r="I213" s="37" t="s">
        <v>2612</v>
      </c>
      <c r="J213" s="37" t="s">
        <v>577</v>
      </c>
      <c r="K213" s="37" t="s">
        <v>2900</v>
      </c>
      <c r="L213" s="37" t="s">
        <v>2896</v>
      </c>
      <c r="M213" s="37" t="s">
        <v>2901</v>
      </c>
      <c r="N213" s="37" t="s">
        <v>2900</v>
      </c>
      <c r="O213" s="37" t="s">
        <v>2902</v>
      </c>
      <c r="P213" s="37" t="s">
        <v>2903</v>
      </c>
      <c r="Q213" s="37" t="s">
        <v>2904</v>
      </c>
      <c r="R213" s="37" t="s">
        <v>2905</v>
      </c>
      <c r="S213" s="37" t="s">
        <v>2906</v>
      </c>
      <c r="T213" s="37" t="s">
        <v>2907</v>
      </c>
      <c r="U213" s="37" t="s">
        <v>2908</v>
      </c>
      <c r="V213" s="37" t="s">
        <v>2909</v>
      </c>
      <c r="W213" s="37" t="s">
        <v>2900</v>
      </c>
      <c r="X213" s="37" t="s">
        <v>2910</v>
      </c>
      <c r="Y213" s="37" t="s">
        <v>2911</v>
      </c>
      <c r="Z213" s="37" t="s">
        <v>577</v>
      </c>
      <c r="AA213" s="37" t="s">
        <v>2912</v>
      </c>
      <c r="AB213" s="37" t="s">
        <v>2913</v>
      </c>
      <c r="AC213" s="37" t="s">
        <v>2914</v>
      </c>
      <c r="AD213" s="37" t="s">
        <v>2915</v>
      </c>
      <c r="AE213" s="37" t="s">
        <v>2900</v>
      </c>
      <c r="AF213" s="37" t="s">
        <v>2916</v>
      </c>
      <c r="AG213" s="37" t="s">
        <v>2917</v>
      </c>
      <c r="AH213" s="37" t="s">
        <v>2915</v>
      </c>
      <c r="AI213" s="37" t="s">
        <v>2918</v>
      </c>
      <c r="AJ213" s="37" t="s">
        <v>2919</v>
      </c>
      <c r="AK213" s="37" t="s">
        <v>2920</v>
      </c>
      <c r="AL213" s="37" t="s">
        <v>2909</v>
      </c>
      <c r="AM213" s="37" t="s">
        <v>2921</v>
      </c>
      <c r="AN213" s="37" t="s">
        <v>2922</v>
      </c>
      <c r="AO213" s="37" t="s">
        <v>2923</v>
      </c>
      <c r="AP213" s="37" t="s">
        <v>2915</v>
      </c>
      <c r="AQ213" s="37" t="s">
        <v>2909</v>
      </c>
    </row>
    <row r="214" ht="13.5" spans="1:43">
      <c r="A214" s="11"/>
      <c r="B214" s="44" t="s">
        <v>4468</v>
      </c>
      <c r="C214" s="37" t="s">
        <v>2894</v>
      </c>
      <c r="D214" s="37" t="s">
        <v>2895</v>
      </c>
      <c r="E214" s="37" t="s">
        <v>2896</v>
      </c>
      <c r="F214" s="37" t="s">
        <v>2897</v>
      </c>
      <c r="G214" s="37" t="s">
        <v>2898</v>
      </c>
      <c r="H214" s="37" t="s">
        <v>2899</v>
      </c>
      <c r="I214" s="37" t="s">
        <v>2612</v>
      </c>
      <c r="J214" s="37" t="s">
        <v>577</v>
      </c>
      <c r="K214" s="37" t="s">
        <v>2900</v>
      </c>
      <c r="L214" s="37" t="s">
        <v>2896</v>
      </c>
      <c r="M214" s="37" t="s">
        <v>2901</v>
      </c>
      <c r="N214" s="37" t="s">
        <v>2900</v>
      </c>
      <c r="O214" s="37" t="s">
        <v>2902</v>
      </c>
      <c r="P214" s="37" t="s">
        <v>2925</v>
      </c>
      <c r="Q214" s="37" t="s">
        <v>2904</v>
      </c>
      <c r="R214" s="37" t="s">
        <v>2905</v>
      </c>
      <c r="S214" s="37" t="s">
        <v>2906</v>
      </c>
      <c r="T214" s="37" t="s">
        <v>2907</v>
      </c>
      <c r="U214" s="37" t="s">
        <v>2908</v>
      </c>
      <c r="V214" s="37" t="s">
        <v>2909</v>
      </c>
      <c r="W214" s="37" t="s">
        <v>2900</v>
      </c>
      <c r="X214" s="37" t="s">
        <v>2910</v>
      </c>
      <c r="Y214" s="37" t="s">
        <v>2911</v>
      </c>
      <c r="Z214" s="37" t="s">
        <v>577</v>
      </c>
      <c r="AA214" s="37" t="s">
        <v>2912</v>
      </c>
      <c r="AB214" s="37" t="s">
        <v>2913</v>
      </c>
      <c r="AC214" s="37" t="s">
        <v>2914</v>
      </c>
      <c r="AD214" s="37" t="s">
        <v>2915</v>
      </c>
      <c r="AE214" s="37" t="s">
        <v>2900</v>
      </c>
      <c r="AF214" s="37" t="s">
        <v>2916</v>
      </c>
      <c r="AG214" s="37" t="s">
        <v>2917</v>
      </c>
      <c r="AH214" s="37" t="s">
        <v>2915</v>
      </c>
      <c r="AI214" s="37" t="s">
        <v>2918</v>
      </c>
      <c r="AJ214" s="37" t="s">
        <v>2919</v>
      </c>
      <c r="AK214" s="37" t="s">
        <v>2920</v>
      </c>
      <c r="AL214" s="37" t="s">
        <v>2909</v>
      </c>
      <c r="AM214" s="37" t="s">
        <v>2921</v>
      </c>
      <c r="AN214" s="37" t="s">
        <v>2922</v>
      </c>
      <c r="AO214" s="37" t="s">
        <v>2923</v>
      </c>
      <c r="AP214" s="37" t="s">
        <v>2915</v>
      </c>
      <c r="AQ214" s="37" t="s">
        <v>2909</v>
      </c>
    </row>
    <row r="215" ht="15.5" spans="1:43">
      <c r="A215" s="3"/>
      <c r="B215" s="17"/>
      <c r="C215" s="37"/>
      <c r="D215" s="2"/>
      <c r="E215" s="2"/>
      <c r="F215" s="2"/>
      <c r="G215" s="2"/>
      <c r="H215" s="2"/>
      <c r="I215" s="2"/>
      <c r="J215" s="2"/>
      <c r="K215" s="2"/>
      <c r="L215" s="2"/>
      <c r="M215" s="2"/>
      <c r="N215" s="2"/>
      <c r="O215" s="2"/>
      <c r="P215" s="2"/>
      <c r="Q215" s="2"/>
      <c r="R215" s="2"/>
      <c r="S215" s="2"/>
      <c r="T215" s="2"/>
      <c r="U215" s="2"/>
    </row>
    <row r="216" ht="15.5" spans="1:43">
      <c r="A216" s="3"/>
      <c r="B216" s="45"/>
      <c r="C216" s="37"/>
      <c r="D216" s="2"/>
      <c r="E216" s="2"/>
      <c r="F216" s="2"/>
      <c r="G216" s="2"/>
      <c r="H216" s="2"/>
      <c r="I216" s="2"/>
      <c r="J216" s="2"/>
      <c r="K216" s="2"/>
      <c r="L216" s="2"/>
      <c r="M216" s="2"/>
      <c r="N216" s="2"/>
      <c r="O216" s="2"/>
      <c r="P216" s="2"/>
      <c r="Q216" s="2"/>
      <c r="R216" s="2"/>
      <c r="S216" s="2"/>
      <c r="T216" s="2"/>
      <c r="U216" s="2"/>
    </row>
    <row r="217" ht="15.5" spans="1:43">
      <c r="A217" s="3" t="s">
        <v>2701</v>
      </c>
      <c r="B217" s="45"/>
      <c r="C217" s="27" t="s">
        <v>2367</v>
      </c>
      <c r="D217" s="27" t="s">
        <v>2368</v>
      </c>
      <c r="E217" s="27" t="s">
        <v>2369</v>
      </c>
      <c r="F217" s="27" t="s">
        <v>2370</v>
      </c>
      <c r="G217" s="27" t="s">
        <v>2371</v>
      </c>
      <c r="H217" s="27" t="s">
        <v>2372</v>
      </c>
      <c r="I217" s="27" t="s">
        <v>2373</v>
      </c>
      <c r="J217" s="27" t="s">
        <v>2374</v>
      </c>
      <c r="K217" s="27" t="s">
        <v>2375</v>
      </c>
      <c r="L217" s="27" t="s">
        <v>2376</v>
      </c>
      <c r="M217" s="27" t="s">
        <v>2377</v>
      </c>
      <c r="N217" s="27" t="s">
        <v>2378</v>
      </c>
      <c r="O217" s="27" t="s">
        <v>2379</v>
      </c>
      <c r="P217" s="27" t="s">
        <v>2380</v>
      </c>
      <c r="Q217" s="27" t="s">
        <v>2381</v>
      </c>
      <c r="R217" s="27" t="s">
        <v>2382</v>
      </c>
      <c r="S217" s="27" t="s">
        <v>2383</v>
      </c>
      <c r="T217" s="27" t="s">
        <v>2384</v>
      </c>
      <c r="U217" s="27" t="s">
        <v>2385</v>
      </c>
      <c r="V217" s="27" t="s">
        <v>2386</v>
      </c>
      <c r="W217" s="27" t="s">
        <v>2387</v>
      </c>
      <c r="X217" s="27" t="s">
        <v>2388</v>
      </c>
      <c r="Y217" s="27" t="s">
        <v>2389</v>
      </c>
      <c r="Z217" s="27" t="s">
        <v>2390</v>
      </c>
      <c r="AA217" s="27" t="s">
        <v>2391</v>
      </c>
      <c r="AB217" s="27" t="s">
        <v>2392</v>
      </c>
      <c r="AC217" s="27" t="s">
        <v>2393</v>
      </c>
      <c r="AD217" s="27" t="s">
        <v>2394</v>
      </c>
      <c r="AE217" s="27" t="s">
        <v>2395</v>
      </c>
      <c r="AF217" s="27" t="s">
        <v>2396</v>
      </c>
      <c r="AG217" s="27" t="s">
        <v>2397</v>
      </c>
      <c r="AH217" s="27" t="s">
        <v>2398</v>
      </c>
      <c r="AI217" s="27" t="s">
        <v>2399</v>
      </c>
      <c r="AJ217" s="27" t="s">
        <v>2400</v>
      </c>
      <c r="AK217" s="27" t="s">
        <v>2401</v>
      </c>
      <c r="AL217" s="27" t="s">
        <v>2402</v>
      </c>
      <c r="AM217" s="27" t="s">
        <v>2403</v>
      </c>
      <c r="AN217" s="27" t="s">
        <v>2404</v>
      </c>
      <c r="AO217" s="27" t="s">
        <v>2405</v>
      </c>
      <c r="AP217" s="27" t="s">
        <v>2406</v>
      </c>
      <c r="AQ217" s="27" t="s">
        <v>2407</v>
      </c>
    </row>
    <row r="218" ht="13.5" spans="1:43">
      <c r="A218" s="38" t="s">
        <v>4469</v>
      </c>
      <c r="B218" s="39" t="s">
        <v>4470</v>
      </c>
      <c r="C218" s="40" t="s">
        <v>2428</v>
      </c>
      <c r="D218" s="40" t="s">
        <v>2411</v>
      </c>
      <c r="E218" s="40" t="s">
        <v>2422</v>
      </c>
      <c r="F218" s="40" t="s">
        <v>2424</v>
      </c>
      <c r="G218" s="40" t="s">
        <v>2428</v>
      </c>
      <c r="H218" s="40" t="s">
        <v>2659</v>
      </c>
      <c r="I218" s="40" t="s">
        <v>2416</v>
      </c>
      <c r="J218" s="40" t="s">
        <v>2413</v>
      </c>
      <c r="K218" s="40" t="s">
        <v>2426</v>
      </c>
      <c r="L218" s="40" t="s">
        <v>2411</v>
      </c>
      <c r="M218" s="40" t="s">
        <v>2422</v>
      </c>
      <c r="N218" s="40" t="s">
        <v>2423</v>
      </c>
      <c r="O218" s="40" t="s">
        <v>2425</v>
      </c>
      <c r="P218" s="40" t="s">
        <v>2415</v>
      </c>
      <c r="Q218" s="40" t="s">
        <v>2417</v>
      </c>
      <c r="R218" s="40" t="s">
        <v>2418</v>
      </c>
      <c r="S218" s="40" t="s">
        <v>2414</v>
      </c>
      <c r="T218" s="40" t="s">
        <v>2412</v>
      </c>
      <c r="U218" s="40" t="s">
        <v>2410</v>
      </c>
      <c r="V218" s="40" t="s">
        <v>2428</v>
      </c>
      <c r="W218" s="40" t="s">
        <v>2414</v>
      </c>
      <c r="X218" s="40" t="s">
        <v>2417</v>
      </c>
      <c r="Y218" s="40" t="s">
        <v>2418</v>
      </c>
      <c r="Z218" s="40" t="s">
        <v>2426</v>
      </c>
      <c r="AA218" s="40" t="s">
        <v>2429</v>
      </c>
      <c r="AB218" s="40" t="s">
        <v>2413</v>
      </c>
      <c r="AC218" s="40" t="s">
        <v>2418</v>
      </c>
      <c r="AD218" s="40" t="s">
        <v>2426</v>
      </c>
      <c r="AE218" s="40" t="s">
        <v>2414</v>
      </c>
      <c r="AF218" s="40" t="s">
        <v>2418</v>
      </c>
      <c r="AG218" s="40" t="s">
        <v>2428</v>
      </c>
      <c r="AH218" s="40" t="s">
        <v>2421</v>
      </c>
      <c r="AI218" s="40" t="s">
        <v>2429</v>
      </c>
      <c r="AJ218" s="40" t="s">
        <v>2426</v>
      </c>
      <c r="AK218" s="40" t="s">
        <v>2414</v>
      </c>
      <c r="AL218" s="40" t="s">
        <v>2429</v>
      </c>
      <c r="AM218" s="40" t="s">
        <v>4471</v>
      </c>
      <c r="AN218" s="40" t="s">
        <v>2421</v>
      </c>
      <c r="AO218" s="40" t="s">
        <v>2414</v>
      </c>
      <c r="AP218" s="40" t="s">
        <v>2429</v>
      </c>
      <c r="AQ218" s="40" t="s">
        <v>4472</v>
      </c>
    </row>
    <row r="219" ht="13.5" spans="1:43">
      <c r="A219" s="38"/>
      <c r="B219" s="39" t="s">
        <v>4473</v>
      </c>
      <c r="C219" s="40" t="s">
        <v>67</v>
      </c>
      <c r="D219" s="40" t="s">
        <v>67</v>
      </c>
      <c r="E219" s="40" t="s">
        <v>67</v>
      </c>
      <c r="F219" s="40" t="s">
        <v>67</v>
      </c>
      <c r="G219" s="40" t="s">
        <v>67</v>
      </c>
      <c r="H219" s="40" t="s">
        <v>67</v>
      </c>
      <c r="I219" s="40" t="s">
        <v>67</v>
      </c>
      <c r="J219" s="40" t="s">
        <v>67</v>
      </c>
      <c r="K219" s="40" t="s">
        <v>67</v>
      </c>
      <c r="L219" s="40" t="s">
        <v>67</v>
      </c>
      <c r="M219" s="40" t="s">
        <v>67</v>
      </c>
      <c r="N219" s="40" t="s">
        <v>67</v>
      </c>
      <c r="O219" s="40" t="s">
        <v>67</v>
      </c>
      <c r="P219" s="40" t="s">
        <v>67</v>
      </c>
      <c r="Q219" s="40" t="s">
        <v>67</v>
      </c>
      <c r="R219" s="40" t="s">
        <v>67</v>
      </c>
      <c r="S219" s="40" t="s">
        <v>67</v>
      </c>
      <c r="T219" s="40" t="s">
        <v>67</v>
      </c>
      <c r="U219" s="40" t="s">
        <v>67</v>
      </c>
      <c r="V219" s="40" t="s">
        <v>67</v>
      </c>
      <c r="W219" s="40" t="s">
        <v>67</v>
      </c>
      <c r="X219" s="40" t="s">
        <v>67</v>
      </c>
      <c r="Y219" s="40" t="s">
        <v>67</v>
      </c>
      <c r="Z219" s="40" t="s">
        <v>67</v>
      </c>
      <c r="AA219" s="40" t="s">
        <v>67</v>
      </c>
      <c r="AB219" s="40" t="s">
        <v>67</v>
      </c>
      <c r="AC219" s="40" t="s">
        <v>67</v>
      </c>
      <c r="AD219" s="40" t="s">
        <v>67</v>
      </c>
      <c r="AE219" s="40" t="s">
        <v>67</v>
      </c>
      <c r="AF219" s="40" t="s">
        <v>67</v>
      </c>
      <c r="AG219" s="40" t="s">
        <v>67</v>
      </c>
      <c r="AH219" s="40" t="s">
        <v>67</v>
      </c>
      <c r="AI219" s="40" t="s">
        <v>67</v>
      </c>
      <c r="AJ219" s="40" t="s">
        <v>67</v>
      </c>
      <c r="AK219" s="40" t="s">
        <v>67</v>
      </c>
      <c r="AL219" s="40" t="s">
        <v>67</v>
      </c>
      <c r="AM219" s="40" t="s">
        <v>67</v>
      </c>
      <c r="AN219" s="40" t="s">
        <v>67</v>
      </c>
      <c r="AO219" s="40" t="s">
        <v>67</v>
      </c>
      <c r="AP219" s="40" t="s">
        <v>67</v>
      </c>
      <c r="AQ219" s="40" t="s">
        <v>67</v>
      </c>
    </row>
    <row r="220" ht="13.5" spans="1:43">
      <c r="A220" s="38"/>
      <c r="B220" s="39" t="s">
        <v>4474</v>
      </c>
      <c r="C220" s="40" t="s">
        <v>67</v>
      </c>
      <c r="D220" s="40" t="s">
        <v>67</v>
      </c>
      <c r="E220" s="40" t="s">
        <v>67</v>
      </c>
      <c r="F220" s="40" t="s">
        <v>67</v>
      </c>
      <c r="G220" s="40" t="s">
        <v>67</v>
      </c>
      <c r="H220" s="40" t="s">
        <v>67</v>
      </c>
      <c r="I220" s="40" t="s">
        <v>67</v>
      </c>
      <c r="J220" s="40" t="s">
        <v>67</v>
      </c>
      <c r="K220" s="40" t="s">
        <v>67</v>
      </c>
      <c r="L220" s="40" t="s">
        <v>67</v>
      </c>
      <c r="M220" s="40" t="s">
        <v>67</v>
      </c>
      <c r="N220" s="40" t="s">
        <v>67</v>
      </c>
      <c r="O220" s="40" t="s">
        <v>67</v>
      </c>
      <c r="P220" s="40" t="s">
        <v>67</v>
      </c>
      <c r="Q220" s="40" t="s">
        <v>67</v>
      </c>
      <c r="R220" s="40" t="s">
        <v>67</v>
      </c>
      <c r="S220" s="40" t="s">
        <v>67</v>
      </c>
      <c r="T220" s="40" t="s">
        <v>67</v>
      </c>
      <c r="U220" s="40" t="s">
        <v>67</v>
      </c>
      <c r="V220" s="40" t="s">
        <v>67</v>
      </c>
      <c r="W220" s="40" t="s">
        <v>67</v>
      </c>
      <c r="X220" s="40" t="s">
        <v>67</v>
      </c>
      <c r="Y220" s="40" t="s">
        <v>67</v>
      </c>
      <c r="Z220" s="40" t="s">
        <v>67</v>
      </c>
      <c r="AA220" s="40" t="s">
        <v>67</v>
      </c>
      <c r="AB220" s="40" t="s">
        <v>67</v>
      </c>
      <c r="AC220" s="40" t="s">
        <v>67</v>
      </c>
      <c r="AD220" s="40" t="s">
        <v>67</v>
      </c>
      <c r="AE220" s="40" t="s">
        <v>67</v>
      </c>
      <c r="AF220" s="40" t="s">
        <v>67</v>
      </c>
      <c r="AG220" s="40" t="s">
        <v>67</v>
      </c>
      <c r="AH220" s="40" t="s">
        <v>67</v>
      </c>
      <c r="AI220" s="40" t="s">
        <v>67</v>
      </c>
      <c r="AJ220" s="40" t="s">
        <v>67</v>
      </c>
      <c r="AK220" s="40" t="s">
        <v>67</v>
      </c>
      <c r="AL220" s="40" t="s">
        <v>67</v>
      </c>
      <c r="AM220" s="40" t="s">
        <v>67</v>
      </c>
      <c r="AN220" s="40" t="s">
        <v>67</v>
      </c>
      <c r="AO220" s="40" t="s">
        <v>67</v>
      </c>
      <c r="AP220" s="40" t="s">
        <v>67</v>
      </c>
      <c r="AQ220" s="40" t="s">
        <v>67</v>
      </c>
    </row>
    <row r="221" ht="13.5" spans="1:43">
      <c r="A221" s="38"/>
      <c r="B221" s="39" t="s">
        <v>4475</v>
      </c>
      <c r="C221" s="40" t="s">
        <v>67</v>
      </c>
      <c r="D221" s="40" t="s">
        <v>67</v>
      </c>
      <c r="E221" s="40" t="s">
        <v>67</v>
      </c>
      <c r="F221" s="40" t="s">
        <v>67</v>
      </c>
      <c r="G221" s="40" t="s">
        <v>67</v>
      </c>
      <c r="H221" s="40" t="s">
        <v>67</v>
      </c>
      <c r="I221" s="40" t="s">
        <v>67</v>
      </c>
      <c r="J221" s="40" t="s">
        <v>67</v>
      </c>
      <c r="K221" s="40" t="s">
        <v>67</v>
      </c>
      <c r="L221" s="40" t="s">
        <v>67</v>
      </c>
      <c r="M221" s="40" t="s">
        <v>67</v>
      </c>
      <c r="N221" s="40" t="s">
        <v>67</v>
      </c>
      <c r="O221" s="40" t="s">
        <v>67</v>
      </c>
      <c r="P221" s="40" t="s">
        <v>67</v>
      </c>
      <c r="Q221" s="40" t="s">
        <v>67</v>
      </c>
      <c r="R221" s="40" t="s">
        <v>67</v>
      </c>
      <c r="S221" s="40" t="s">
        <v>67</v>
      </c>
      <c r="T221" s="40" t="s">
        <v>67</v>
      </c>
      <c r="U221" s="40" t="s">
        <v>67</v>
      </c>
      <c r="V221" s="40" t="s">
        <v>67</v>
      </c>
      <c r="W221" s="40" t="s">
        <v>67</v>
      </c>
      <c r="X221" s="40" t="s">
        <v>67</v>
      </c>
      <c r="Y221" s="40" t="s">
        <v>67</v>
      </c>
      <c r="Z221" s="40" t="s">
        <v>67</v>
      </c>
      <c r="AA221" s="40" t="s">
        <v>67</v>
      </c>
      <c r="AB221" s="40" t="s">
        <v>67</v>
      </c>
      <c r="AC221" s="40" t="s">
        <v>67</v>
      </c>
      <c r="AD221" s="40" t="s">
        <v>67</v>
      </c>
      <c r="AE221" s="40" t="s">
        <v>67</v>
      </c>
      <c r="AF221" s="40" t="s">
        <v>67</v>
      </c>
      <c r="AG221" s="40" t="s">
        <v>67</v>
      </c>
      <c r="AH221" s="40" t="s">
        <v>67</v>
      </c>
      <c r="AI221" s="40" t="s">
        <v>67</v>
      </c>
      <c r="AJ221" s="40" t="s">
        <v>67</v>
      </c>
      <c r="AK221" s="40" t="s">
        <v>67</v>
      </c>
      <c r="AL221" s="40" t="s">
        <v>67</v>
      </c>
      <c r="AM221" s="40" t="s">
        <v>67</v>
      </c>
      <c r="AN221" s="40" t="s">
        <v>67</v>
      </c>
      <c r="AO221" s="40" t="s">
        <v>67</v>
      </c>
      <c r="AP221" s="40" t="s">
        <v>67</v>
      </c>
      <c r="AQ221" s="40" t="s">
        <v>67</v>
      </c>
    </row>
    <row r="222" ht="13.5" spans="1:43">
      <c r="A222" s="38"/>
      <c r="B222" s="39" t="s">
        <v>4476</v>
      </c>
      <c r="C222" s="40" t="s">
        <v>67</v>
      </c>
      <c r="D222" s="40" t="s">
        <v>67</v>
      </c>
      <c r="E222" s="40" t="s">
        <v>67</v>
      </c>
      <c r="F222" s="40" t="s">
        <v>67</v>
      </c>
      <c r="G222" s="40" t="s">
        <v>67</v>
      </c>
      <c r="H222" s="40" t="s">
        <v>67</v>
      </c>
      <c r="I222" s="40" t="s">
        <v>67</v>
      </c>
      <c r="J222" s="40" t="s">
        <v>67</v>
      </c>
      <c r="K222" s="40" t="s">
        <v>67</v>
      </c>
      <c r="L222" s="40" t="s">
        <v>67</v>
      </c>
      <c r="M222" s="40" t="s">
        <v>67</v>
      </c>
      <c r="N222" s="40" t="s">
        <v>67</v>
      </c>
      <c r="O222" s="40" t="s">
        <v>67</v>
      </c>
      <c r="P222" s="40" t="s">
        <v>67</v>
      </c>
      <c r="Q222" s="40" t="s">
        <v>67</v>
      </c>
      <c r="R222" s="40" t="s">
        <v>67</v>
      </c>
      <c r="S222" s="40" t="s">
        <v>67</v>
      </c>
      <c r="T222" s="40" t="s">
        <v>67</v>
      </c>
      <c r="U222" s="40" t="s">
        <v>67</v>
      </c>
      <c r="V222" s="40" t="s">
        <v>67</v>
      </c>
      <c r="W222" s="40" t="s">
        <v>67</v>
      </c>
      <c r="X222" s="40" t="s">
        <v>67</v>
      </c>
      <c r="Y222" s="40" t="s">
        <v>67</v>
      </c>
      <c r="Z222" s="40" t="s">
        <v>67</v>
      </c>
      <c r="AA222" s="40" t="s">
        <v>67</v>
      </c>
      <c r="AB222" s="40" t="s">
        <v>67</v>
      </c>
      <c r="AC222" s="40" t="s">
        <v>67</v>
      </c>
      <c r="AD222" s="40" t="s">
        <v>67</v>
      </c>
      <c r="AE222" s="40" t="s">
        <v>67</v>
      </c>
      <c r="AF222" s="40" t="s">
        <v>67</v>
      </c>
      <c r="AG222" s="40" t="s">
        <v>67</v>
      </c>
      <c r="AH222" s="40" t="s">
        <v>67</v>
      </c>
      <c r="AI222" s="40" t="s">
        <v>67</v>
      </c>
      <c r="AJ222" s="40" t="s">
        <v>67</v>
      </c>
      <c r="AK222" s="40" t="s">
        <v>67</v>
      </c>
      <c r="AL222" s="40" t="s">
        <v>67</v>
      </c>
      <c r="AM222" s="40" t="s">
        <v>67</v>
      </c>
      <c r="AN222" s="40" t="s">
        <v>67</v>
      </c>
      <c r="AO222" s="40" t="s">
        <v>67</v>
      </c>
      <c r="AP222" s="40" t="s">
        <v>67</v>
      </c>
      <c r="AQ222" s="40" t="s">
        <v>67</v>
      </c>
    </row>
    <row r="223" ht="13.5" spans="1:43">
      <c r="A223" s="38"/>
      <c r="B223" s="39" t="s">
        <v>4477</v>
      </c>
      <c r="C223" s="40" t="s">
        <v>67</v>
      </c>
      <c r="D223" s="40" t="s">
        <v>67</v>
      </c>
      <c r="E223" s="40" t="s">
        <v>67</v>
      </c>
      <c r="F223" s="40" t="s">
        <v>67</v>
      </c>
      <c r="G223" s="40" t="s">
        <v>67</v>
      </c>
      <c r="H223" s="40" t="s">
        <v>67</v>
      </c>
      <c r="I223" s="40" t="s">
        <v>67</v>
      </c>
      <c r="J223" s="40" t="s">
        <v>67</v>
      </c>
      <c r="K223" s="40" t="s">
        <v>67</v>
      </c>
      <c r="L223" s="40" t="s">
        <v>67</v>
      </c>
      <c r="M223" s="40" t="s">
        <v>67</v>
      </c>
      <c r="N223" s="40" t="s">
        <v>67</v>
      </c>
      <c r="O223" s="40" t="s">
        <v>67</v>
      </c>
      <c r="P223" s="40" t="s">
        <v>67</v>
      </c>
      <c r="Q223" s="40" t="s">
        <v>67</v>
      </c>
      <c r="R223" s="40" t="s">
        <v>67</v>
      </c>
      <c r="S223" s="40" t="s">
        <v>67</v>
      </c>
      <c r="T223" s="40" t="s">
        <v>67</v>
      </c>
      <c r="U223" s="40" t="s">
        <v>67</v>
      </c>
      <c r="V223" s="40" t="s">
        <v>67</v>
      </c>
      <c r="W223" s="40" t="s">
        <v>67</v>
      </c>
      <c r="X223" s="40" t="s">
        <v>67</v>
      </c>
      <c r="Y223" s="40" t="s">
        <v>67</v>
      </c>
      <c r="Z223" s="40" t="s">
        <v>67</v>
      </c>
      <c r="AA223" s="40" t="s">
        <v>67</v>
      </c>
      <c r="AB223" s="40" t="s">
        <v>67</v>
      </c>
      <c r="AC223" s="40" t="s">
        <v>67</v>
      </c>
      <c r="AD223" s="40" t="s">
        <v>67</v>
      </c>
      <c r="AE223" s="40" t="s">
        <v>67</v>
      </c>
      <c r="AF223" s="40" t="s">
        <v>67</v>
      </c>
      <c r="AG223" s="40" t="s">
        <v>67</v>
      </c>
      <c r="AH223" s="40" t="s">
        <v>67</v>
      </c>
      <c r="AI223" s="40" t="s">
        <v>67</v>
      </c>
      <c r="AJ223" s="40" t="s">
        <v>67</v>
      </c>
      <c r="AK223" s="40" t="s">
        <v>67</v>
      </c>
      <c r="AL223" s="40" t="s">
        <v>67</v>
      </c>
      <c r="AM223" s="40" t="s">
        <v>67</v>
      </c>
      <c r="AN223" s="40" t="s">
        <v>67</v>
      </c>
      <c r="AO223" s="40" t="s">
        <v>67</v>
      </c>
      <c r="AP223" s="40" t="s">
        <v>67</v>
      </c>
      <c r="AQ223" s="40" t="s">
        <v>67</v>
      </c>
    </row>
    <row r="224" ht="13.5" spans="1:43">
      <c r="A224" s="38"/>
      <c r="B224" s="39" t="s">
        <v>4478</v>
      </c>
      <c r="C224" s="40" t="s">
        <v>67</v>
      </c>
      <c r="D224" s="40" t="s">
        <v>67</v>
      </c>
      <c r="E224" s="40" t="s">
        <v>67</v>
      </c>
      <c r="F224" s="40" t="s">
        <v>67</v>
      </c>
      <c r="G224" s="40" t="s">
        <v>67</v>
      </c>
      <c r="H224" s="40" t="s">
        <v>67</v>
      </c>
      <c r="I224" s="40" t="s">
        <v>67</v>
      </c>
      <c r="J224" s="40" t="s">
        <v>67</v>
      </c>
      <c r="K224" s="40" t="s">
        <v>67</v>
      </c>
      <c r="L224" s="40" t="s">
        <v>67</v>
      </c>
      <c r="M224" s="40" t="s">
        <v>67</v>
      </c>
      <c r="N224" s="40" t="s">
        <v>67</v>
      </c>
      <c r="O224" s="40" t="s">
        <v>67</v>
      </c>
      <c r="P224" s="40" t="s">
        <v>67</v>
      </c>
      <c r="Q224" s="40" t="s">
        <v>67</v>
      </c>
      <c r="R224" s="40" t="s">
        <v>67</v>
      </c>
      <c r="S224" s="40" t="s">
        <v>67</v>
      </c>
      <c r="T224" s="40" t="s">
        <v>67</v>
      </c>
      <c r="U224" s="40" t="s">
        <v>67</v>
      </c>
      <c r="V224" s="40" t="s">
        <v>67</v>
      </c>
      <c r="W224" s="40" t="s">
        <v>67</v>
      </c>
      <c r="X224" s="40" t="s">
        <v>67</v>
      </c>
      <c r="Y224" s="40" t="s">
        <v>67</v>
      </c>
      <c r="Z224" s="40" t="s">
        <v>67</v>
      </c>
      <c r="AA224" s="40" t="s">
        <v>67</v>
      </c>
      <c r="AB224" s="40" t="s">
        <v>67</v>
      </c>
      <c r="AC224" s="40" t="s">
        <v>67</v>
      </c>
      <c r="AD224" s="40" t="s">
        <v>67</v>
      </c>
      <c r="AE224" s="40" t="s">
        <v>67</v>
      </c>
      <c r="AF224" s="40" t="s">
        <v>67</v>
      </c>
      <c r="AG224" s="40" t="s">
        <v>67</v>
      </c>
      <c r="AH224" s="40" t="s">
        <v>67</v>
      </c>
      <c r="AI224" s="40" t="s">
        <v>67</v>
      </c>
      <c r="AJ224" s="40" t="s">
        <v>67</v>
      </c>
      <c r="AK224" s="40" t="s">
        <v>67</v>
      </c>
      <c r="AL224" s="40" t="s">
        <v>67</v>
      </c>
      <c r="AM224" s="40" t="s">
        <v>67</v>
      </c>
      <c r="AN224" s="40" t="s">
        <v>67</v>
      </c>
      <c r="AO224" s="40" t="s">
        <v>67</v>
      </c>
      <c r="AP224" s="40" t="s">
        <v>67</v>
      </c>
      <c r="AQ224" s="40" t="s">
        <v>67</v>
      </c>
    </row>
    <row r="225" ht="13.5" spans="1:43">
      <c r="A225" s="38"/>
      <c r="B225" s="39" t="s">
        <v>4479</v>
      </c>
      <c r="C225" s="40" t="s">
        <v>67</v>
      </c>
      <c r="D225" s="40" t="s">
        <v>67</v>
      </c>
      <c r="E225" s="40" t="s">
        <v>67</v>
      </c>
      <c r="F225" s="40" t="s">
        <v>67</v>
      </c>
      <c r="G225" s="40" t="s">
        <v>67</v>
      </c>
      <c r="H225" s="40" t="s">
        <v>67</v>
      </c>
      <c r="I225" s="40" t="s">
        <v>67</v>
      </c>
      <c r="J225" s="40" t="s">
        <v>67</v>
      </c>
      <c r="K225" s="40" t="s">
        <v>67</v>
      </c>
      <c r="L225" s="40" t="s">
        <v>67</v>
      </c>
      <c r="M225" s="40" t="s">
        <v>67</v>
      </c>
      <c r="N225" s="40" t="s">
        <v>67</v>
      </c>
      <c r="O225" s="40" t="s">
        <v>67</v>
      </c>
      <c r="P225" s="40" t="s">
        <v>67</v>
      </c>
      <c r="Q225" s="40" t="s">
        <v>67</v>
      </c>
      <c r="R225" s="40" t="s">
        <v>67</v>
      </c>
      <c r="S225" s="40" t="s">
        <v>67</v>
      </c>
      <c r="T225" s="40" t="s">
        <v>67</v>
      </c>
      <c r="U225" s="40" t="s">
        <v>67</v>
      </c>
      <c r="V225" s="40" t="s">
        <v>67</v>
      </c>
      <c r="W225" s="40" t="s">
        <v>67</v>
      </c>
      <c r="X225" s="40" t="s">
        <v>67</v>
      </c>
      <c r="Y225" s="40" t="s">
        <v>67</v>
      </c>
      <c r="Z225" s="40" t="s">
        <v>67</v>
      </c>
      <c r="AA225" s="40" t="s">
        <v>67</v>
      </c>
      <c r="AB225" s="40" t="s">
        <v>67</v>
      </c>
      <c r="AC225" s="40" t="s">
        <v>67</v>
      </c>
      <c r="AD225" s="40" t="s">
        <v>67</v>
      </c>
      <c r="AE225" s="40" t="s">
        <v>67</v>
      </c>
      <c r="AF225" s="40" t="s">
        <v>67</v>
      </c>
      <c r="AG225" s="40" t="s">
        <v>67</v>
      </c>
      <c r="AH225" s="40" t="s">
        <v>67</v>
      </c>
      <c r="AI225" s="40" t="s">
        <v>67</v>
      </c>
      <c r="AJ225" s="40" t="s">
        <v>67</v>
      </c>
      <c r="AK225" s="40" t="s">
        <v>67</v>
      </c>
      <c r="AL225" s="40" t="s">
        <v>67</v>
      </c>
      <c r="AM225" s="40" t="s">
        <v>67</v>
      </c>
      <c r="AN225" s="40" t="s">
        <v>67</v>
      </c>
      <c r="AO225" s="40" t="s">
        <v>67</v>
      </c>
      <c r="AP225" s="40" t="s">
        <v>67</v>
      </c>
      <c r="AQ225" s="40" t="s">
        <v>67</v>
      </c>
    </row>
    <row r="226" ht="13.5" spans="1:43">
      <c r="A226" s="38"/>
      <c r="B226" s="39" t="s">
        <v>4480</v>
      </c>
      <c r="C226" s="40" t="s">
        <v>67</v>
      </c>
      <c r="D226" s="40" t="s">
        <v>67</v>
      </c>
      <c r="E226" s="40" t="s">
        <v>67</v>
      </c>
      <c r="F226" s="40" t="s">
        <v>67</v>
      </c>
      <c r="G226" s="40" t="s">
        <v>67</v>
      </c>
      <c r="H226" s="40" t="s">
        <v>67</v>
      </c>
      <c r="I226" s="40" t="s">
        <v>67</v>
      </c>
      <c r="J226" s="40" t="s">
        <v>67</v>
      </c>
      <c r="K226" s="40" t="s">
        <v>67</v>
      </c>
      <c r="L226" s="40" t="s">
        <v>67</v>
      </c>
      <c r="M226" s="40" t="s">
        <v>67</v>
      </c>
      <c r="N226" s="40" t="s">
        <v>67</v>
      </c>
      <c r="O226" s="40" t="s">
        <v>67</v>
      </c>
      <c r="P226" s="40" t="s">
        <v>67</v>
      </c>
      <c r="Q226" s="40" t="s">
        <v>67</v>
      </c>
      <c r="R226" s="40" t="s">
        <v>67</v>
      </c>
      <c r="S226" s="40" t="s">
        <v>67</v>
      </c>
      <c r="T226" s="40" t="s">
        <v>67</v>
      </c>
      <c r="U226" s="40" t="s">
        <v>67</v>
      </c>
      <c r="V226" s="40" t="s">
        <v>67</v>
      </c>
      <c r="W226" s="40" t="s">
        <v>67</v>
      </c>
      <c r="X226" s="40" t="s">
        <v>67</v>
      </c>
      <c r="Y226" s="40" t="s">
        <v>67</v>
      </c>
      <c r="Z226" s="40" t="s">
        <v>67</v>
      </c>
      <c r="AA226" s="40" t="s">
        <v>67</v>
      </c>
      <c r="AB226" s="40" t="s">
        <v>67</v>
      </c>
      <c r="AC226" s="40" t="s">
        <v>67</v>
      </c>
      <c r="AD226" s="40" t="s">
        <v>67</v>
      </c>
      <c r="AE226" s="40" t="s">
        <v>67</v>
      </c>
      <c r="AF226" s="40" t="s">
        <v>67</v>
      </c>
      <c r="AG226" s="40" t="s">
        <v>67</v>
      </c>
      <c r="AH226" s="40" t="s">
        <v>67</v>
      </c>
      <c r="AI226" s="40" t="s">
        <v>67</v>
      </c>
      <c r="AJ226" s="40" t="s">
        <v>67</v>
      </c>
      <c r="AK226" s="40" t="s">
        <v>67</v>
      </c>
      <c r="AL226" s="40" t="s">
        <v>67</v>
      </c>
      <c r="AM226" s="40" t="s">
        <v>67</v>
      </c>
      <c r="AN226" s="40" t="s">
        <v>67</v>
      </c>
      <c r="AO226" s="40" t="s">
        <v>67</v>
      </c>
      <c r="AP226" s="40" t="s">
        <v>67</v>
      </c>
      <c r="AQ226" s="40" t="s">
        <v>67</v>
      </c>
    </row>
    <row r="227" ht="13.5" spans="1:43">
      <c r="A227" s="38"/>
      <c r="B227" s="39" t="s">
        <v>4481</v>
      </c>
      <c r="C227" s="40" t="s">
        <v>67</v>
      </c>
      <c r="D227" s="40" t="s">
        <v>67</v>
      </c>
      <c r="E227" s="40" t="s">
        <v>67</v>
      </c>
      <c r="F227" s="40" t="s">
        <v>67</v>
      </c>
      <c r="G227" s="40" t="s">
        <v>67</v>
      </c>
      <c r="H227" s="40" t="s">
        <v>67</v>
      </c>
      <c r="I227" s="40" t="s">
        <v>67</v>
      </c>
      <c r="J227" s="40" t="s">
        <v>67</v>
      </c>
      <c r="K227" s="40" t="s">
        <v>67</v>
      </c>
      <c r="L227" s="40" t="s">
        <v>67</v>
      </c>
      <c r="M227" s="40" t="s">
        <v>67</v>
      </c>
      <c r="N227" s="40" t="s">
        <v>67</v>
      </c>
      <c r="O227" s="40" t="s">
        <v>67</v>
      </c>
      <c r="P227" s="40" t="s">
        <v>67</v>
      </c>
      <c r="Q227" s="40" t="s">
        <v>67</v>
      </c>
      <c r="R227" s="40" t="s">
        <v>67</v>
      </c>
      <c r="S227" s="40" t="s">
        <v>67</v>
      </c>
      <c r="T227" s="40" t="s">
        <v>67</v>
      </c>
      <c r="U227" s="40" t="s">
        <v>67</v>
      </c>
      <c r="V227" s="40" t="s">
        <v>67</v>
      </c>
      <c r="W227" s="40" t="s">
        <v>67</v>
      </c>
      <c r="X227" s="40" t="s">
        <v>67</v>
      </c>
      <c r="Y227" s="40" t="s">
        <v>67</v>
      </c>
      <c r="Z227" s="40" t="s">
        <v>67</v>
      </c>
      <c r="AA227" s="40" t="s">
        <v>67</v>
      </c>
      <c r="AB227" s="40" t="s">
        <v>67</v>
      </c>
      <c r="AC227" s="40" t="s">
        <v>67</v>
      </c>
      <c r="AD227" s="40" t="s">
        <v>67</v>
      </c>
      <c r="AE227" s="40" t="s">
        <v>67</v>
      </c>
      <c r="AF227" s="40" t="s">
        <v>67</v>
      </c>
      <c r="AG227" s="40" t="s">
        <v>67</v>
      </c>
      <c r="AH227" s="40" t="s">
        <v>67</v>
      </c>
      <c r="AI227" s="40" t="s">
        <v>67</v>
      </c>
      <c r="AJ227" s="40" t="s">
        <v>67</v>
      </c>
      <c r="AK227" s="40" t="s">
        <v>67</v>
      </c>
      <c r="AL227" s="40" t="s">
        <v>67</v>
      </c>
      <c r="AM227" s="40" t="s">
        <v>67</v>
      </c>
      <c r="AN227" s="40" t="s">
        <v>67</v>
      </c>
      <c r="AO227" s="40" t="s">
        <v>67</v>
      </c>
      <c r="AP227" s="40" t="s">
        <v>67</v>
      </c>
      <c r="AQ227" s="40" t="s">
        <v>67</v>
      </c>
    </row>
    <row r="228" ht="13.5" spans="1:43">
      <c r="A228" s="38"/>
      <c r="B228" s="39" t="s">
        <v>4482</v>
      </c>
      <c r="C228" s="40" t="s">
        <v>67</v>
      </c>
      <c r="D228" s="40" t="s">
        <v>67</v>
      </c>
      <c r="E228" s="40" t="s">
        <v>67</v>
      </c>
      <c r="F228" s="40" t="s">
        <v>67</v>
      </c>
      <c r="G228" s="40" t="s">
        <v>67</v>
      </c>
      <c r="H228" s="40" t="s">
        <v>67</v>
      </c>
      <c r="I228" s="40" t="s">
        <v>67</v>
      </c>
      <c r="J228" s="40" t="s">
        <v>67</v>
      </c>
      <c r="K228" s="40" t="s">
        <v>67</v>
      </c>
      <c r="L228" s="40" t="s">
        <v>67</v>
      </c>
      <c r="M228" s="40" t="s">
        <v>67</v>
      </c>
      <c r="N228" s="40" t="s">
        <v>67</v>
      </c>
      <c r="O228" s="40" t="s">
        <v>67</v>
      </c>
      <c r="P228" s="40" t="s">
        <v>67</v>
      </c>
      <c r="Q228" s="40" t="s">
        <v>67</v>
      </c>
      <c r="R228" s="40" t="s">
        <v>67</v>
      </c>
      <c r="S228" s="40" t="s">
        <v>67</v>
      </c>
      <c r="T228" s="40" t="s">
        <v>67</v>
      </c>
      <c r="U228" s="40" t="s">
        <v>67</v>
      </c>
      <c r="V228" s="40" t="s">
        <v>67</v>
      </c>
      <c r="W228" s="40" t="s">
        <v>67</v>
      </c>
      <c r="X228" s="40" t="s">
        <v>67</v>
      </c>
      <c r="Y228" s="40" t="s">
        <v>67</v>
      </c>
      <c r="Z228" s="40" t="s">
        <v>67</v>
      </c>
      <c r="AA228" s="40" t="s">
        <v>67</v>
      </c>
      <c r="AB228" s="40" t="s">
        <v>67</v>
      </c>
      <c r="AC228" s="40" t="s">
        <v>67</v>
      </c>
      <c r="AD228" s="40" t="s">
        <v>67</v>
      </c>
      <c r="AE228" s="40" t="s">
        <v>67</v>
      </c>
      <c r="AF228" s="40" t="s">
        <v>67</v>
      </c>
      <c r="AG228" s="40" t="s">
        <v>67</v>
      </c>
      <c r="AH228" s="40" t="s">
        <v>67</v>
      </c>
      <c r="AI228" s="40" t="s">
        <v>67</v>
      </c>
      <c r="AJ228" s="40" t="s">
        <v>67</v>
      </c>
      <c r="AK228" s="40" t="s">
        <v>67</v>
      </c>
      <c r="AL228" s="40" t="s">
        <v>67</v>
      </c>
      <c r="AM228" s="40" t="s">
        <v>67</v>
      </c>
      <c r="AN228" s="40" t="s">
        <v>67</v>
      </c>
      <c r="AO228" s="40" t="s">
        <v>67</v>
      </c>
      <c r="AP228" s="40" t="s">
        <v>67</v>
      </c>
      <c r="AQ228" s="40" t="s">
        <v>67</v>
      </c>
    </row>
    <row r="229" ht="13.5" spans="1:43">
      <c r="A229" s="38"/>
      <c r="B229" s="39" t="s">
        <v>4483</v>
      </c>
      <c r="C229" s="40" t="s">
        <v>67</v>
      </c>
      <c r="D229" s="40" t="s">
        <v>67</v>
      </c>
      <c r="E229" s="40" t="s">
        <v>67</v>
      </c>
      <c r="F229" s="40" t="s">
        <v>67</v>
      </c>
      <c r="G229" s="40" t="s">
        <v>67</v>
      </c>
      <c r="H229" s="40" t="s">
        <v>67</v>
      </c>
      <c r="I229" s="40" t="s">
        <v>67</v>
      </c>
      <c r="J229" s="40" t="s">
        <v>67</v>
      </c>
      <c r="K229" s="40" t="s">
        <v>67</v>
      </c>
      <c r="L229" s="40" t="s">
        <v>67</v>
      </c>
      <c r="M229" s="40" t="s">
        <v>67</v>
      </c>
      <c r="N229" s="40" t="s">
        <v>67</v>
      </c>
      <c r="O229" s="40" t="s">
        <v>67</v>
      </c>
      <c r="P229" s="40" t="s">
        <v>67</v>
      </c>
      <c r="Q229" s="40" t="s">
        <v>67</v>
      </c>
      <c r="R229" s="40" t="s">
        <v>67</v>
      </c>
      <c r="S229" s="40" t="s">
        <v>67</v>
      </c>
      <c r="T229" s="40" t="s">
        <v>67</v>
      </c>
      <c r="U229" s="40" t="s">
        <v>67</v>
      </c>
      <c r="V229" s="40" t="s">
        <v>67</v>
      </c>
      <c r="W229" s="40" t="s">
        <v>67</v>
      </c>
      <c r="X229" s="40" t="s">
        <v>67</v>
      </c>
      <c r="Y229" s="40" t="s">
        <v>67</v>
      </c>
      <c r="Z229" s="40" t="s">
        <v>67</v>
      </c>
      <c r="AA229" s="40" t="s">
        <v>67</v>
      </c>
      <c r="AB229" s="40" t="s">
        <v>67</v>
      </c>
      <c r="AC229" s="40" t="s">
        <v>67</v>
      </c>
      <c r="AD229" s="40" t="s">
        <v>67</v>
      </c>
      <c r="AE229" s="40" t="s">
        <v>67</v>
      </c>
      <c r="AF229" s="40" t="s">
        <v>67</v>
      </c>
      <c r="AG229" s="40" t="s">
        <v>67</v>
      </c>
      <c r="AH229" s="40" t="s">
        <v>67</v>
      </c>
      <c r="AI229" s="40" t="s">
        <v>67</v>
      </c>
      <c r="AJ229" s="40" t="s">
        <v>67</v>
      </c>
      <c r="AK229" s="40" t="s">
        <v>67</v>
      </c>
      <c r="AL229" s="40" t="s">
        <v>67</v>
      </c>
      <c r="AM229" s="40" t="s">
        <v>67</v>
      </c>
      <c r="AN229" s="40" t="s">
        <v>67</v>
      </c>
      <c r="AO229" s="40" t="s">
        <v>67</v>
      </c>
      <c r="AP229" s="40" t="s">
        <v>67</v>
      </c>
      <c r="AQ229" s="40" t="s">
        <v>67</v>
      </c>
    </row>
    <row r="230" ht="13.5" spans="1:43">
      <c r="A230" s="38"/>
      <c r="B230" s="39" t="s">
        <v>4484</v>
      </c>
      <c r="C230" s="40" t="s">
        <v>67</v>
      </c>
      <c r="D230" s="40" t="s">
        <v>67</v>
      </c>
      <c r="E230" s="40" t="s">
        <v>67</v>
      </c>
      <c r="F230" s="40" t="s">
        <v>67</v>
      </c>
      <c r="G230" s="40" t="s">
        <v>67</v>
      </c>
      <c r="H230" s="40" t="s">
        <v>67</v>
      </c>
      <c r="I230" s="40" t="s">
        <v>67</v>
      </c>
      <c r="J230" s="40" t="s">
        <v>67</v>
      </c>
      <c r="K230" s="40" t="s">
        <v>67</v>
      </c>
      <c r="L230" s="40" t="s">
        <v>67</v>
      </c>
      <c r="M230" s="40" t="s">
        <v>67</v>
      </c>
      <c r="N230" s="40" t="s">
        <v>67</v>
      </c>
      <c r="O230" s="40" t="s">
        <v>67</v>
      </c>
      <c r="P230" s="40" t="s">
        <v>67</v>
      </c>
      <c r="Q230" s="40" t="s">
        <v>67</v>
      </c>
      <c r="R230" s="40" t="s">
        <v>67</v>
      </c>
      <c r="S230" s="40" t="s">
        <v>67</v>
      </c>
      <c r="T230" s="40" t="s">
        <v>67</v>
      </c>
      <c r="U230" s="40" t="s">
        <v>67</v>
      </c>
      <c r="V230" s="40" t="s">
        <v>67</v>
      </c>
      <c r="W230" s="40" t="s">
        <v>67</v>
      </c>
      <c r="X230" s="40" t="s">
        <v>67</v>
      </c>
      <c r="Y230" s="40" t="s">
        <v>67</v>
      </c>
      <c r="Z230" s="40" t="s">
        <v>67</v>
      </c>
      <c r="AA230" s="40" t="s">
        <v>67</v>
      </c>
      <c r="AB230" s="40" t="s">
        <v>67</v>
      </c>
      <c r="AC230" s="40" t="s">
        <v>67</v>
      </c>
      <c r="AD230" s="40" t="s">
        <v>67</v>
      </c>
      <c r="AE230" s="40" t="s">
        <v>67</v>
      </c>
      <c r="AF230" s="40" t="s">
        <v>67</v>
      </c>
      <c r="AG230" s="40" t="s">
        <v>67</v>
      </c>
      <c r="AH230" s="40" t="s">
        <v>67</v>
      </c>
      <c r="AI230" s="40" t="s">
        <v>67</v>
      </c>
      <c r="AJ230" s="40" t="s">
        <v>67</v>
      </c>
      <c r="AK230" s="40" t="s">
        <v>67</v>
      </c>
      <c r="AL230" s="40" t="s">
        <v>67</v>
      </c>
      <c r="AM230" s="40" t="s">
        <v>67</v>
      </c>
      <c r="AN230" s="40" t="s">
        <v>67</v>
      </c>
      <c r="AO230" s="40" t="s">
        <v>67</v>
      </c>
      <c r="AP230" s="40" t="s">
        <v>67</v>
      </c>
      <c r="AQ230" s="40" t="s">
        <v>67</v>
      </c>
    </row>
    <row r="231" ht="13.5" spans="1:43">
      <c r="A231" s="38"/>
      <c r="B231" s="39" t="s">
        <v>4485</v>
      </c>
      <c r="C231" s="40" t="s">
        <v>67</v>
      </c>
      <c r="D231" s="40" t="s">
        <v>67</v>
      </c>
      <c r="E231" s="40" t="s">
        <v>67</v>
      </c>
      <c r="F231" s="40" t="s">
        <v>67</v>
      </c>
      <c r="G231" s="40" t="s">
        <v>67</v>
      </c>
      <c r="H231" s="40" t="s">
        <v>67</v>
      </c>
      <c r="I231" s="40" t="s">
        <v>67</v>
      </c>
      <c r="J231" s="40" t="s">
        <v>67</v>
      </c>
      <c r="K231" s="40" t="s">
        <v>67</v>
      </c>
      <c r="L231" s="40" t="s">
        <v>67</v>
      </c>
      <c r="M231" s="40" t="s">
        <v>67</v>
      </c>
      <c r="N231" s="40" t="s">
        <v>67</v>
      </c>
      <c r="O231" s="40" t="s">
        <v>67</v>
      </c>
      <c r="P231" s="40" t="s">
        <v>67</v>
      </c>
      <c r="Q231" s="40" t="s">
        <v>67</v>
      </c>
      <c r="R231" s="40" t="s">
        <v>67</v>
      </c>
      <c r="S231" s="40" t="s">
        <v>67</v>
      </c>
      <c r="T231" s="40" t="s">
        <v>67</v>
      </c>
      <c r="U231" s="40" t="s">
        <v>67</v>
      </c>
      <c r="V231" s="40" t="s">
        <v>67</v>
      </c>
      <c r="W231" s="40" t="s">
        <v>67</v>
      </c>
      <c r="X231" s="40" t="s">
        <v>67</v>
      </c>
      <c r="Y231" s="40" t="s">
        <v>67</v>
      </c>
      <c r="Z231" s="40" t="s">
        <v>67</v>
      </c>
      <c r="AA231" s="40" t="s">
        <v>67</v>
      </c>
      <c r="AB231" s="40" t="s">
        <v>67</v>
      </c>
      <c r="AC231" s="40" t="s">
        <v>67</v>
      </c>
      <c r="AD231" s="40" t="s">
        <v>67</v>
      </c>
      <c r="AE231" s="40" t="s">
        <v>67</v>
      </c>
      <c r="AF231" s="40" t="s">
        <v>67</v>
      </c>
      <c r="AG231" s="40" t="s">
        <v>67</v>
      </c>
      <c r="AH231" s="40" t="s">
        <v>67</v>
      </c>
      <c r="AI231" s="40" t="s">
        <v>67</v>
      </c>
      <c r="AJ231" s="40" t="s">
        <v>67</v>
      </c>
      <c r="AK231" s="40" t="s">
        <v>67</v>
      </c>
      <c r="AL231" s="40" t="s">
        <v>67</v>
      </c>
      <c r="AM231" s="40" t="s">
        <v>67</v>
      </c>
      <c r="AN231" s="40" t="s">
        <v>67</v>
      </c>
      <c r="AO231" s="40" t="s">
        <v>67</v>
      </c>
      <c r="AP231" s="40" t="s">
        <v>67</v>
      </c>
      <c r="AQ231" s="40" t="s">
        <v>67</v>
      </c>
    </row>
    <row r="232" ht="13.5" spans="1:43">
      <c r="A232" s="38"/>
      <c r="B232" s="39" t="s">
        <v>4486</v>
      </c>
      <c r="C232" s="40" t="s">
        <v>67</v>
      </c>
      <c r="D232" s="40" t="s">
        <v>67</v>
      </c>
      <c r="E232" s="40" t="s">
        <v>67</v>
      </c>
      <c r="F232" s="40" t="s">
        <v>67</v>
      </c>
      <c r="G232" s="40" t="s">
        <v>67</v>
      </c>
      <c r="H232" s="40" t="s">
        <v>67</v>
      </c>
      <c r="I232" s="40" t="s">
        <v>67</v>
      </c>
      <c r="J232" s="40" t="s">
        <v>67</v>
      </c>
      <c r="K232" s="40" t="s">
        <v>67</v>
      </c>
      <c r="L232" s="40" t="s">
        <v>67</v>
      </c>
      <c r="M232" s="40" t="s">
        <v>67</v>
      </c>
      <c r="N232" s="40" t="s">
        <v>67</v>
      </c>
      <c r="O232" s="40" t="s">
        <v>67</v>
      </c>
      <c r="P232" s="40" t="s">
        <v>67</v>
      </c>
      <c r="Q232" s="40" t="s">
        <v>67</v>
      </c>
      <c r="R232" s="40" t="s">
        <v>67</v>
      </c>
      <c r="S232" s="40" t="s">
        <v>67</v>
      </c>
      <c r="T232" s="40" t="s">
        <v>67</v>
      </c>
      <c r="U232" s="40" t="s">
        <v>67</v>
      </c>
      <c r="V232" s="40" t="s">
        <v>67</v>
      </c>
      <c r="W232" s="40" t="s">
        <v>67</v>
      </c>
      <c r="X232" s="40" t="s">
        <v>67</v>
      </c>
      <c r="Y232" s="40" t="s">
        <v>67</v>
      </c>
      <c r="Z232" s="40" t="s">
        <v>67</v>
      </c>
      <c r="AA232" s="40" t="s">
        <v>67</v>
      </c>
      <c r="AB232" s="40" t="s">
        <v>67</v>
      </c>
      <c r="AC232" s="40" t="s">
        <v>67</v>
      </c>
      <c r="AD232" s="40" t="s">
        <v>67</v>
      </c>
      <c r="AE232" s="40" t="s">
        <v>67</v>
      </c>
      <c r="AF232" s="40" t="s">
        <v>67</v>
      </c>
      <c r="AG232" s="40" t="s">
        <v>67</v>
      </c>
      <c r="AH232" s="40" t="s">
        <v>67</v>
      </c>
      <c r="AI232" s="40" t="s">
        <v>67</v>
      </c>
      <c r="AJ232" s="40" t="s">
        <v>67</v>
      </c>
      <c r="AK232" s="40" t="s">
        <v>67</v>
      </c>
      <c r="AL232" s="40" t="s">
        <v>67</v>
      </c>
      <c r="AM232" s="40" t="s">
        <v>67</v>
      </c>
      <c r="AN232" s="40" t="s">
        <v>67</v>
      </c>
      <c r="AO232" s="40" t="s">
        <v>67</v>
      </c>
      <c r="AP232" s="40" t="s">
        <v>67</v>
      </c>
      <c r="AQ232" s="40" t="s">
        <v>67</v>
      </c>
    </row>
    <row r="233" ht="13.5" spans="1:43">
      <c r="A233" s="38"/>
      <c r="B233" s="39" t="s">
        <v>4487</v>
      </c>
      <c r="C233" s="40" t="s">
        <v>67</v>
      </c>
      <c r="D233" s="40" t="s">
        <v>67</v>
      </c>
      <c r="E233" s="40" t="s">
        <v>67</v>
      </c>
      <c r="F233" s="40" t="s">
        <v>67</v>
      </c>
      <c r="G233" s="40" t="s">
        <v>67</v>
      </c>
      <c r="H233" s="40" t="s">
        <v>67</v>
      </c>
      <c r="I233" s="40" t="s">
        <v>67</v>
      </c>
      <c r="J233" s="40" t="s">
        <v>67</v>
      </c>
      <c r="K233" s="40" t="s">
        <v>67</v>
      </c>
      <c r="L233" s="40" t="s">
        <v>67</v>
      </c>
      <c r="M233" s="40" t="s">
        <v>67</v>
      </c>
      <c r="N233" s="40" t="s">
        <v>67</v>
      </c>
      <c r="O233" s="40" t="s">
        <v>67</v>
      </c>
      <c r="P233" s="40" t="s">
        <v>67</v>
      </c>
      <c r="Q233" s="40" t="s">
        <v>67</v>
      </c>
      <c r="R233" s="40" t="s">
        <v>67</v>
      </c>
      <c r="S233" s="40" t="s">
        <v>67</v>
      </c>
      <c r="T233" s="40" t="s">
        <v>67</v>
      </c>
      <c r="U233" s="40" t="s">
        <v>67</v>
      </c>
      <c r="V233" s="40" t="s">
        <v>67</v>
      </c>
      <c r="W233" s="40" t="s">
        <v>67</v>
      </c>
      <c r="X233" s="40" t="s">
        <v>67</v>
      </c>
      <c r="Y233" s="40" t="s">
        <v>67</v>
      </c>
      <c r="Z233" s="40" t="s">
        <v>67</v>
      </c>
      <c r="AA233" s="40" t="s">
        <v>67</v>
      </c>
      <c r="AB233" s="40" t="s">
        <v>67</v>
      </c>
      <c r="AC233" s="40" t="s">
        <v>67</v>
      </c>
      <c r="AD233" s="40" t="s">
        <v>67</v>
      </c>
      <c r="AE233" s="40" t="s">
        <v>67</v>
      </c>
      <c r="AF233" s="40" t="s">
        <v>67</v>
      </c>
      <c r="AG233" s="40" t="s">
        <v>67</v>
      </c>
      <c r="AH233" s="40" t="s">
        <v>67</v>
      </c>
      <c r="AI233" s="40" t="s">
        <v>67</v>
      </c>
      <c r="AJ233" s="40" t="s">
        <v>67</v>
      </c>
      <c r="AK233" s="40" t="s">
        <v>67</v>
      </c>
      <c r="AL233" s="40" t="s">
        <v>67</v>
      </c>
      <c r="AM233" s="40" t="s">
        <v>67</v>
      </c>
      <c r="AN233" s="40" t="s">
        <v>67</v>
      </c>
      <c r="AO233" s="40" t="s">
        <v>67</v>
      </c>
      <c r="AP233" s="40" t="s">
        <v>67</v>
      </c>
      <c r="AQ233" s="40" t="s">
        <v>67</v>
      </c>
    </row>
    <row r="234" ht="13.5" spans="1:43">
      <c r="A234" s="38"/>
      <c r="B234" s="39" t="s">
        <v>4488</v>
      </c>
      <c r="C234" s="40" t="s">
        <v>4489</v>
      </c>
      <c r="D234" s="40" t="s">
        <v>2414</v>
      </c>
      <c r="E234" s="40" t="s">
        <v>2429</v>
      </c>
      <c r="F234" s="40" t="s">
        <v>4490</v>
      </c>
      <c r="G234" s="40" t="s">
        <v>4491</v>
      </c>
      <c r="H234" s="40" t="s">
        <v>2429</v>
      </c>
      <c r="I234" s="40" t="s">
        <v>4492</v>
      </c>
      <c r="J234" s="40" t="s">
        <v>4493</v>
      </c>
      <c r="K234" s="40" t="s">
        <v>4494</v>
      </c>
      <c r="L234" s="40" t="s">
        <v>2427</v>
      </c>
      <c r="M234" s="40" t="s">
        <v>4495</v>
      </c>
      <c r="N234" s="40" t="s">
        <v>4496</v>
      </c>
      <c r="O234" s="40" t="s">
        <v>4497</v>
      </c>
      <c r="P234" s="40" t="s">
        <v>2427</v>
      </c>
      <c r="Q234" s="40" t="s">
        <v>4498</v>
      </c>
      <c r="R234" s="40" t="s">
        <v>4499</v>
      </c>
      <c r="S234" s="40" t="s">
        <v>4500</v>
      </c>
      <c r="T234" s="40" t="s">
        <v>4329</v>
      </c>
      <c r="U234" s="40" t="s">
        <v>4501</v>
      </c>
      <c r="V234" s="40" t="s">
        <v>4502</v>
      </c>
      <c r="W234" s="40" t="s">
        <v>4279</v>
      </c>
      <c r="X234" s="40" t="s">
        <v>4503</v>
      </c>
      <c r="Y234" s="40" t="s">
        <v>4504</v>
      </c>
      <c r="Z234" s="40" t="s">
        <v>3652</v>
      </c>
      <c r="AA234" s="40" t="s">
        <v>4277</v>
      </c>
      <c r="AB234" s="40" t="s">
        <v>4505</v>
      </c>
      <c r="AC234" s="40" t="s">
        <v>4506</v>
      </c>
      <c r="AD234" s="40" t="s">
        <v>4507</v>
      </c>
      <c r="AE234" s="40" t="s">
        <v>3786</v>
      </c>
      <c r="AF234" s="40" t="s">
        <v>4508</v>
      </c>
      <c r="AG234" s="40" t="s">
        <v>4509</v>
      </c>
      <c r="AH234" s="40" t="s">
        <v>4510</v>
      </c>
      <c r="AI234" s="40" t="s">
        <v>4511</v>
      </c>
      <c r="AJ234" s="40" t="s">
        <v>4512</v>
      </c>
      <c r="AK234" s="40" t="s">
        <v>4513</v>
      </c>
      <c r="AL234" s="40" t="s">
        <v>4514</v>
      </c>
      <c r="AM234" s="40" t="s">
        <v>4515</v>
      </c>
      <c r="AN234" s="40" t="s">
        <v>4516</v>
      </c>
      <c r="AO234" s="40" t="s">
        <v>4517</v>
      </c>
      <c r="AP234" s="40" t="s">
        <v>4518</v>
      </c>
      <c r="AQ234" s="40" t="s">
        <v>4519</v>
      </c>
    </row>
    <row r="235" ht="13.5" spans="1:43">
      <c r="A235" s="38"/>
      <c r="B235" s="39" t="s">
        <v>4520</v>
      </c>
      <c r="C235" s="40" t="s">
        <v>67</v>
      </c>
      <c r="D235" s="40" t="s">
        <v>67</v>
      </c>
      <c r="E235" s="40" t="s">
        <v>67</v>
      </c>
      <c r="F235" s="40" t="s">
        <v>67</v>
      </c>
      <c r="G235" s="40" t="s">
        <v>67</v>
      </c>
      <c r="H235" s="40" t="s">
        <v>67</v>
      </c>
      <c r="I235" s="40" t="s">
        <v>67</v>
      </c>
      <c r="J235" s="40" t="s">
        <v>67</v>
      </c>
      <c r="K235" s="40" t="s">
        <v>67</v>
      </c>
      <c r="L235" s="40" t="s">
        <v>67</v>
      </c>
      <c r="M235" s="40" t="s">
        <v>67</v>
      </c>
      <c r="N235" s="40" t="s">
        <v>67</v>
      </c>
      <c r="O235" s="40" t="s">
        <v>67</v>
      </c>
      <c r="P235" s="40" t="s">
        <v>67</v>
      </c>
      <c r="Q235" s="40" t="s">
        <v>67</v>
      </c>
      <c r="R235" s="40" t="s">
        <v>67</v>
      </c>
      <c r="S235" s="40" t="s">
        <v>67</v>
      </c>
      <c r="T235" s="40" t="s">
        <v>67</v>
      </c>
      <c r="U235" s="40" t="s">
        <v>67</v>
      </c>
      <c r="V235" s="40" t="s">
        <v>67</v>
      </c>
      <c r="W235" s="40" t="s">
        <v>67</v>
      </c>
      <c r="X235" s="40" t="s">
        <v>67</v>
      </c>
      <c r="Y235" s="40" t="s">
        <v>67</v>
      </c>
      <c r="Z235" s="40" t="s">
        <v>67</v>
      </c>
      <c r="AA235" s="40" t="s">
        <v>67</v>
      </c>
      <c r="AB235" s="40" t="s">
        <v>67</v>
      </c>
      <c r="AC235" s="40" t="s">
        <v>67</v>
      </c>
      <c r="AD235" s="40" t="s">
        <v>67</v>
      </c>
      <c r="AE235" s="40" t="s">
        <v>67</v>
      </c>
      <c r="AF235" s="40" t="s">
        <v>67</v>
      </c>
      <c r="AG235" s="40" t="s">
        <v>67</v>
      </c>
      <c r="AH235" s="40" t="s">
        <v>67</v>
      </c>
      <c r="AI235" s="40" t="s">
        <v>67</v>
      </c>
      <c r="AJ235" s="40" t="s">
        <v>67</v>
      </c>
      <c r="AK235" s="40" t="s">
        <v>67</v>
      </c>
      <c r="AL235" s="40" t="s">
        <v>67</v>
      </c>
      <c r="AM235" s="40" t="s">
        <v>67</v>
      </c>
      <c r="AN235" s="40" t="s">
        <v>67</v>
      </c>
      <c r="AO235" s="40" t="s">
        <v>67</v>
      </c>
      <c r="AP235" s="40" t="s">
        <v>67</v>
      </c>
      <c r="AQ235" s="40" t="s">
        <v>67</v>
      </c>
    </row>
    <row r="236" ht="13.5" spans="1:43">
      <c r="A236" s="38"/>
      <c r="B236" s="39" t="s">
        <v>4521</v>
      </c>
      <c r="C236" s="40" t="s">
        <v>67</v>
      </c>
      <c r="D236" s="40" t="s">
        <v>67</v>
      </c>
      <c r="E236" s="40" t="s">
        <v>67</v>
      </c>
      <c r="F236" s="40" t="s">
        <v>67</v>
      </c>
      <c r="G236" s="40" t="s">
        <v>67</v>
      </c>
      <c r="H236" s="40" t="s">
        <v>67</v>
      </c>
      <c r="I236" s="40" t="s">
        <v>67</v>
      </c>
      <c r="J236" s="40" t="s">
        <v>67</v>
      </c>
      <c r="K236" s="40" t="s">
        <v>67</v>
      </c>
      <c r="L236" s="40" t="s">
        <v>67</v>
      </c>
      <c r="M236" s="40" t="s">
        <v>67</v>
      </c>
      <c r="N236" s="40" t="s">
        <v>67</v>
      </c>
      <c r="O236" s="40" t="s">
        <v>67</v>
      </c>
      <c r="P236" s="40" t="s">
        <v>67</v>
      </c>
      <c r="Q236" s="40" t="s">
        <v>67</v>
      </c>
      <c r="R236" s="40" t="s">
        <v>67</v>
      </c>
      <c r="S236" s="40" t="s">
        <v>67</v>
      </c>
      <c r="T236" s="40" t="s">
        <v>67</v>
      </c>
      <c r="U236" s="40" t="s">
        <v>67</v>
      </c>
      <c r="V236" s="40" t="s">
        <v>67</v>
      </c>
      <c r="W236" s="40" t="s">
        <v>67</v>
      </c>
      <c r="X236" s="40" t="s">
        <v>67</v>
      </c>
      <c r="Y236" s="40" t="s">
        <v>67</v>
      </c>
      <c r="Z236" s="40" t="s">
        <v>67</v>
      </c>
      <c r="AA236" s="40" t="s">
        <v>67</v>
      </c>
      <c r="AB236" s="40" t="s">
        <v>67</v>
      </c>
      <c r="AC236" s="40" t="s">
        <v>67</v>
      </c>
      <c r="AD236" s="40" t="s">
        <v>67</v>
      </c>
      <c r="AE236" s="40" t="s">
        <v>67</v>
      </c>
      <c r="AF236" s="40" t="s">
        <v>67</v>
      </c>
      <c r="AG236" s="40" t="s">
        <v>67</v>
      </c>
      <c r="AH236" s="40" t="s">
        <v>67</v>
      </c>
      <c r="AI236" s="40" t="s">
        <v>67</v>
      </c>
      <c r="AJ236" s="40" t="s">
        <v>67</v>
      </c>
      <c r="AK236" s="40" t="s">
        <v>67</v>
      </c>
      <c r="AL236" s="40" t="s">
        <v>67</v>
      </c>
      <c r="AM236" s="40" t="s">
        <v>67</v>
      </c>
      <c r="AN236" s="40" t="s">
        <v>67</v>
      </c>
      <c r="AO236" s="40" t="s">
        <v>67</v>
      </c>
      <c r="AP236" s="40" t="s">
        <v>67</v>
      </c>
      <c r="AQ236" s="40" t="s">
        <v>67</v>
      </c>
    </row>
    <row r="237" ht="13.5" spans="1:43">
      <c r="A237" s="38"/>
      <c r="B237" s="39" t="s">
        <v>4522</v>
      </c>
      <c r="C237" s="40" t="s">
        <v>67</v>
      </c>
      <c r="D237" s="40" t="s">
        <v>67</v>
      </c>
      <c r="E237" s="40" t="s">
        <v>67</v>
      </c>
      <c r="F237" s="40" t="s">
        <v>67</v>
      </c>
      <c r="G237" s="40" t="s">
        <v>67</v>
      </c>
      <c r="H237" s="40" t="s">
        <v>67</v>
      </c>
      <c r="I237" s="40" t="s">
        <v>67</v>
      </c>
      <c r="J237" s="40" t="s">
        <v>67</v>
      </c>
      <c r="K237" s="40" t="s">
        <v>67</v>
      </c>
      <c r="L237" s="40" t="s">
        <v>67</v>
      </c>
      <c r="M237" s="40" t="s">
        <v>67</v>
      </c>
      <c r="N237" s="40" t="s">
        <v>67</v>
      </c>
      <c r="O237" s="40" t="s">
        <v>67</v>
      </c>
      <c r="P237" s="40" t="s">
        <v>67</v>
      </c>
      <c r="Q237" s="40" t="s">
        <v>67</v>
      </c>
      <c r="R237" s="40" t="s">
        <v>67</v>
      </c>
      <c r="S237" s="40" t="s">
        <v>67</v>
      </c>
      <c r="T237" s="40" t="s">
        <v>67</v>
      </c>
      <c r="U237" s="40" t="s">
        <v>67</v>
      </c>
      <c r="V237" s="40" t="s">
        <v>67</v>
      </c>
      <c r="W237" s="40" t="s">
        <v>67</v>
      </c>
      <c r="X237" s="40" t="s">
        <v>67</v>
      </c>
      <c r="Y237" s="40" t="s">
        <v>67</v>
      </c>
      <c r="Z237" s="40" t="s">
        <v>67</v>
      </c>
      <c r="AA237" s="40" t="s">
        <v>67</v>
      </c>
      <c r="AB237" s="40" t="s">
        <v>67</v>
      </c>
      <c r="AC237" s="40" t="s">
        <v>67</v>
      </c>
      <c r="AD237" s="40" t="s">
        <v>67</v>
      </c>
      <c r="AE237" s="40" t="s">
        <v>67</v>
      </c>
      <c r="AF237" s="40" t="s">
        <v>67</v>
      </c>
      <c r="AG237" s="40" t="s">
        <v>67</v>
      </c>
      <c r="AH237" s="40" t="s">
        <v>67</v>
      </c>
      <c r="AI237" s="40" t="s">
        <v>67</v>
      </c>
      <c r="AJ237" s="40" t="s">
        <v>67</v>
      </c>
      <c r="AK237" s="40" t="s">
        <v>67</v>
      </c>
      <c r="AL237" s="40" t="s">
        <v>67</v>
      </c>
      <c r="AM237" s="40" t="s">
        <v>67</v>
      </c>
      <c r="AN237" s="40" t="s">
        <v>67</v>
      </c>
      <c r="AO237" s="40" t="s">
        <v>67</v>
      </c>
      <c r="AP237" s="40" t="s">
        <v>67</v>
      </c>
      <c r="AQ237" s="40" t="s">
        <v>67</v>
      </c>
    </row>
    <row r="238" ht="13.5" spans="1:43">
      <c r="A238" s="38"/>
      <c r="B238" s="39" t="s">
        <v>4523</v>
      </c>
      <c r="C238" s="40" t="s">
        <v>67</v>
      </c>
      <c r="D238" s="40" t="s">
        <v>67</v>
      </c>
      <c r="E238" s="40" t="s">
        <v>67</v>
      </c>
      <c r="F238" s="40" t="s">
        <v>67</v>
      </c>
      <c r="G238" s="40" t="s">
        <v>67</v>
      </c>
      <c r="H238" s="40" t="s">
        <v>67</v>
      </c>
      <c r="I238" s="40" t="s">
        <v>67</v>
      </c>
      <c r="J238" s="40" t="s">
        <v>67</v>
      </c>
      <c r="K238" s="40" t="s">
        <v>67</v>
      </c>
      <c r="L238" s="40" t="s">
        <v>67</v>
      </c>
      <c r="M238" s="40" t="s">
        <v>67</v>
      </c>
      <c r="N238" s="40" t="s">
        <v>67</v>
      </c>
      <c r="O238" s="40" t="s">
        <v>67</v>
      </c>
      <c r="P238" s="40" t="s">
        <v>67</v>
      </c>
      <c r="Q238" s="40" t="s">
        <v>67</v>
      </c>
      <c r="R238" s="40" t="s">
        <v>67</v>
      </c>
      <c r="S238" s="40" t="s">
        <v>67</v>
      </c>
      <c r="T238" s="40" t="s">
        <v>67</v>
      </c>
      <c r="U238" s="40" t="s">
        <v>67</v>
      </c>
      <c r="V238" s="40" t="s">
        <v>67</v>
      </c>
      <c r="W238" s="40" t="s">
        <v>67</v>
      </c>
      <c r="X238" s="40" t="s">
        <v>67</v>
      </c>
      <c r="Y238" s="40" t="s">
        <v>67</v>
      </c>
      <c r="Z238" s="40" t="s">
        <v>67</v>
      </c>
      <c r="AA238" s="40" t="s">
        <v>67</v>
      </c>
      <c r="AB238" s="40" t="s">
        <v>67</v>
      </c>
      <c r="AC238" s="40" t="s">
        <v>67</v>
      </c>
      <c r="AD238" s="40" t="s">
        <v>67</v>
      </c>
      <c r="AE238" s="40" t="s">
        <v>67</v>
      </c>
      <c r="AF238" s="40" t="s">
        <v>67</v>
      </c>
      <c r="AG238" s="40" t="s">
        <v>67</v>
      </c>
      <c r="AH238" s="40" t="s">
        <v>67</v>
      </c>
      <c r="AI238" s="40" t="s">
        <v>67</v>
      </c>
      <c r="AJ238" s="40" t="s">
        <v>67</v>
      </c>
      <c r="AK238" s="40" t="s">
        <v>67</v>
      </c>
      <c r="AL238" s="40" t="s">
        <v>67</v>
      </c>
      <c r="AM238" s="40" t="s">
        <v>67</v>
      </c>
      <c r="AN238" s="40" t="s">
        <v>67</v>
      </c>
      <c r="AO238" s="40" t="s">
        <v>67</v>
      </c>
      <c r="AP238" s="40" t="s">
        <v>67</v>
      </c>
      <c r="AQ238" s="40" t="s">
        <v>67</v>
      </c>
    </row>
    <row r="239" ht="13.5" spans="1:43">
      <c r="A239" s="38"/>
      <c r="B239" s="39" t="s">
        <v>4524</v>
      </c>
      <c r="C239" s="40" t="s">
        <v>67</v>
      </c>
      <c r="D239" s="40" t="s">
        <v>67</v>
      </c>
      <c r="E239" s="40" t="s">
        <v>67</v>
      </c>
      <c r="F239" s="40" t="s">
        <v>67</v>
      </c>
      <c r="G239" s="40" t="s">
        <v>67</v>
      </c>
      <c r="H239" s="40" t="s">
        <v>67</v>
      </c>
      <c r="I239" s="40" t="s">
        <v>67</v>
      </c>
      <c r="J239" s="40" t="s">
        <v>67</v>
      </c>
      <c r="K239" s="40" t="s">
        <v>67</v>
      </c>
      <c r="L239" s="40" t="s">
        <v>67</v>
      </c>
      <c r="M239" s="40" t="s">
        <v>67</v>
      </c>
      <c r="N239" s="40" t="s">
        <v>67</v>
      </c>
      <c r="O239" s="40" t="s">
        <v>67</v>
      </c>
      <c r="P239" s="40" t="s">
        <v>67</v>
      </c>
      <c r="Q239" s="40" t="s">
        <v>67</v>
      </c>
      <c r="R239" s="40" t="s">
        <v>67</v>
      </c>
      <c r="S239" s="40" t="s">
        <v>67</v>
      </c>
      <c r="T239" s="40" t="s">
        <v>67</v>
      </c>
      <c r="U239" s="40" t="s">
        <v>67</v>
      </c>
      <c r="V239" s="40" t="s">
        <v>67</v>
      </c>
      <c r="W239" s="40" t="s">
        <v>67</v>
      </c>
      <c r="X239" s="40" t="s">
        <v>67</v>
      </c>
      <c r="Y239" s="40" t="s">
        <v>67</v>
      </c>
      <c r="Z239" s="40" t="s">
        <v>67</v>
      </c>
      <c r="AA239" s="40" t="s">
        <v>67</v>
      </c>
      <c r="AB239" s="40" t="s">
        <v>67</v>
      </c>
      <c r="AC239" s="40" t="s">
        <v>67</v>
      </c>
      <c r="AD239" s="40" t="s">
        <v>67</v>
      </c>
      <c r="AE239" s="40" t="s">
        <v>67</v>
      </c>
      <c r="AF239" s="40" t="s">
        <v>67</v>
      </c>
      <c r="AG239" s="40" t="s">
        <v>67</v>
      </c>
      <c r="AH239" s="40" t="s">
        <v>67</v>
      </c>
      <c r="AI239" s="40" t="s">
        <v>67</v>
      </c>
      <c r="AJ239" s="40" t="s">
        <v>67</v>
      </c>
      <c r="AK239" s="40" t="s">
        <v>67</v>
      </c>
      <c r="AL239" s="40" t="s">
        <v>67</v>
      </c>
      <c r="AM239" s="40" t="s">
        <v>67</v>
      </c>
      <c r="AN239" s="40" t="s">
        <v>67</v>
      </c>
      <c r="AO239" s="40" t="s">
        <v>67</v>
      </c>
      <c r="AP239" s="40" t="s">
        <v>67</v>
      </c>
      <c r="AQ239" s="40" t="s">
        <v>67</v>
      </c>
    </row>
    <row r="240" ht="13.5" spans="1:43">
      <c r="A240" s="38"/>
      <c r="B240" s="39" t="s">
        <v>4525</v>
      </c>
      <c r="C240" s="40" t="s">
        <v>67</v>
      </c>
      <c r="D240" s="40" t="s">
        <v>67</v>
      </c>
      <c r="E240" s="40" t="s">
        <v>67</v>
      </c>
      <c r="F240" s="40" t="s">
        <v>67</v>
      </c>
      <c r="G240" s="40" t="s">
        <v>67</v>
      </c>
      <c r="H240" s="40" t="s">
        <v>67</v>
      </c>
      <c r="I240" s="40" t="s">
        <v>67</v>
      </c>
      <c r="J240" s="40" t="s">
        <v>67</v>
      </c>
      <c r="K240" s="40" t="s">
        <v>67</v>
      </c>
      <c r="L240" s="40" t="s">
        <v>67</v>
      </c>
      <c r="M240" s="40" t="s">
        <v>67</v>
      </c>
      <c r="N240" s="40" t="s">
        <v>67</v>
      </c>
      <c r="O240" s="40" t="s">
        <v>67</v>
      </c>
      <c r="P240" s="40" t="s">
        <v>67</v>
      </c>
      <c r="Q240" s="40" t="s">
        <v>67</v>
      </c>
      <c r="R240" s="40" t="s">
        <v>67</v>
      </c>
      <c r="S240" s="40" t="s">
        <v>67</v>
      </c>
      <c r="T240" s="40" t="s">
        <v>67</v>
      </c>
      <c r="U240" s="40" t="s">
        <v>67</v>
      </c>
      <c r="V240" s="40" t="s">
        <v>67</v>
      </c>
      <c r="W240" s="40" t="s">
        <v>67</v>
      </c>
      <c r="X240" s="40" t="s">
        <v>67</v>
      </c>
      <c r="Y240" s="40" t="s">
        <v>67</v>
      </c>
      <c r="Z240" s="40" t="s">
        <v>67</v>
      </c>
      <c r="AA240" s="40" t="s">
        <v>67</v>
      </c>
      <c r="AB240" s="40" t="s">
        <v>67</v>
      </c>
      <c r="AC240" s="40" t="s">
        <v>67</v>
      </c>
      <c r="AD240" s="40" t="s">
        <v>67</v>
      </c>
      <c r="AE240" s="40" t="s">
        <v>67</v>
      </c>
      <c r="AF240" s="40" t="s">
        <v>67</v>
      </c>
      <c r="AG240" s="40" t="s">
        <v>67</v>
      </c>
      <c r="AH240" s="40" t="s">
        <v>67</v>
      </c>
      <c r="AI240" s="40" t="s">
        <v>67</v>
      </c>
      <c r="AJ240" s="40" t="s">
        <v>67</v>
      </c>
      <c r="AK240" s="40" t="s">
        <v>67</v>
      </c>
      <c r="AL240" s="40" t="s">
        <v>67</v>
      </c>
      <c r="AM240" s="40" t="s">
        <v>67</v>
      </c>
      <c r="AN240" s="40" t="s">
        <v>67</v>
      </c>
      <c r="AO240" s="40" t="s">
        <v>67</v>
      </c>
      <c r="AP240" s="40" t="s">
        <v>67</v>
      </c>
      <c r="AQ240" s="40" t="s">
        <v>67</v>
      </c>
    </row>
    <row r="241" ht="13.5" spans="1:43">
      <c r="A241" s="38"/>
      <c r="B241" s="39" t="s">
        <v>4526</v>
      </c>
      <c r="C241" s="40" t="s">
        <v>67</v>
      </c>
      <c r="D241" s="40" t="s">
        <v>67</v>
      </c>
      <c r="E241" s="40" t="s">
        <v>67</v>
      </c>
      <c r="F241" s="40" t="s">
        <v>67</v>
      </c>
      <c r="G241" s="40" t="s">
        <v>67</v>
      </c>
      <c r="H241" s="40" t="s">
        <v>67</v>
      </c>
      <c r="I241" s="40" t="s">
        <v>67</v>
      </c>
      <c r="J241" s="40" t="s">
        <v>67</v>
      </c>
      <c r="K241" s="40" t="s">
        <v>67</v>
      </c>
      <c r="L241" s="40" t="s">
        <v>67</v>
      </c>
      <c r="M241" s="40" t="s">
        <v>67</v>
      </c>
      <c r="N241" s="40" t="s">
        <v>67</v>
      </c>
      <c r="O241" s="40" t="s">
        <v>67</v>
      </c>
      <c r="P241" s="40" t="s">
        <v>67</v>
      </c>
      <c r="Q241" s="40" t="s">
        <v>67</v>
      </c>
      <c r="R241" s="40" t="s">
        <v>67</v>
      </c>
      <c r="S241" s="40" t="s">
        <v>67</v>
      </c>
      <c r="T241" s="40" t="s">
        <v>67</v>
      </c>
      <c r="U241" s="40" t="s">
        <v>67</v>
      </c>
      <c r="V241" s="40" t="s">
        <v>67</v>
      </c>
      <c r="W241" s="40" t="s">
        <v>67</v>
      </c>
      <c r="X241" s="40" t="s">
        <v>67</v>
      </c>
      <c r="Y241" s="40" t="s">
        <v>67</v>
      </c>
      <c r="Z241" s="40" t="s">
        <v>67</v>
      </c>
      <c r="AA241" s="40" t="s">
        <v>67</v>
      </c>
      <c r="AB241" s="40" t="s">
        <v>67</v>
      </c>
      <c r="AC241" s="40" t="s">
        <v>67</v>
      </c>
      <c r="AD241" s="40" t="s">
        <v>67</v>
      </c>
      <c r="AE241" s="40" t="s">
        <v>67</v>
      </c>
      <c r="AF241" s="40" t="s">
        <v>67</v>
      </c>
      <c r="AG241" s="40" t="s">
        <v>67</v>
      </c>
      <c r="AH241" s="40" t="s">
        <v>67</v>
      </c>
      <c r="AI241" s="40" t="s">
        <v>67</v>
      </c>
      <c r="AJ241" s="40" t="s">
        <v>67</v>
      </c>
      <c r="AK241" s="40" t="s">
        <v>67</v>
      </c>
      <c r="AL241" s="40" t="s">
        <v>67</v>
      </c>
      <c r="AM241" s="40" t="s">
        <v>67</v>
      </c>
      <c r="AN241" s="40" t="s">
        <v>67</v>
      </c>
      <c r="AO241" s="40" t="s">
        <v>67</v>
      </c>
      <c r="AP241" s="40" t="s">
        <v>67</v>
      </c>
      <c r="AQ241" s="40" t="s">
        <v>67</v>
      </c>
    </row>
    <row r="242" ht="13.5" spans="1:43">
      <c r="A242" s="38"/>
      <c r="B242" s="39" t="s">
        <v>4527</v>
      </c>
      <c r="C242" s="40" t="s">
        <v>67</v>
      </c>
      <c r="D242" s="40" t="s">
        <v>67</v>
      </c>
      <c r="E242" s="40" t="s">
        <v>67</v>
      </c>
      <c r="F242" s="40" t="s">
        <v>67</v>
      </c>
      <c r="G242" s="40" t="s">
        <v>67</v>
      </c>
      <c r="H242" s="40" t="s">
        <v>67</v>
      </c>
      <c r="I242" s="40" t="s">
        <v>67</v>
      </c>
      <c r="J242" s="40" t="s">
        <v>67</v>
      </c>
      <c r="K242" s="40" t="s">
        <v>67</v>
      </c>
      <c r="L242" s="40" t="s">
        <v>67</v>
      </c>
      <c r="M242" s="40" t="s">
        <v>67</v>
      </c>
      <c r="N242" s="40" t="s">
        <v>67</v>
      </c>
      <c r="O242" s="40" t="s">
        <v>67</v>
      </c>
      <c r="P242" s="40" t="s">
        <v>67</v>
      </c>
      <c r="Q242" s="40" t="s">
        <v>67</v>
      </c>
      <c r="R242" s="40" t="s">
        <v>67</v>
      </c>
      <c r="S242" s="40" t="s">
        <v>67</v>
      </c>
      <c r="T242" s="40" t="s">
        <v>67</v>
      </c>
      <c r="U242" s="40" t="s">
        <v>67</v>
      </c>
      <c r="V242" s="40" t="s">
        <v>67</v>
      </c>
      <c r="W242" s="40" t="s">
        <v>67</v>
      </c>
      <c r="X242" s="40" t="s">
        <v>67</v>
      </c>
      <c r="Y242" s="40" t="s">
        <v>67</v>
      </c>
      <c r="Z242" s="40" t="s">
        <v>67</v>
      </c>
      <c r="AA242" s="40" t="s">
        <v>67</v>
      </c>
      <c r="AB242" s="40" t="s">
        <v>67</v>
      </c>
      <c r="AC242" s="40" t="s">
        <v>67</v>
      </c>
      <c r="AD242" s="40" t="s">
        <v>67</v>
      </c>
      <c r="AE242" s="40" t="s">
        <v>67</v>
      </c>
      <c r="AF242" s="40" t="s">
        <v>67</v>
      </c>
      <c r="AG242" s="40" t="s">
        <v>67</v>
      </c>
      <c r="AH242" s="40" t="s">
        <v>67</v>
      </c>
      <c r="AI242" s="40" t="s">
        <v>67</v>
      </c>
      <c r="AJ242" s="40" t="s">
        <v>67</v>
      </c>
      <c r="AK242" s="40" t="s">
        <v>67</v>
      </c>
      <c r="AL242" s="40" t="s">
        <v>67</v>
      </c>
      <c r="AM242" s="40" t="s">
        <v>67</v>
      </c>
      <c r="AN242" s="40" t="s">
        <v>67</v>
      </c>
      <c r="AO242" s="40" t="s">
        <v>67</v>
      </c>
      <c r="AP242" s="40" t="s">
        <v>67</v>
      </c>
      <c r="AQ242" s="40" t="s">
        <v>67</v>
      </c>
    </row>
    <row r="243" ht="13.5" spans="1:43">
      <c r="A243" s="38"/>
      <c r="B243" s="39" t="s">
        <v>4528</v>
      </c>
      <c r="C243" s="40" t="s">
        <v>2428</v>
      </c>
      <c r="D243" s="40" t="s">
        <v>2658</v>
      </c>
      <c r="E243" s="40" t="s">
        <v>2659</v>
      </c>
      <c r="F243" s="40" t="s">
        <v>2417</v>
      </c>
      <c r="G243" s="40" t="s">
        <v>2428</v>
      </c>
      <c r="H243" s="40" t="s">
        <v>2420</v>
      </c>
      <c r="I243" s="40" t="s">
        <v>2412</v>
      </c>
      <c r="J243" s="40" t="s">
        <v>2424</v>
      </c>
      <c r="K243" s="40" t="s">
        <v>2426</v>
      </c>
      <c r="L243" s="40" t="s">
        <v>2604</v>
      </c>
      <c r="M243" s="40" t="s">
        <v>2422</v>
      </c>
      <c r="N243" s="40" t="s">
        <v>2423</v>
      </c>
      <c r="O243" s="40" t="s">
        <v>2425</v>
      </c>
      <c r="P243" s="40" t="s">
        <v>2420</v>
      </c>
      <c r="Q243" s="40" t="s">
        <v>2417</v>
      </c>
      <c r="R243" s="40" t="s">
        <v>2418</v>
      </c>
      <c r="S243" s="40" t="s">
        <v>2414</v>
      </c>
      <c r="T243" s="40" t="s">
        <v>2412</v>
      </c>
      <c r="U243" s="40" t="s">
        <v>2413</v>
      </c>
      <c r="V243" s="40" t="s">
        <v>2428</v>
      </c>
      <c r="W243" s="40" t="s">
        <v>2414</v>
      </c>
      <c r="X243" s="40" t="s">
        <v>2417</v>
      </c>
      <c r="Y243" s="40" t="s">
        <v>2418</v>
      </c>
      <c r="Z243" s="40" t="s">
        <v>2426</v>
      </c>
      <c r="AA243" s="40" t="s">
        <v>2429</v>
      </c>
      <c r="AB243" s="40" t="s">
        <v>2424</v>
      </c>
      <c r="AC243" s="40" t="s">
        <v>2418</v>
      </c>
      <c r="AD243" s="40" t="s">
        <v>2428</v>
      </c>
      <c r="AE243" s="40" t="s">
        <v>2414</v>
      </c>
      <c r="AF243" s="40" t="s">
        <v>2410</v>
      </c>
      <c r="AG243" s="40" t="s">
        <v>2425</v>
      </c>
      <c r="AH243" s="40" t="s">
        <v>2426</v>
      </c>
      <c r="AI243" s="40" t="s">
        <v>2429</v>
      </c>
      <c r="AJ243" s="40" t="s">
        <v>2426</v>
      </c>
      <c r="AK243" s="40" t="s">
        <v>2414</v>
      </c>
      <c r="AL243" s="40" t="s">
        <v>2429</v>
      </c>
      <c r="AM243" s="40" t="s">
        <v>4529</v>
      </c>
      <c r="AN243" s="40" t="s">
        <v>2426</v>
      </c>
      <c r="AO243" s="40" t="s">
        <v>2414</v>
      </c>
      <c r="AP243" s="40" t="s">
        <v>2429</v>
      </c>
      <c r="AQ243" s="40" t="s">
        <v>4530</v>
      </c>
    </row>
    <row r="244" ht="13.5" spans="1:43">
      <c r="A244" s="38"/>
      <c r="B244" s="39" t="s">
        <v>4531</v>
      </c>
      <c r="C244" s="40" t="s">
        <v>2426</v>
      </c>
      <c r="D244" s="40" t="s">
        <v>2422</v>
      </c>
      <c r="E244" s="40" t="s">
        <v>2423</v>
      </c>
      <c r="F244" s="40" t="s">
        <v>2410</v>
      </c>
      <c r="G244" s="40" t="s">
        <v>2421</v>
      </c>
      <c r="H244" s="40" t="s">
        <v>2422</v>
      </c>
      <c r="I244" s="40" t="s">
        <v>2423</v>
      </c>
      <c r="J244" s="40" t="s">
        <v>2413</v>
      </c>
      <c r="K244" s="40" t="s">
        <v>2426</v>
      </c>
      <c r="L244" s="40" t="s">
        <v>2660</v>
      </c>
      <c r="M244" s="40" t="s">
        <v>2412</v>
      </c>
      <c r="N244" s="40" t="s">
        <v>2413</v>
      </c>
      <c r="O244" s="40" t="s">
        <v>2426</v>
      </c>
      <c r="P244" s="40" t="s">
        <v>2660</v>
      </c>
      <c r="Q244" s="40" t="s">
        <v>2417</v>
      </c>
      <c r="R244" s="40" t="s">
        <v>2418</v>
      </c>
      <c r="S244" s="40" t="s">
        <v>2426</v>
      </c>
      <c r="T244" s="40" t="s">
        <v>2417</v>
      </c>
      <c r="U244" s="40" t="s">
        <v>2425</v>
      </c>
      <c r="V244" s="40" t="s">
        <v>2421</v>
      </c>
      <c r="W244" s="40" t="s">
        <v>2429</v>
      </c>
      <c r="X244" s="40" t="s">
        <v>2428</v>
      </c>
      <c r="Y244" s="40" t="s">
        <v>2426</v>
      </c>
      <c r="Z244" s="40" t="s">
        <v>2414</v>
      </c>
      <c r="AA244" s="40" t="s">
        <v>2427</v>
      </c>
      <c r="AB244" s="40" t="s">
        <v>2426</v>
      </c>
      <c r="AC244" s="40" t="s">
        <v>2426</v>
      </c>
      <c r="AD244" s="40" t="s">
        <v>2421</v>
      </c>
      <c r="AE244" s="40" t="s">
        <v>2429</v>
      </c>
      <c r="AF244" s="40" t="s">
        <v>2426</v>
      </c>
      <c r="AG244" s="40" t="s">
        <v>2426</v>
      </c>
      <c r="AH244" s="40" t="s">
        <v>2429</v>
      </c>
      <c r="AI244" s="40" t="s">
        <v>2427</v>
      </c>
      <c r="AJ244" s="40" t="s">
        <v>2414</v>
      </c>
      <c r="AK244" s="40" t="s">
        <v>2429</v>
      </c>
      <c r="AL244" s="40" t="s">
        <v>2427</v>
      </c>
      <c r="AM244" s="40" t="s">
        <v>4532</v>
      </c>
      <c r="AN244" s="40" t="s">
        <v>2414</v>
      </c>
      <c r="AO244" s="40" t="s">
        <v>2429</v>
      </c>
      <c r="AP244" s="40" t="s">
        <v>2427</v>
      </c>
      <c r="AQ244" s="40" t="s">
        <v>4533</v>
      </c>
    </row>
    <row r="245" ht="13.5" spans="1:43">
      <c r="A245" s="38"/>
      <c r="B245" s="39" t="s">
        <v>4534</v>
      </c>
      <c r="C245" s="40" t="s">
        <v>2427</v>
      </c>
      <c r="D245" s="40" t="s">
        <v>2414</v>
      </c>
      <c r="E245" s="40" t="s">
        <v>2414</v>
      </c>
      <c r="F245" s="40" t="s">
        <v>2429</v>
      </c>
      <c r="G245" s="40" t="s">
        <v>4535</v>
      </c>
      <c r="H245" s="40" t="s">
        <v>2421</v>
      </c>
      <c r="I245" s="40" t="s">
        <v>2414</v>
      </c>
      <c r="J245" s="40" t="s">
        <v>2429</v>
      </c>
      <c r="K245" s="40" t="s">
        <v>2427</v>
      </c>
      <c r="L245" s="40" t="s">
        <v>2421</v>
      </c>
      <c r="M245" s="40" t="s">
        <v>2414</v>
      </c>
      <c r="N245" s="40" t="s">
        <v>2429</v>
      </c>
      <c r="O245" s="40" t="s">
        <v>2427</v>
      </c>
      <c r="P245" s="40" t="s">
        <v>2414</v>
      </c>
      <c r="Q245" s="40" t="s">
        <v>2429</v>
      </c>
      <c r="R245" s="40" t="s">
        <v>2429</v>
      </c>
      <c r="S245" s="40" t="s">
        <v>4536</v>
      </c>
      <c r="T245" s="40" t="s">
        <v>2414</v>
      </c>
      <c r="U245" s="40" t="s">
        <v>2429</v>
      </c>
      <c r="V245" s="40" t="s">
        <v>2427</v>
      </c>
      <c r="W245" s="40" t="s">
        <v>4537</v>
      </c>
      <c r="X245" s="40" t="s">
        <v>2429</v>
      </c>
      <c r="Y245" s="40" t="s">
        <v>2429</v>
      </c>
      <c r="Z245" s="40" t="s">
        <v>2427</v>
      </c>
      <c r="AA245" s="40" t="s">
        <v>4538</v>
      </c>
      <c r="AB245" s="40" t="s">
        <v>2429</v>
      </c>
      <c r="AC245" s="40" t="s">
        <v>2429</v>
      </c>
      <c r="AD245" s="40" t="s">
        <v>2427</v>
      </c>
      <c r="AE245" s="40" t="s">
        <v>4539</v>
      </c>
      <c r="AF245" s="40" t="s">
        <v>2429</v>
      </c>
      <c r="AG245" s="40" t="s">
        <v>2427</v>
      </c>
      <c r="AH245" s="40" t="s">
        <v>3598</v>
      </c>
      <c r="AI245" s="40" t="s">
        <v>4540</v>
      </c>
      <c r="AJ245" s="40" t="s">
        <v>2427</v>
      </c>
      <c r="AK245" s="40" t="s">
        <v>4541</v>
      </c>
      <c r="AL245" s="40" t="s">
        <v>4542</v>
      </c>
      <c r="AM245" s="40" t="s">
        <v>4543</v>
      </c>
      <c r="AN245" s="40" t="s">
        <v>4544</v>
      </c>
      <c r="AO245" s="40" t="s">
        <v>4545</v>
      </c>
      <c r="AP245" s="40" t="s">
        <v>4180</v>
      </c>
      <c r="AQ245" s="40" t="s">
        <v>3346</v>
      </c>
    </row>
    <row r="246" ht="13.5" spans="1:43">
      <c r="A246" s="38"/>
      <c r="B246" s="39" t="s">
        <v>4546</v>
      </c>
      <c r="C246" s="40" t="s">
        <v>4547</v>
      </c>
      <c r="D246" s="40" t="s">
        <v>4548</v>
      </c>
      <c r="E246" s="40" t="s">
        <v>4549</v>
      </c>
      <c r="F246" s="40" t="s">
        <v>4550</v>
      </c>
      <c r="G246" s="40" t="s">
        <v>4551</v>
      </c>
      <c r="H246" s="40" t="s">
        <v>4552</v>
      </c>
      <c r="I246" s="40" t="s">
        <v>4553</v>
      </c>
      <c r="J246" s="40" t="s">
        <v>4554</v>
      </c>
      <c r="K246" s="40" t="s">
        <v>4555</v>
      </c>
      <c r="L246" s="40" t="s">
        <v>2429</v>
      </c>
      <c r="M246" s="40" t="s">
        <v>2427</v>
      </c>
      <c r="N246" s="40" t="s">
        <v>4556</v>
      </c>
      <c r="O246" s="40" t="s">
        <v>4557</v>
      </c>
      <c r="P246" s="40" t="s">
        <v>2427</v>
      </c>
      <c r="Q246" s="40" t="s">
        <v>4558</v>
      </c>
      <c r="R246" s="40" t="s">
        <v>4538</v>
      </c>
      <c r="S246" s="40" t="s">
        <v>4559</v>
      </c>
      <c r="T246" s="40" t="s">
        <v>2427</v>
      </c>
      <c r="U246" s="40" t="s">
        <v>4560</v>
      </c>
      <c r="V246" s="40" t="s">
        <v>4561</v>
      </c>
      <c r="W246" s="40" t="s">
        <v>4562</v>
      </c>
      <c r="X246" s="40" t="s">
        <v>4563</v>
      </c>
      <c r="Y246" s="40" t="s">
        <v>4564</v>
      </c>
      <c r="Z246" s="40" t="s">
        <v>4565</v>
      </c>
      <c r="AA246" s="40" t="s">
        <v>4566</v>
      </c>
      <c r="AB246" s="40" t="s">
        <v>4567</v>
      </c>
      <c r="AC246" s="40" t="s">
        <v>4568</v>
      </c>
      <c r="AD246" s="40" t="s">
        <v>4569</v>
      </c>
      <c r="AE246" s="40" t="s">
        <v>4570</v>
      </c>
      <c r="AF246" s="40" t="s">
        <v>4571</v>
      </c>
      <c r="AG246" s="40" t="s">
        <v>4572</v>
      </c>
      <c r="AH246" s="40" t="s">
        <v>4573</v>
      </c>
      <c r="AI246" s="40" t="s">
        <v>4574</v>
      </c>
      <c r="AJ246" s="40" t="s">
        <v>4575</v>
      </c>
      <c r="AK246" s="40" t="s">
        <v>4576</v>
      </c>
      <c r="AL246" s="40" t="s">
        <v>3346</v>
      </c>
      <c r="AM246" s="40" t="s">
        <v>4577</v>
      </c>
      <c r="AN246" s="40" t="s">
        <v>4578</v>
      </c>
      <c r="AO246" s="40" t="s">
        <v>4579</v>
      </c>
      <c r="AP246" s="40" t="s">
        <v>3957</v>
      </c>
      <c r="AQ246" s="40" t="s">
        <v>4580</v>
      </c>
    </row>
    <row r="247" ht="13.5" spans="1:43">
      <c r="A247" s="38"/>
      <c r="B247" s="39" t="s">
        <v>4581</v>
      </c>
      <c r="C247" s="40" t="s">
        <v>67</v>
      </c>
      <c r="D247" s="40" t="s">
        <v>67</v>
      </c>
      <c r="E247" s="40" t="s">
        <v>67</v>
      </c>
      <c r="F247" s="40" t="s">
        <v>67</v>
      </c>
      <c r="G247" s="40" t="s">
        <v>67</v>
      </c>
      <c r="H247" s="40" t="s">
        <v>67</v>
      </c>
      <c r="I247" s="40" t="s">
        <v>67</v>
      </c>
      <c r="J247" s="40" t="s">
        <v>67</v>
      </c>
      <c r="K247" s="40" t="s">
        <v>67</v>
      </c>
      <c r="L247" s="40" t="s">
        <v>67</v>
      </c>
      <c r="M247" s="40" t="s">
        <v>67</v>
      </c>
      <c r="N247" s="40" t="s">
        <v>67</v>
      </c>
      <c r="O247" s="40" t="s">
        <v>67</v>
      </c>
      <c r="P247" s="40" t="s">
        <v>67</v>
      </c>
      <c r="Q247" s="40" t="s">
        <v>67</v>
      </c>
      <c r="R247" s="40" t="s">
        <v>67</v>
      </c>
      <c r="S247" s="40" t="s">
        <v>67</v>
      </c>
      <c r="T247" s="40" t="s">
        <v>67</v>
      </c>
      <c r="U247" s="40" t="s">
        <v>67</v>
      </c>
      <c r="V247" s="40" t="s">
        <v>67</v>
      </c>
      <c r="W247" s="40" t="s">
        <v>67</v>
      </c>
      <c r="X247" s="40" t="s">
        <v>67</v>
      </c>
      <c r="Y247" s="40" t="s">
        <v>67</v>
      </c>
      <c r="Z247" s="40" t="s">
        <v>67</v>
      </c>
      <c r="AA247" s="40" t="s">
        <v>67</v>
      </c>
      <c r="AB247" s="40" t="s">
        <v>67</v>
      </c>
      <c r="AC247" s="40" t="s">
        <v>67</v>
      </c>
      <c r="AD247" s="40" t="s">
        <v>67</v>
      </c>
      <c r="AE247" s="40" t="s">
        <v>67</v>
      </c>
      <c r="AF247" s="40" t="s">
        <v>67</v>
      </c>
      <c r="AG247" s="40" t="s">
        <v>67</v>
      </c>
      <c r="AH247" s="40" t="s">
        <v>67</v>
      </c>
      <c r="AI247" s="40" t="s">
        <v>67</v>
      </c>
      <c r="AJ247" s="40" t="s">
        <v>67</v>
      </c>
      <c r="AK247" s="40" t="s">
        <v>67</v>
      </c>
      <c r="AL247" s="40" t="s">
        <v>67</v>
      </c>
      <c r="AM247" s="40" t="s">
        <v>67</v>
      </c>
      <c r="AN247" s="40" t="s">
        <v>67</v>
      </c>
      <c r="AO247" s="40" t="s">
        <v>67</v>
      </c>
      <c r="AP247" s="40" t="s">
        <v>67</v>
      </c>
      <c r="AQ247" s="40" t="s">
        <v>67</v>
      </c>
    </row>
    <row r="248" ht="13.5" spans="1:43">
      <c r="A248" s="38"/>
      <c r="B248" s="39" t="s">
        <v>4582</v>
      </c>
      <c r="C248" s="40" t="s">
        <v>67</v>
      </c>
      <c r="D248" s="40" t="s">
        <v>67</v>
      </c>
      <c r="E248" s="40" t="s">
        <v>67</v>
      </c>
      <c r="F248" s="40" t="s">
        <v>67</v>
      </c>
      <c r="G248" s="40" t="s">
        <v>67</v>
      </c>
      <c r="H248" s="40" t="s">
        <v>67</v>
      </c>
      <c r="I248" s="40" t="s">
        <v>67</v>
      </c>
      <c r="J248" s="40" t="s">
        <v>67</v>
      </c>
      <c r="K248" s="40" t="s">
        <v>67</v>
      </c>
      <c r="L248" s="40" t="s">
        <v>67</v>
      </c>
      <c r="M248" s="40" t="s">
        <v>67</v>
      </c>
      <c r="N248" s="40" t="s">
        <v>67</v>
      </c>
      <c r="O248" s="40" t="s">
        <v>67</v>
      </c>
      <c r="P248" s="40" t="s">
        <v>67</v>
      </c>
      <c r="Q248" s="40" t="s">
        <v>67</v>
      </c>
      <c r="R248" s="40" t="s">
        <v>67</v>
      </c>
      <c r="S248" s="40" t="s">
        <v>67</v>
      </c>
      <c r="T248" s="40" t="s">
        <v>67</v>
      </c>
      <c r="U248" s="40" t="s">
        <v>67</v>
      </c>
      <c r="V248" s="40" t="s">
        <v>67</v>
      </c>
      <c r="W248" s="40" t="s">
        <v>67</v>
      </c>
      <c r="X248" s="40" t="s">
        <v>67</v>
      </c>
      <c r="Y248" s="40" t="s">
        <v>67</v>
      </c>
      <c r="Z248" s="40" t="s">
        <v>67</v>
      </c>
      <c r="AA248" s="40" t="s">
        <v>67</v>
      </c>
      <c r="AB248" s="40" t="s">
        <v>67</v>
      </c>
      <c r="AC248" s="40" t="s">
        <v>67</v>
      </c>
      <c r="AD248" s="40" t="s">
        <v>67</v>
      </c>
      <c r="AE248" s="40" t="s">
        <v>67</v>
      </c>
      <c r="AF248" s="40" t="s">
        <v>67</v>
      </c>
      <c r="AG248" s="40" t="s">
        <v>67</v>
      </c>
      <c r="AH248" s="40" t="s">
        <v>67</v>
      </c>
      <c r="AI248" s="40" t="s">
        <v>67</v>
      </c>
      <c r="AJ248" s="40" t="s">
        <v>67</v>
      </c>
      <c r="AK248" s="40" t="s">
        <v>67</v>
      </c>
      <c r="AL248" s="40" t="s">
        <v>67</v>
      </c>
      <c r="AM248" s="40" t="s">
        <v>67</v>
      </c>
      <c r="AN248" s="40" t="s">
        <v>67</v>
      </c>
      <c r="AO248" s="40" t="s">
        <v>67</v>
      </c>
      <c r="AP248" s="40" t="s">
        <v>67</v>
      </c>
      <c r="AQ248" s="40" t="s">
        <v>67</v>
      </c>
    </row>
    <row r="249" ht="13.5" spans="1:43">
      <c r="A249" s="38"/>
      <c r="B249" s="39" t="s">
        <v>4583</v>
      </c>
      <c r="C249" s="40" t="s">
        <v>67</v>
      </c>
      <c r="D249" s="40" t="s">
        <v>67</v>
      </c>
      <c r="E249" s="40" t="s">
        <v>67</v>
      </c>
      <c r="F249" s="40" t="s">
        <v>67</v>
      </c>
      <c r="G249" s="40" t="s">
        <v>67</v>
      </c>
      <c r="H249" s="40" t="s">
        <v>67</v>
      </c>
      <c r="I249" s="40" t="s">
        <v>67</v>
      </c>
      <c r="J249" s="40" t="s">
        <v>67</v>
      </c>
      <c r="K249" s="40" t="s">
        <v>67</v>
      </c>
      <c r="L249" s="40" t="s">
        <v>67</v>
      </c>
      <c r="M249" s="40" t="s">
        <v>67</v>
      </c>
      <c r="N249" s="40" t="s">
        <v>67</v>
      </c>
      <c r="O249" s="40" t="s">
        <v>67</v>
      </c>
      <c r="P249" s="40" t="s">
        <v>67</v>
      </c>
      <c r="Q249" s="40" t="s">
        <v>67</v>
      </c>
      <c r="R249" s="40" t="s">
        <v>67</v>
      </c>
      <c r="S249" s="40" t="s">
        <v>67</v>
      </c>
      <c r="T249" s="40" t="s">
        <v>67</v>
      </c>
      <c r="U249" s="40" t="s">
        <v>67</v>
      </c>
      <c r="V249" s="40" t="s">
        <v>67</v>
      </c>
      <c r="W249" s="40" t="s">
        <v>67</v>
      </c>
      <c r="X249" s="40" t="s">
        <v>67</v>
      </c>
      <c r="Y249" s="40" t="s">
        <v>67</v>
      </c>
      <c r="Z249" s="40" t="s">
        <v>67</v>
      </c>
      <c r="AA249" s="40" t="s">
        <v>67</v>
      </c>
      <c r="AB249" s="40" t="s">
        <v>67</v>
      </c>
      <c r="AC249" s="40" t="s">
        <v>67</v>
      </c>
      <c r="AD249" s="40" t="s">
        <v>67</v>
      </c>
      <c r="AE249" s="40" t="s">
        <v>67</v>
      </c>
      <c r="AF249" s="40" t="s">
        <v>67</v>
      </c>
      <c r="AG249" s="40" t="s">
        <v>67</v>
      </c>
      <c r="AH249" s="40" t="s">
        <v>67</v>
      </c>
      <c r="AI249" s="40" t="s">
        <v>67</v>
      </c>
      <c r="AJ249" s="40" t="s">
        <v>67</v>
      </c>
      <c r="AK249" s="40" t="s">
        <v>67</v>
      </c>
      <c r="AL249" s="40" t="s">
        <v>67</v>
      </c>
      <c r="AM249" s="40" t="s">
        <v>67</v>
      </c>
      <c r="AN249" s="40" t="s">
        <v>67</v>
      </c>
      <c r="AO249" s="40" t="s">
        <v>67</v>
      </c>
      <c r="AP249" s="40" t="s">
        <v>67</v>
      </c>
      <c r="AQ249" s="40" t="s">
        <v>67</v>
      </c>
    </row>
    <row r="250" ht="13.5" spans="1:43">
      <c r="A250" s="38"/>
      <c r="B250" s="39" t="s">
        <v>4584</v>
      </c>
      <c r="C250" s="40" t="s">
        <v>67</v>
      </c>
      <c r="D250" s="40" t="s">
        <v>67</v>
      </c>
      <c r="E250" s="40" t="s">
        <v>67</v>
      </c>
      <c r="F250" s="40" t="s">
        <v>67</v>
      </c>
      <c r="G250" s="40" t="s">
        <v>67</v>
      </c>
      <c r="H250" s="40" t="s">
        <v>67</v>
      </c>
      <c r="I250" s="40" t="s">
        <v>67</v>
      </c>
      <c r="J250" s="40" t="s">
        <v>67</v>
      </c>
      <c r="K250" s="40" t="s">
        <v>67</v>
      </c>
      <c r="L250" s="40" t="s">
        <v>67</v>
      </c>
      <c r="M250" s="40" t="s">
        <v>67</v>
      </c>
      <c r="N250" s="40" t="s">
        <v>67</v>
      </c>
      <c r="O250" s="40" t="s">
        <v>67</v>
      </c>
      <c r="P250" s="40" t="s">
        <v>67</v>
      </c>
      <c r="Q250" s="40" t="s">
        <v>67</v>
      </c>
      <c r="R250" s="40" t="s">
        <v>67</v>
      </c>
      <c r="S250" s="40" t="s">
        <v>67</v>
      </c>
      <c r="T250" s="40" t="s">
        <v>67</v>
      </c>
      <c r="U250" s="40" t="s">
        <v>67</v>
      </c>
      <c r="V250" s="40" t="s">
        <v>67</v>
      </c>
      <c r="W250" s="40" t="s">
        <v>67</v>
      </c>
      <c r="X250" s="40" t="s">
        <v>67</v>
      </c>
      <c r="Y250" s="40" t="s">
        <v>67</v>
      </c>
      <c r="Z250" s="40" t="s">
        <v>67</v>
      </c>
      <c r="AA250" s="40" t="s">
        <v>67</v>
      </c>
      <c r="AB250" s="40" t="s">
        <v>67</v>
      </c>
      <c r="AC250" s="40" t="s">
        <v>67</v>
      </c>
      <c r="AD250" s="40" t="s">
        <v>67</v>
      </c>
      <c r="AE250" s="40" t="s">
        <v>67</v>
      </c>
      <c r="AF250" s="40" t="s">
        <v>67</v>
      </c>
      <c r="AG250" s="40" t="s">
        <v>67</v>
      </c>
      <c r="AH250" s="40" t="s">
        <v>67</v>
      </c>
      <c r="AI250" s="40" t="s">
        <v>67</v>
      </c>
      <c r="AJ250" s="40" t="s">
        <v>67</v>
      </c>
      <c r="AK250" s="40" t="s">
        <v>67</v>
      </c>
      <c r="AL250" s="40" t="s">
        <v>67</v>
      </c>
      <c r="AM250" s="40" t="s">
        <v>67</v>
      </c>
      <c r="AN250" s="40" t="s">
        <v>67</v>
      </c>
      <c r="AO250" s="40" t="s">
        <v>67</v>
      </c>
      <c r="AP250" s="40" t="s">
        <v>67</v>
      </c>
      <c r="AQ250" s="40" t="s">
        <v>67</v>
      </c>
    </row>
    <row r="251" ht="13.5" spans="1:43">
      <c r="A251" s="38"/>
      <c r="B251" s="39" t="s">
        <v>4585</v>
      </c>
      <c r="C251" s="40" t="s">
        <v>67</v>
      </c>
      <c r="D251" s="40" t="s">
        <v>67</v>
      </c>
      <c r="E251" s="40" t="s">
        <v>67</v>
      </c>
      <c r="F251" s="40" t="s">
        <v>67</v>
      </c>
      <c r="G251" s="40" t="s">
        <v>67</v>
      </c>
      <c r="H251" s="40" t="s">
        <v>67</v>
      </c>
      <c r="I251" s="40" t="s">
        <v>67</v>
      </c>
      <c r="J251" s="40" t="s">
        <v>67</v>
      </c>
      <c r="K251" s="40" t="s">
        <v>67</v>
      </c>
      <c r="L251" s="40" t="s">
        <v>67</v>
      </c>
      <c r="M251" s="40" t="s">
        <v>67</v>
      </c>
      <c r="N251" s="40" t="s">
        <v>67</v>
      </c>
      <c r="O251" s="40" t="s">
        <v>67</v>
      </c>
      <c r="P251" s="40" t="s">
        <v>67</v>
      </c>
      <c r="Q251" s="40" t="s">
        <v>67</v>
      </c>
      <c r="R251" s="40" t="s">
        <v>67</v>
      </c>
      <c r="S251" s="40" t="s">
        <v>67</v>
      </c>
      <c r="T251" s="40" t="s">
        <v>67</v>
      </c>
      <c r="U251" s="40" t="s">
        <v>67</v>
      </c>
      <c r="V251" s="40" t="s">
        <v>67</v>
      </c>
      <c r="W251" s="40" t="s">
        <v>67</v>
      </c>
      <c r="X251" s="40" t="s">
        <v>67</v>
      </c>
      <c r="Y251" s="40" t="s">
        <v>67</v>
      </c>
      <c r="Z251" s="40" t="s">
        <v>67</v>
      </c>
      <c r="AA251" s="40" t="s">
        <v>67</v>
      </c>
      <c r="AB251" s="40" t="s">
        <v>67</v>
      </c>
      <c r="AC251" s="40" t="s">
        <v>67</v>
      </c>
      <c r="AD251" s="40" t="s">
        <v>67</v>
      </c>
      <c r="AE251" s="40" t="s">
        <v>67</v>
      </c>
      <c r="AF251" s="40" t="s">
        <v>67</v>
      </c>
      <c r="AG251" s="40" t="s">
        <v>67</v>
      </c>
      <c r="AH251" s="40" t="s">
        <v>67</v>
      </c>
      <c r="AI251" s="40" t="s">
        <v>67</v>
      </c>
      <c r="AJ251" s="40" t="s">
        <v>67</v>
      </c>
      <c r="AK251" s="40" t="s">
        <v>67</v>
      </c>
      <c r="AL251" s="40" t="s">
        <v>67</v>
      </c>
      <c r="AM251" s="40" t="s">
        <v>67</v>
      </c>
      <c r="AN251" s="40" t="s">
        <v>67</v>
      </c>
      <c r="AO251" s="40" t="s">
        <v>67</v>
      </c>
      <c r="AP251" s="40" t="s">
        <v>67</v>
      </c>
      <c r="AQ251" s="40" t="s">
        <v>67</v>
      </c>
    </row>
    <row r="252" ht="13.5" spans="1:43">
      <c r="A252" s="38"/>
      <c r="B252" s="39" t="s">
        <v>4586</v>
      </c>
      <c r="C252" s="40" t="s">
        <v>67</v>
      </c>
      <c r="D252" s="40" t="s">
        <v>67</v>
      </c>
      <c r="E252" s="40" t="s">
        <v>67</v>
      </c>
      <c r="F252" s="40" t="s">
        <v>67</v>
      </c>
      <c r="G252" s="40" t="s">
        <v>67</v>
      </c>
      <c r="H252" s="40" t="s">
        <v>67</v>
      </c>
      <c r="I252" s="40" t="s">
        <v>67</v>
      </c>
      <c r="J252" s="40" t="s">
        <v>67</v>
      </c>
      <c r="K252" s="40" t="s">
        <v>67</v>
      </c>
      <c r="L252" s="40" t="s">
        <v>67</v>
      </c>
      <c r="M252" s="40" t="s">
        <v>67</v>
      </c>
      <c r="N252" s="40" t="s">
        <v>67</v>
      </c>
      <c r="O252" s="40" t="s">
        <v>67</v>
      </c>
      <c r="P252" s="40" t="s">
        <v>67</v>
      </c>
      <c r="Q252" s="40" t="s">
        <v>67</v>
      </c>
      <c r="R252" s="40" t="s">
        <v>67</v>
      </c>
      <c r="S252" s="40" t="s">
        <v>67</v>
      </c>
      <c r="T252" s="40" t="s">
        <v>67</v>
      </c>
      <c r="U252" s="40" t="s">
        <v>67</v>
      </c>
      <c r="V252" s="40" t="s">
        <v>67</v>
      </c>
      <c r="W252" s="40" t="s">
        <v>67</v>
      </c>
      <c r="X252" s="40" t="s">
        <v>67</v>
      </c>
      <c r="Y252" s="40" t="s">
        <v>67</v>
      </c>
      <c r="Z252" s="40" t="s">
        <v>67</v>
      </c>
      <c r="AA252" s="40" t="s">
        <v>67</v>
      </c>
      <c r="AB252" s="40" t="s">
        <v>67</v>
      </c>
      <c r="AC252" s="40" t="s">
        <v>67</v>
      </c>
      <c r="AD252" s="40" t="s">
        <v>67</v>
      </c>
      <c r="AE252" s="40" t="s">
        <v>67</v>
      </c>
      <c r="AF252" s="40" t="s">
        <v>67</v>
      </c>
      <c r="AG252" s="40" t="s">
        <v>67</v>
      </c>
      <c r="AH252" s="40" t="s">
        <v>67</v>
      </c>
      <c r="AI252" s="40" t="s">
        <v>67</v>
      </c>
      <c r="AJ252" s="40" t="s">
        <v>67</v>
      </c>
      <c r="AK252" s="40" t="s">
        <v>67</v>
      </c>
      <c r="AL252" s="40" t="s">
        <v>67</v>
      </c>
      <c r="AM252" s="40" t="s">
        <v>67</v>
      </c>
      <c r="AN252" s="40" t="s">
        <v>67</v>
      </c>
      <c r="AO252" s="40" t="s">
        <v>67</v>
      </c>
      <c r="AP252" s="40" t="s">
        <v>67</v>
      </c>
      <c r="AQ252" s="40" t="s">
        <v>67</v>
      </c>
    </row>
    <row r="253" ht="13.5" spans="1:43">
      <c r="A253" s="38"/>
      <c r="B253" s="39" t="s">
        <v>4587</v>
      </c>
      <c r="C253" s="40" t="s">
        <v>67</v>
      </c>
      <c r="D253" s="40" t="s">
        <v>67</v>
      </c>
      <c r="E253" s="40" t="s">
        <v>67</v>
      </c>
      <c r="F253" s="40" t="s">
        <v>67</v>
      </c>
      <c r="G253" s="40" t="s">
        <v>67</v>
      </c>
      <c r="H253" s="40" t="s">
        <v>67</v>
      </c>
      <c r="I253" s="40" t="s">
        <v>67</v>
      </c>
      <c r="J253" s="40" t="s">
        <v>67</v>
      </c>
      <c r="K253" s="40" t="s">
        <v>67</v>
      </c>
      <c r="L253" s="40" t="s">
        <v>67</v>
      </c>
      <c r="M253" s="40" t="s">
        <v>67</v>
      </c>
      <c r="N253" s="40" t="s">
        <v>67</v>
      </c>
      <c r="O253" s="40" t="s">
        <v>67</v>
      </c>
      <c r="P253" s="40" t="s">
        <v>67</v>
      </c>
      <c r="Q253" s="40" t="s">
        <v>67</v>
      </c>
      <c r="R253" s="40" t="s">
        <v>67</v>
      </c>
      <c r="S253" s="40" t="s">
        <v>67</v>
      </c>
      <c r="T253" s="40" t="s">
        <v>67</v>
      </c>
      <c r="U253" s="40" t="s">
        <v>67</v>
      </c>
      <c r="V253" s="40" t="s">
        <v>67</v>
      </c>
      <c r="W253" s="40" t="s">
        <v>67</v>
      </c>
      <c r="X253" s="40" t="s">
        <v>67</v>
      </c>
      <c r="Y253" s="40" t="s">
        <v>67</v>
      </c>
      <c r="Z253" s="40" t="s">
        <v>67</v>
      </c>
      <c r="AA253" s="40" t="s">
        <v>67</v>
      </c>
      <c r="AB253" s="40" t="s">
        <v>67</v>
      </c>
      <c r="AC253" s="40" t="s">
        <v>67</v>
      </c>
      <c r="AD253" s="40" t="s">
        <v>67</v>
      </c>
      <c r="AE253" s="40" t="s">
        <v>67</v>
      </c>
      <c r="AF253" s="40" t="s">
        <v>67</v>
      </c>
      <c r="AG253" s="40" t="s">
        <v>67</v>
      </c>
      <c r="AH253" s="40" t="s">
        <v>67</v>
      </c>
      <c r="AI253" s="40" t="s">
        <v>67</v>
      </c>
      <c r="AJ253" s="40" t="s">
        <v>67</v>
      </c>
      <c r="AK253" s="40" t="s">
        <v>67</v>
      </c>
      <c r="AL253" s="40" t="s">
        <v>67</v>
      </c>
      <c r="AM253" s="40" t="s">
        <v>67</v>
      </c>
      <c r="AN253" s="40" t="s">
        <v>67</v>
      </c>
      <c r="AO253" s="40" t="s">
        <v>67</v>
      </c>
      <c r="AP253" s="40" t="s">
        <v>67</v>
      </c>
      <c r="AQ253" s="40" t="s">
        <v>67</v>
      </c>
    </row>
    <row r="254" ht="13.5" spans="1:43">
      <c r="A254" s="38"/>
      <c r="B254" s="39" t="s">
        <v>4588</v>
      </c>
      <c r="C254" s="40" t="s">
        <v>67</v>
      </c>
      <c r="D254" s="40" t="s">
        <v>67</v>
      </c>
      <c r="E254" s="40" t="s">
        <v>67</v>
      </c>
      <c r="F254" s="40" t="s">
        <v>67</v>
      </c>
      <c r="G254" s="40" t="s">
        <v>67</v>
      </c>
      <c r="H254" s="40" t="s">
        <v>67</v>
      </c>
      <c r="I254" s="40" t="s">
        <v>67</v>
      </c>
      <c r="J254" s="40" t="s">
        <v>67</v>
      </c>
      <c r="K254" s="40" t="s">
        <v>67</v>
      </c>
      <c r="L254" s="40" t="s">
        <v>67</v>
      </c>
      <c r="M254" s="40" t="s">
        <v>67</v>
      </c>
      <c r="N254" s="40" t="s">
        <v>67</v>
      </c>
      <c r="O254" s="40" t="s">
        <v>67</v>
      </c>
      <c r="P254" s="40" t="s">
        <v>67</v>
      </c>
      <c r="Q254" s="40" t="s">
        <v>67</v>
      </c>
      <c r="R254" s="40" t="s">
        <v>67</v>
      </c>
      <c r="S254" s="40" t="s">
        <v>67</v>
      </c>
      <c r="T254" s="40" t="s">
        <v>67</v>
      </c>
      <c r="U254" s="40" t="s">
        <v>67</v>
      </c>
      <c r="V254" s="40" t="s">
        <v>67</v>
      </c>
      <c r="W254" s="40" t="s">
        <v>67</v>
      </c>
      <c r="X254" s="40" t="s">
        <v>67</v>
      </c>
      <c r="Y254" s="40" t="s">
        <v>67</v>
      </c>
      <c r="Z254" s="40" t="s">
        <v>67</v>
      </c>
      <c r="AA254" s="40" t="s">
        <v>67</v>
      </c>
      <c r="AB254" s="40" t="s">
        <v>67</v>
      </c>
      <c r="AC254" s="40" t="s">
        <v>67</v>
      </c>
      <c r="AD254" s="40" t="s">
        <v>67</v>
      </c>
      <c r="AE254" s="40" t="s">
        <v>67</v>
      </c>
      <c r="AF254" s="40" t="s">
        <v>67</v>
      </c>
      <c r="AG254" s="40" t="s">
        <v>67</v>
      </c>
      <c r="AH254" s="40" t="s">
        <v>67</v>
      </c>
      <c r="AI254" s="40" t="s">
        <v>67</v>
      </c>
      <c r="AJ254" s="40" t="s">
        <v>67</v>
      </c>
      <c r="AK254" s="40" t="s">
        <v>67</v>
      </c>
      <c r="AL254" s="40" t="s">
        <v>67</v>
      </c>
      <c r="AM254" s="40" t="s">
        <v>67</v>
      </c>
      <c r="AN254" s="40" t="s">
        <v>67</v>
      </c>
      <c r="AO254" s="40" t="s">
        <v>67</v>
      </c>
      <c r="AP254" s="40" t="s">
        <v>67</v>
      </c>
      <c r="AQ254" s="40" t="s">
        <v>67</v>
      </c>
    </row>
    <row r="255" ht="13.5" spans="1:43">
      <c r="A255" s="38"/>
      <c r="B255" s="39" t="s">
        <v>4589</v>
      </c>
      <c r="C255" s="40" t="s">
        <v>67</v>
      </c>
      <c r="D255" s="40" t="s">
        <v>67</v>
      </c>
      <c r="E255" s="40" t="s">
        <v>67</v>
      </c>
      <c r="F255" s="40" t="s">
        <v>67</v>
      </c>
      <c r="G255" s="40" t="s">
        <v>67</v>
      </c>
      <c r="H255" s="40" t="s">
        <v>67</v>
      </c>
      <c r="I255" s="40" t="s">
        <v>67</v>
      </c>
      <c r="J255" s="40" t="s">
        <v>67</v>
      </c>
      <c r="K255" s="40" t="s">
        <v>67</v>
      </c>
      <c r="L255" s="40" t="s">
        <v>67</v>
      </c>
      <c r="M255" s="40" t="s">
        <v>67</v>
      </c>
      <c r="N255" s="40" t="s">
        <v>67</v>
      </c>
      <c r="O255" s="40" t="s">
        <v>67</v>
      </c>
      <c r="P255" s="40" t="s">
        <v>67</v>
      </c>
      <c r="Q255" s="40" t="s">
        <v>67</v>
      </c>
      <c r="R255" s="40" t="s">
        <v>67</v>
      </c>
      <c r="S255" s="40" t="s">
        <v>67</v>
      </c>
      <c r="T255" s="40" t="s">
        <v>67</v>
      </c>
      <c r="U255" s="40" t="s">
        <v>67</v>
      </c>
      <c r="V255" s="40" t="s">
        <v>67</v>
      </c>
      <c r="W255" s="40" t="s">
        <v>67</v>
      </c>
      <c r="X255" s="40" t="s">
        <v>67</v>
      </c>
      <c r="Y255" s="40" t="s">
        <v>67</v>
      </c>
      <c r="Z255" s="40" t="s">
        <v>67</v>
      </c>
      <c r="AA255" s="40" t="s">
        <v>67</v>
      </c>
      <c r="AB255" s="40" t="s">
        <v>67</v>
      </c>
      <c r="AC255" s="40" t="s">
        <v>67</v>
      </c>
      <c r="AD255" s="40" t="s">
        <v>67</v>
      </c>
      <c r="AE255" s="40" t="s">
        <v>67</v>
      </c>
      <c r="AF255" s="40" t="s">
        <v>67</v>
      </c>
      <c r="AG255" s="40" t="s">
        <v>67</v>
      </c>
      <c r="AH255" s="40" t="s">
        <v>67</v>
      </c>
      <c r="AI255" s="40" t="s">
        <v>67</v>
      </c>
      <c r="AJ255" s="40" t="s">
        <v>67</v>
      </c>
      <c r="AK255" s="40" t="s">
        <v>67</v>
      </c>
      <c r="AL255" s="40" t="s">
        <v>67</v>
      </c>
      <c r="AM255" s="40" t="s">
        <v>67</v>
      </c>
      <c r="AN255" s="40" t="s">
        <v>67</v>
      </c>
      <c r="AO255" s="40" t="s">
        <v>67</v>
      </c>
      <c r="AP255" s="40" t="s">
        <v>67</v>
      </c>
      <c r="AQ255" s="40" t="s">
        <v>67</v>
      </c>
    </row>
    <row r="256" ht="13.5" spans="1:43">
      <c r="A256" s="38"/>
      <c r="B256" s="39" t="s">
        <v>4590</v>
      </c>
      <c r="C256" s="40" t="s">
        <v>67</v>
      </c>
      <c r="D256" s="40" t="s">
        <v>67</v>
      </c>
      <c r="E256" s="40" t="s">
        <v>67</v>
      </c>
      <c r="F256" s="40" t="s">
        <v>67</v>
      </c>
      <c r="G256" s="40" t="s">
        <v>67</v>
      </c>
      <c r="H256" s="40" t="s">
        <v>67</v>
      </c>
      <c r="I256" s="40" t="s">
        <v>67</v>
      </c>
      <c r="J256" s="40" t="s">
        <v>67</v>
      </c>
      <c r="K256" s="40" t="s">
        <v>67</v>
      </c>
      <c r="L256" s="40" t="s">
        <v>67</v>
      </c>
      <c r="M256" s="40" t="s">
        <v>67</v>
      </c>
      <c r="N256" s="40" t="s">
        <v>67</v>
      </c>
      <c r="O256" s="40" t="s">
        <v>67</v>
      </c>
      <c r="P256" s="40" t="s">
        <v>67</v>
      </c>
      <c r="Q256" s="40" t="s">
        <v>67</v>
      </c>
      <c r="R256" s="40" t="s">
        <v>67</v>
      </c>
      <c r="S256" s="40" t="s">
        <v>67</v>
      </c>
      <c r="T256" s="40" t="s">
        <v>67</v>
      </c>
      <c r="U256" s="40" t="s">
        <v>67</v>
      </c>
      <c r="V256" s="40" t="s">
        <v>67</v>
      </c>
      <c r="W256" s="40" t="s">
        <v>67</v>
      </c>
      <c r="X256" s="40" t="s">
        <v>67</v>
      </c>
      <c r="Y256" s="40" t="s">
        <v>67</v>
      </c>
      <c r="Z256" s="40" t="s">
        <v>67</v>
      </c>
      <c r="AA256" s="40" t="s">
        <v>67</v>
      </c>
      <c r="AB256" s="40" t="s">
        <v>67</v>
      </c>
      <c r="AC256" s="40" t="s">
        <v>67</v>
      </c>
      <c r="AD256" s="40" t="s">
        <v>67</v>
      </c>
      <c r="AE256" s="40" t="s">
        <v>67</v>
      </c>
      <c r="AF256" s="40" t="s">
        <v>67</v>
      </c>
      <c r="AG256" s="40" t="s">
        <v>67</v>
      </c>
      <c r="AH256" s="40" t="s">
        <v>67</v>
      </c>
      <c r="AI256" s="40" t="s">
        <v>67</v>
      </c>
      <c r="AJ256" s="40" t="s">
        <v>67</v>
      </c>
      <c r="AK256" s="40" t="s">
        <v>67</v>
      </c>
      <c r="AL256" s="40" t="s">
        <v>67</v>
      </c>
      <c r="AM256" s="40" t="s">
        <v>67</v>
      </c>
      <c r="AN256" s="40" t="s">
        <v>67</v>
      </c>
      <c r="AO256" s="40" t="s">
        <v>67</v>
      </c>
      <c r="AP256" s="40" t="s">
        <v>67</v>
      </c>
      <c r="AQ256" s="40" t="s">
        <v>67</v>
      </c>
    </row>
    <row r="257" ht="13.5" spans="1:43">
      <c r="A257" s="38"/>
      <c r="B257" s="39" t="s">
        <v>4591</v>
      </c>
      <c r="C257" s="40" t="s">
        <v>67</v>
      </c>
      <c r="D257" s="40" t="s">
        <v>67</v>
      </c>
      <c r="E257" s="40" t="s">
        <v>67</v>
      </c>
      <c r="F257" s="40" t="s">
        <v>67</v>
      </c>
      <c r="G257" s="40" t="s">
        <v>67</v>
      </c>
      <c r="H257" s="40" t="s">
        <v>67</v>
      </c>
      <c r="I257" s="40" t="s">
        <v>67</v>
      </c>
      <c r="J257" s="40" t="s">
        <v>67</v>
      </c>
      <c r="K257" s="40" t="s">
        <v>67</v>
      </c>
      <c r="L257" s="40" t="s">
        <v>67</v>
      </c>
      <c r="M257" s="40" t="s">
        <v>67</v>
      </c>
      <c r="N257" s="40" t="s">
        <v>67</v>
      </c>
      <c r="O257" s="40" t="s">
        <v>67</v>
      </c>
      <c r="P257" s="40" t="s">
        <v>67</v>
      </c>
      <c r="Q257" s="40" t="s">
        <v>67</v>
      </c>
      <c r="R257" s="40" t="s">
        <v>67</v>
      </c>
      <c r="S257" s="40" t="s">
        <v>67</v>
      </c>
      <c r="T257" s="40" t="s">
        <v>67</v>
      </c>
      <c r="U257" s="40" t="s">
        <v>67</v>
      </c>
      <c r="V257" s="40" t="s">
        <v>67</v>
      </c>
      <c r="W257" s="40" t="s">
        <v>67</v>
      </c>
      <c r="X257" s="40" t="s">
        <v>67</v>
      </c>
      <c r="Y257" s="40" t="s">
        <v>67</v>
      </c>
      <c r="Z257" s="40" t="s">
        <v>67</v>
      </c>
      <c r="AA257" s="40" t="s">
        <v>67</v>
      </c>
      <c r="AB257" s="40" t="s">
        <v>67</v>
      </c>
      <c r="AC257" s="40" t="s">
        <v>67</v>
      </c>
      <c r="AD257" s="40" t="s">
        <v>67</v>
      </c>
      <c r="AE257" s="40" t="s">
        <v>67</v>
      </c>
      <c r="AF257" s="40" t="s">
        <v>67</v>
      </c>
      <c r="AG257" s="40" t="s">
        <v>67</v>
      </c>
      <c r="AH257" s="40" t="s">
        <v>67</v>
      </c>
      <c r="AI257" s="40" t="s">
        <v>67</v>
      </c>
      <c r="AJ257" s="40" t="s">
        <v>67</v>
      </c>
      <c r="AK257" s="40" t="s">
        <v>67</v>
      </c>
      <c r="AL257" s="40" t="s">
        <v>67</v>
      </c>
      <c r="AM257" s="40" t="s">
        <v>67</v>
      </c>
      <c r="AN257" s="40" t="s">
        <v>67</v>
      </c>
      <c r="AO257" s="40" t="s">
        <v>67</v>
      </c>
      <c r="AP257" s="40" t="s">
        <v>67</v>
      </c>
      <c r="AQ257" s="40" t="s">
        <v>67</v>
      </c>
    </row>
    <row r="258" ht="13.5" spans="1:43">
      <c r="A258" s="38"/>
      <c r="B258" s="39" t="s">
        <v>4592</v>
      </c>
      <c r="C258" s="40" t="s">
        <v>67</v>
      </c>
      <c r="D258" s="40" t="s">
        <v>67</v>
      </c>
      <c r="E258" s="40" t="s">
        <v>67</v>
      </c>
      <c r="F258" s="40" t="s">
        <v>67</v>
      </c>
      <c r="G258" s="40" t="s">
        <v>67</v>
      </c>
      <c r="H258" s="40" t="s">
        <v>67</v>
      </c>
      <c r="I258" s="40" t="s">
        <v>67</v>
      </c>
      <c r="J258" s="40" t="s">
        <v>67</v>
      </c>
      <c r="K258" s="40" t="s">
        <v>67</v>
      </c>
      <c r="L258" s="40" t="s">
        <v>67</v>
      </c>
      <c r="M258" s="40" t="s">
        <v>67</v>
      </c>
      <c r="N258" s="40" t="s">
        <v>67</v>
      </c>
      <c r="O258" s="40" t="s">
        <v>67</v>
      </c>
      <c r="P258" s="40" t="s">
        <v>67</v>
      </c>
      <c r="Q258" s="40" t="s">
        <v>67</v>
      </c>
      <c r="R258" s="40" t="s">
        <v>67</v>
      </c>
      <c r="S258" s="40" t="s">
        <v>67</v>
      </c>
      <c r="T258" s="40" t="s">
        <v>67</v>
      </c>
      <c r="U258" s="40" t="s">
        <v>67</v>
      </c>
      <c r="V258" s="40" t="s">
        <v>67</v>
      </c>
      <c r="W258" s="40" t="s">
        <v>67</v>
      </c>
      <c r="X258" s="40" t="s">
        <v>67</v>
      </c>
      <c r="Y258" s="40" t="s">
        <v>67</v>
      </c>
      <c r="Z258" s="40" t="s">
        <v>67</v>
      </c>
      <c r="AA258" s="40" t="s">
        <v>67</v>
      </c>
      <c r="AB258" s="40" t="s">
        <v>67</v>
      </c>
      <c r="AC258" s="40" t="s">
        <v>67</v>
      </c>
      <c r="AD258" s="40" t="s">
        <v>67</v>
      </c>
      <c r="AE258" s="40" t="s">
        <v>67</v>
      </c>
      <c r="AF258" s="40" t="s">
        <v>67</v>
      </c>
      <c r="AG258" s="40" t="s">
        <v>67</v>
      </c>
      <c r="AH258" s="40" t="s">
        <v>67</v>
      </c>
      <c r="AI258" s="40" t="s">
        <v>67</v>
      </c>
      <c r="AJ258" s="40" t="s">
        <v>67</v>
      </c>
      <c r="AK258" s="40" t="s">
        <v>67</v>
      </c>
      <c r="AL258" s="40" t="s">
        <v>67</v>
      </c>
      <c r="AM258" s="40" t="s">
        <v>67</v>
      </c>
      <c r="AN258" s="40" t="s">
        <v>67</v>
      </c>
      <c r="AO258" s="40" t="s">
        <v>67</v>
      </c>
      <c r="AP258" s="40" t="s">
        <v>67</v>
      </c>
      <c r="AQ258" s="40" t="s">
        <v>67</v>
      </c>
    </row>
    <row r="259" ht="13.5" spans="1:43">
      <c r="A259" s="38"/>
      <c r="B259" s="39" t="s">
        <v>4593</v>
      </c>
      <c r="C259" s="40" t="s">
        <v>67</v>
      </c>
      <c r="D259" s="40" t="s">
        <v>67</v>
      </c>
      <c r="E259" s="40" t="s">
        <v>67</v>
      </c>
      <c r="F259" s="40" t="s">
        <v>67</v>
      </c>
      <c r="G259" s="40" t="s">
        <v>67</v>
      </c>
      <c r="H259" s="40" t="s">
        <v>67</v>
      </c>
      <c r="I259" s="40" t="s">
        <v>67</v>
      </c>
      <c r="J259" s="40" t="s">
        <v>67</v>
      </c>
      <c r="K259" s="40" t="s">
        <v>67</v>
      </c>
      <c r="L259" s="40" t="s">
        <v>67</v>
      </c>
      <c r="M259" s="40" t="s">
        <v>67</v>
      </c>
      <c r="N259" s="40" t="s">
        <v>67</v>
      </c>
      <c r="O259" s="40" t="s">
        <v>67</v>
      </c>
      <c r="P259" s="40" t="s">
        <v>67</v>
      </c>
      <c r="Q259" s="40" t="s">
        <v>67</v>
      </c>
      <c r="R259" s="40" t="s">
        <v>67</v>
      </c>
      <c r="S259" s="40" t="s">
        <v>67</v>
      </c>
      <c r="T259" s="40" t="s">
        <v>67</v>
      </c>
      <c r="U259" s="40" t="s">
        <v>67</v>
      </c>
      <c r="V259" s="40" t="s">
        <v>67</v>
      </c>
      <c r="W259" s="40" t="s">
        <v>67</v>
      </c>
      <c r="X259" s="40" t="s">
        <v>67</v>
      </c>
      <c r="Y259" s="40" t="s">
        <v>67</v>
      </c>
      <c r="Z259" s="40" t="s">
        <v>67</v>
      </c>
      <c r="AA259" s="40" t="s">
        <v>67</v>
      </c>
      <c r="AB259" s="40" t="s">
        <v>67</v>
      </c>
      <c r="AC259" s="40" t="s">
        <v>67</v>
      </c>
      <c r="AD259" s="40" t="s">
        <v>67</v>
      </c>
      <c r="AE259" s="40" t="s">
        <v>67</v>
      </c>
      <c r="AF259" s="40" t="s">
        <v>67</v>
      </c>
      <c r="AG259" s="40" t="s">
        <v>67</v>
      </c>
      <c r="AH259" s="40" t="s">
        <v>67</v>
      </c>
      <c r="AI259" s="40" t="s">
        <v>67</v>
      </c>
      <c r="AJ259" s="40" t="s">
        <v>67</v>
      </c>
      <c r="AK259" s="40" t="s">
        <v>67</v>
      </c>
      <c r="AL259" s="40" t="s">
        <v>67</v>
      </c>
      <c r="AM259" s="40" t="s">
        <v>67</v>
      </c>
      <c r="AN259" s="40" t="s">
        <v>67</v>
      </c>
      <c r="AO259" s="40" t="s">
        <v>67</v>
      </c>
      <c r="AP259" s="40" t="s">
        <v>67</v>
      </c>
      <c r="AQ259" s="40" t="s">
        <v>67</v>
      </c>
    </row>
    <row r="260" ht="13.5" spans="1:43">
      <c r="A260" s="38"/>
      <c r="B260" s="39" t="s">
        <v>4594</v>
      </c>
      <c r="C260" s="40" t="s">
        <v>67</v>
      </c>
      <c r="D260" s="40" t="s">
        <v>67</v>
      </c>
      <c r="E260" s="40" t="s">
        <v>67</v>
      </c>
      <c r="F260" s="40" t="s">
        <v>67</v>
      </c>
      <c r="G260" s="40" t="s">
        <v>67</v>
      </c>
      <c r="H260" s="40" t="s">
        <v>67</v>
      </c>
      <c r="I260" s="40" t="s">
        <v>67</v>
      </c>
      <c r="J260" s="40" t="s">
        <v>67</v>
      </c>
      <c r="K260" s="40" t="s">
        <v>67</v>
      </c>
      <c r="L260" s="40" t="s">
        <v>67</v>
      </c>
      <c r="M260" s="40" t="s">
        <v>67</v>
      </c>
      <c r="N260" s="40" t="s">
        <v>67</v>
      </c>
      <c r="O260" s="40" t="s">
        <v>67</v>
      </c>
      <c r="P260" s="40" t="s">
        <v>67</v>
      </c>
      <c r="Q260" s="40" t="s">
        <v>67</v>
      </c>
      <c r="R260" s="40" t="s">
        <v>67</v>
      </c>
      <c r="S260" s="40" t="s">
        <v>67</v>
      </c>
      <c r="T260" s="40" t="s">
        <v>67</v>
      </c>
      <c r="U260" s="40" t="s">
        <v>67</v>
      </c>
      <c r="V260" s="40" t="s">
        <v>67</v>
      </c>
      <c r="W260" s="40" t="s">
        <v>67</v>
      </c>
      <c r="X260" s="40" t="s">
        <v>67</v>
      </c>
      <c r="Y260" s="40" t="s">
        <v>67</v>
      </c>
      <c r="Z260" s="40" t="s">
        <v>67</v>
      </c>
      <c r="AA260" s="40" t="s">
        <v>67</v>
      </c>
      <c r="AB260" s="40" t="s">
        <v>67</v>
      </c>
      <c r="AC260" s="40" t="s">
        <v>67</v>
      </c>
      <c r="AD260" s="40" t="s">
        <v>67</v>
      </c>
      <c r="AE260" s="40" t="s">
        <v>67</v>
      </c>
      <c r="AF260" s="40" t="s">
        <v>67</v>
      </c>
      <c r="AG260" s="40" t="s">
        <v>67</v>
      </c>
      <c r="AH260" s="40" t="s">
        <v>67</v>
      </c>
      <c r="AI260" s="40" t="s">
        <v>67</v>
      </c>
      <c r="AJ260" s="40" t="s">
        <v>67</v>
      </c>
      <c r="AK260" s="40" t="s">
        <v>67</v>
      </c>
      <c r="AL260" s="40" t="s">
        <v>67</v>
      </c>
      <c r="AM260" s="40" t="s">
        <v>67</v>
      </c>
      <c r="AN260" s="40" t="s">
        <v>67</v>
      </c>
      <c r="AO260" s="40" t="s">
        <v>67</v>
      </c>
      <c r="AP260" s="40" t="s">
        <v>67</v>
      </c>
      <c r="AQ260" s="40" t="s">
        <v>67</v>
      </c>
    </row>
    <row r="261" ht="13.5" spans="1:43">
      <c r="A261" s="38"/>
      <c r="B261" s="39" t="s">
        <v>4595</v>
      </c>
      <c r="C261" s="40" t="s">
        <v>67</v>
      </c>
      <c r="D261" s="40" t="s">
        <v>67</v>
      </c>
      <c r="E261" s="40" t="s">
        <v>67</v>
      </c>
      <c r="F261" s="40" t="s">
        <v>67</v>
      </c>
      <c r="G261" s="40" t="s">
        <v>67</v>
      </c>
      <c r="H261" s="40" t="s">
        <v>67</v>
      </c>
      <c r="I261" s="40" t="s">
        <v>67</v>
      </c>
      <c r="J261" s="40" t="s">
        <v>67</v>
      </c>
      <c r="K261" s="40" t="s">
        <v>67</v>
      </c>
      <c r="L261" s="40" t="s">
        <v>67</v>
      </c>
      <c r="M261" s="40" t="s">
        <v>67</v>
      </c>
      <c r="N261" s="40" t="s">
        <v>67</v>
      </c>
      <c r="O261" s="40" t="s">
        <v>67</v>
      </c>
      <c r="P261" s="40" t="s">
        <v>67</v>
      </c>
      <c r="Q261" s="40" t="s">
        <v>67</v>
      </c>
      <c r="R261" s="40" t="s">
        <v>67</v>
      </c>
      <c r="S261" s="40" t="s">
        <v>67</v>
      </c>
      <c r="T261" s="40" t="s">
        <v>67</v>
      </c>
      <c r="U261" s="40" t="s">
        <v>67</v>
      </c>
      <c r="V261" s="40" t="s">
        <v>67</v>
      </c>
      <c r="W261" s="40" t="s">
        <v>67</v>
      </c>
      <c r="X261" s="40" t="s">
        <v>67</v>
      </c>
      <c r="Y261" s="40" t="s">
        <v>67</v>
      </c>
      <c r="Z261" s="40" t="s">
        <v>67</v>
      </c>
      <c r="AA261" s="40" t="s">
        <v>67</v>
      </c>
      <c r="AB261" s="40" t="s">
        <v>67</v>
      </c>
      <c r="AC261" s="40" t="s">
        <v>67</v>
      </c>
      <c r="AD261" s="40" t="s">
        <v>67</v>
      </c>
      <c r="AE261" s="40" t="s">
        <v>67</v>
      </c>
      <c r="AF261" s="40" t="s">
        <v>67</v>
      </c>
      <c r="AG261" s="40" t="s">
        <v>67</v>
      </c>
      <c r="AH261" s="40" t="s">
        <v>67</v>
      </c>
      <c r="AI261" s="40" t="s">
        <v>67</v>
      </c>
      <c r="AJ261" s="40" t="s">
        <v>67</v>
      </c>
      <c r="AK261" s="40" t="s">
        <v>67</v>
      </c>
      <c r="AL261" s="40" t="s">
        <v>67</v>
      </c>
      <c r="AM261" s="40" t="s">
        <v>67</v>
      </c>
      <c r="AN261" s="40" t="s">
        <v>67</v>
      </c>
      <c r="AO261" s="40" t="s">
        <v>67</v>
      </c>
      <c r="AP261" s="40" t="s">
        <v>67</v>
      </c>
      <c r="AQ261" s="40" t="s">
        <v>67</v>
      </c>
    </row>
    <row r="262" ht="13.5" spans="1:43">
      <c r="A262" s="38"/>
      <c r="B262" s="39" t="s">
        <v>4596</v>
      </c>
      <c r="C262" s="40" t="s">
        <v>67</v>
      </c>
      <c r="D262" s="40" t="s">
        <v>67</v>
      </c>
      <c r="E262" s="40" t="s">
        <v>67</v>
      </c>
      <c r="F262" s="40" t="s">
        <v>67</v>
      </c>
      <c r="G262" s="40" t="s">
        <v>67</v>
      </c>
      <c r="H262" s="40" t="s">
        <v>67</v>
      </c>
      <c r="I262" s="40" t="s">
        <v>67</v>
      </c>
      <c r="J262" s="40" t="s">
        <v>67</v>
      </c>
      <c r="K262" s="40" t="s">
        <v>67</v>
      </c>
      <c r="L262" s="40" t="s">
        <v>67</v>
      </c>
      <c r="M262" s="40" t="s">
        <v>67</v>
      </c>
      <c r="N262" s="40" t="s">
        <v>67</v>
      </c>
      <c r="O262" s="40" t="s">
        <v>67</v>
      </c>
      <c r="P262" s="40" t="s">
        <v>67</v>
      </c>
      <c r="Q262" s="40" t="s">
        <v>67</v>
      </c>
      <c r="R262" s="40" t="s">
        <v>67</v>
      </c>
      <c r="S262" s="40" t="s">
        <v>67</v>
      </c>
      <c r="T262" s="40" t="s">
        <v>67</v>
      </c>
      <c r="U262" s="40" t="s">
        <v>67</v>
      </c>
      <c r="V262" s="40" t="s">
        <v>67</v>
      </c>
      <c r="W262" s="40" t="s">
        <v>67</v>
      </c>
      <c r="X262" s="40" t="s">
        <v>67</v>
      </c>
      <c r="Y262" s="40" t="s">
        <v>67</v>
      </c>
      <c r="Z262" s="40" t="s">
        <v>67</v>
      </c>
      <c r="AA262" s="40" t="s">
        <v>67</v>
      </c>
      <c r="AB262" s="40" t="s">
        <v>67</v>
      </c>
      <c r="AC262" s="40" t="s">
        <v>67</v>
      </c>
      <c r="AD262" s="40" t="s">
        <v>67</v>
      </c>
      <c r="AE262" s="40" t="s">
        <v>67</v>
      </c>
      <c r="AF262" s="40" t="s">
        <v>67</v>
      </c>
      <c r="AG262" s="40" t="s">
        <v>67</v>
      </c>
      <c r="AH262" s="40" t="s">
        <v>67</v>
      </c>
      <c r="AI262" s="40" t="s">
        <v>67</v>
      </c>
      <c r="AJ262" s="40" t="s">
        <v>67</v>
      </c>
      <c r="AK262" s="40" t="s">
        <v>67</v>
      </c>
      <c r="AL262" s="40" t="s">
        <v>67</v>
      </c>
      <c r="AM262" s="40" t="s">
        <v>67</v>
      </c>
      <c r="AN262" s="40" t="s">
        <v>67</v>
      </c>
      <c r="AO262" s="40" t="s">
        <v>67</v>
      </c>
      <c r="AP262" s="40" t="s">
        <v>67</v>
      </c>
      <c r="AQ262" s="40" t="s">
        <v>67</v>
      </c>
    </row>
    <row r="263" ht="13.5" spans="1:43">
      <c r="A263" s="38"/>
      <c r="B263" s="39" t="s">
        <v>4597</v>
      </c>
      <c r="C263" s="40" t="s">
        <v>67</v>
      </c>
      <c r="D263" s="40" t="s">
        <v>67</v>
      </c>
      <c r="E263" s="40" t="s">
        <v>67</v>
      </c>
      <c r="F263" s="40" t="s">
        <v>67</v>
      </c>
      <c r="G263" s="40" t="s">
        <v>67</v>
      </c>
      <c r="H263" s="40" t="s">
        <v>67</v>
      </c>
      <c r="I263" s="40" t="s">
        <v>67</v>
      </c>
      <c r="J263" s="40" t="s">
        <v>67</v>
      </c>
      <c r="K263" s="40" t="s">
        <v>67</v>
      </c>
      <c r="L263" s="40" t="s">
        <v>67</v>
      </c>
      <c r="M263" s="40" t="s">
        <v>67</v>
      </c>
      <c r="N263" s="40" t="s">
        <v>67</v>
      </c>
      <c r="O263" s="40" t="s">
        <v>67</v>
      </c>
      <c r="P263" s="40" t="s">
        <v>67</v>
      </c>
      <c r="Q263" s="40" t="s">
        <v>67</v>
      </c>
      <c r="R263" s="40" t="s">
        <v>67</v>
      </c>
      <c r="S263" s="40" t="s">
        <v>67</v>
      </c>
      <c r="T263" s="40" t="s">
        <v>67</v>
      </c>
      <c r="U263" s="40" t="s">
        <v>67</v>
      </c>
      <c r="V263" s="40" t="s">
        <v>67</v>
      </c>
      <c r="W263" s="40" t="s">
        <v>67</v>
      </c>
      <c r="X263" s="40" t="s">
        <v>67</v>
      </c>
      <c r="Y263" s="40" t="s">
        <v>67</v>
      </c>
      <c r="Z263" s="40" t="s">
        <v>67</v>
      </c>
      <c r="AA263" s="40" t="s">
        <v>67</v>
      </c>
      <c r="AB263" s="40" t="s">
        <v>67</v>
      </c>
      <c r="AC263" s="40" t="s">
        <v>67</v>
      </c>
      <c r="AD263" s="40" t="s">
        <v>67</v>
      </c>
      <c r="AE263" s="40" t="s">
        <v>67</v>
      </c>
      <c r="AF263" s="40" t="s">
        <v>67</v>
      </c>
      <c r="AG263" s="40" t="s">
        <v>67</v>
      </c>
      <c r="AH263" s="40" t="s">
        <v>67</v>
      </c>
      <c r="AI263" s="40" t="s">
        <v>67</v>
      </c>
      <c r="AJ263" s="40" t="s">
        <v>67</v>
      </c>
      <c r="AK263" s="40" t="s">
        <v>67</v>
      </c>
      <c r="AL263" s="40" t="s">
        <v>67</v>
      </c>
      <c r="AM263" s="40" t="s">
        <v>67</v>
      </c>
      <c r="AN263" s="40" t="s">
        <v>67</v>
      </c>
      <c r="AO263" s="40" t="s">
        <v>67</v>
      </c>
      <c r="AP263" s="40" t="s">
        <v>67</v>
      </c>
      <c r="AQ263" s="40" t="s">
        <v>67</v>
      </c>
    </row>
    <row r="264" ht="13.5" spans="1:43">
      <c r="A264" s="38"/>
      <c r="B264" s="39" t="s">
        <v>4598</v>
      </c>
      <c r="C264" s="40" t="s">
        <v>67</v>
      </c>
      <c r="D264" s="40" t="s">
        <v>67</v>
      </c>
      <c r="E264" s="40" t="s">
        <v>67</v>
      </c>
      <c r="F264" s="40" t="s">
        <v>67</v>
      </c>
      <c r="G264" s="40" t="s">
        <v>67</v>
      </c>
      <c r="H264" s="40" t="s">
        <v>67</v>
      </c>
      <c r="I264" s="40" t="s">
        <v>67</v>
      </c>
      <c r="J264" s="40" t="s">
        <v>67</v>
      </c>
      <c r="K264" s="40" t="s">
        <v>67</v>
      </c>
      <c r="L264" s="40" t="s">
        <v>67</v>
      </c>
      <c r="M264" s="40" t="s">
        <v>67</v>
      </c>
      <c r="N264" s="40" t="s">
        <v>67</v>
      </c>
      <c r="O264" s="40" t="s">
        <v>67</v>
      </c>
      <c r="P264" s="40" t="s">
        <v>67</v>
      </c>
      <c r="Q264" s="40" t="s">
        <v>67</v>
      </c>
      <c r="R264" s="40" t="s">
        <v>67</v>
      </c>
      <c r="S264" s="40" t="s">
        <v>67</v>
      </c>
      <c r="T264" s="40" t="s">
        <v>67</v>
      </c>
      <c r="U264" s="40" t="s">
        <v>67</v>
      </c>
      <c r="V264" s="40" t="s">
        <v>67</v>
      </c>
      <c r="W264" s="40" t="s">
        <v>67</v>
      </c>
      <c r="X264" s="40" t="s">
        <v>67</v>
      </c>
      <c r="Y264" s="40" t="s">
        <v>67</v>
      </c>
      <c r="Z264" s="40" t="s">
        <v>67</v>
      </c>
      <c r="AA264" s="40" t="s">
        <v>67</v>
      </c>
      <c r="AB264" s="40" t="s">
        <v>67</v>
      </c>
      <c r="AC264" s="40" t="s">
        <v>67</v>
      </c>
      <c r="AD264" s="40" t="s">
        <v>67</v>
      </c>
      <c r="AE264" s="40" t="s">
        <v>67</v>
      </c>
      <c r="AF264" s="40" t="s">
        <v>67</v>
      </c>
      <c r="AG264" s="40" t="s">
        <v>67</v>
      </c>
      <c r="AH264" s="40" t="s">
        <v>67</v>
      </c>
      <c r="AI264" s="40" t="s">
        <v>67</v>
      </c>
      <c r="AJ264" s="40" t="s">
        <v>67</v>
      </c>
      <c r="AK264" s="40" t="s">
        <v>67</v>
      </c>
      <c r="AL264" s="40" t="s">
        <v>67</v>
      </c>
      <c r="AM264" s="40" t="s">
        <v>67</v>
      </c>
      <c r="AN264" s="40" t="s">
        <v>67</v>
      </c>
      <c r="AO264" s="40" t="s">
        <v>67</v>
      </c>
      <c r="AP264" s="40" t="s">
        <v>67</v>
      </c>
      <c r="AQ264" s="40" t="s">
        <v>67</v>
      </c>
    </row>
    <row r="265" ht="13.5" spans="1:43">
      <c r="A265" s="38"/>
      <c r="B265" s="39" t="s">
        <v>4599</v>
      </c>
      <c r="C265" s="40" t="s">
        <v>67</v>
      </c>
      <c r="D265" s="40" t="s">
        <v>67</v>
      </c>
      <c r="E265" s="40" t="s">
        <v>67</v>
      </c>
      <c r="F265" s="40" t="s">
        <v>67</v>
      </c>
      <c r="G265" s="40" t="s">
        <v>67</v>
      </c>
      <c r="H265" s="40" t="s">
        <v>67</v>
      </c>
      <c r="I265" s="40" t="s">
        <v>67</v>
      </c>
      <c r="J265" s="40" t="s">
        <v>67</v>
      </c>
      <c r="K265" s="40" t="s">
        <v>67</v>
      </c>
      <c r="L265" s="40" t="s">
        <v>67</v>
      </c>
      <c r="M265" s="40" t="s">
        <v>67</v>
      </c>
      <c r="N265" s="40" t="s">
        <v>67</v>
      </c>
      <c r="O265" s="40" t="s">
        <v>67</v>
      </c>
      <c r="P265" s="40" t="s">
        <v>67</v>
      </c>
      <c r="Q265" s="40" t="s">
        <v>67</v>
      </c>
      <c r="R265" s="40" t="s">
        <v>67</v>
      </c>
      <c r="S265" s="40" t="s">
        <v>67</v>
      </c>
      <c r="T265" s="40" t="s">
        <v>67</v>
      </c>
      <c r="U265" s="40" t="s">
        <v>67</v>
      </c>
      <c r="V265" s="40" t="s">
        <v>67</v>
      </c>
      <c r="W265" s="40" t="s">
        <v>67</v>
      </c>
      <c r="X265" s="40" t="s">
        <v>67</v>
      </c>
      <c r="Y265" s="40" t="s">
        <v>67</v>
      </c>
      <c r="Z265" s="40" t="s">
        <v>67</v>
      </c>
      <c r="AA265" s="40" t="s">
        <v>67</v>
      </c>
      <c r="AB265" s="40" t="s">
        <v>67</v>
      </c>
      <c r="AC265" s="40" t="s">
        <v>67</v>
      </c>
      <c r="AD265" s="40" t="s">
        <v>67</v>
      </c>
      <c r="AE265" s="40" t="s">
        <v>67</v>
      </c>
      <c r="AF265" s="40" t="s">
        <v>67</v>
      </c>
      <c r="AG265" s="40" t="s">
        <v>67</v>
      </c>
      <c r="AH265" s="40" t="s">
        <v>67</v>
      </c>
      <c r="AI265" s="40" t="s">
        <v>67</v>
      </c>
      <c r="AJ265" s="40" t="s">
        <v>67</v>
      </c>
      <c r="AK265" s="40" t="s">
        <v>67</v>
      </c>
      <c r="AL265" s="40" t="s">
        <v>67</v>
      </c>
      <c r="AM265" s="40" t="s">
        <v>67</v>
      </c>
      <c r="AN265" s="40" t="s">
        <v>67</v>
      </c>
      <c r="AO265" s="40" t="s">
        <v>67</v>
      </c>
      <c r="AP265" s="40" t="s">
        <v>67</v>
      </c>
      <c r="AQ265" s="40" t="s">
        <v>67</v>
      </c>
    </row>
    <row r="266" ht="13.5" spans="1:43">
      <c r="A266" s="38"/>
      <c r="B266" s="39" t="s">
        <v>4600</v>
      </c>
      <c r="C266" s="40" t="s">
        <v>67</v>
      </c>
      <c r="D266" s="40" t="s">
        <v>67</v>
      </c>
      <c r="E266" s="40" t="s">
        <v>67</v>
      </c>
      <c r="F266" s="40" t="s">
        <v>67</v>
      </c>
      <c r="G266" s="40" t="s">
        <v>67</v>
      </c>
      <c r="H266" s="40" t="s">
        <v>67</v>
      </c>
      <c r="I266" s="40" t="s">
        <v>67</v>
      </c>
      <c r="J266" s="40" t="s">
        <v>67</v>
      </c>
      <c r="K266" s="40" t="s">
        <v>67</v>
      </c>
      <c r="L266" s="40" t="s">
        <v>67</v>
      </c>
      <c r="M266" s="40" t="s">
        <v>67</v>
      </c>
      <c r="N266" s="40" t="s">
        <v>67</v>
      </c>
      <c r="O266" s="40" t="s">
        <v>67</v>
      </c>
      <c r="P266" s="40" t="s">
        <v>67</v>
      </c>
      <c r="Q266" s="40" t="s">
        <v>67</v>
      </c>
      <c r="R266" s="40" t="s">
        <v>67</v>
      </c>
      <c r="S266" s="40" t="s">
        <v>67</v>
      </c>
      <c r="T266" s="40" t="s">
        <v>67</v>
      </c>
      <c r="U266" s="40" t="s">
        <v>67</v>
      </c>
      <c r="V266" s="40" t="s">
        <v>67</v>
      </c>
      <c r="W266" s="40" t="s">
        <v>67</v>
      </c>
      <c r="X266" s="40" t="s">
        <v>67</v>
      </c>
      <c r="Y266" s="40" t="s">
        <v>67</v>
      </c>
      <c r="Z266" s="40" t="s">
        <v>67</v>
      </c>
      <c r="AA266" s="40" t="s">
        <v>67</v>
      </c>
      <c r="AB266" s="40" t="s">
        <v>67</v>
      </c>
      <c r="AC266" s="40" t="s">
        <v>67</v>
      </c>
      <c r="AD266" s="40" t="s">
        <v>67</v>
      </c>
      <c r="AE266" s="40" t="s">
        <v>67</v>
      </c>
      <c r="AF266" s="40" t="s">
        <v>67</v>
      </c>
      <c r="AG266" s="40" t="s">
        <v>67</v>
      </c>
      <c r="AH266" s="40" t="s">
        <v>67</v>
      </c>
      <c r="AI266" s="40" t="s">
        <v>67</v>
      </c>
      <c r="AJ266" s="40" t="s">
        <v>67</v>
      </c>
      <c r="AK266" s="40" t="s">
        <v>67</v>
      </c>
      <c r="AL266" s="40" t="s">
        <v>67</v>
      </c>
      <c r="AM266" s="40" t="s">
        <v>67</v>
      </c>
      <c r="AN266" s="40" t="s">
        <v>67</v>
      </c>
      <c r="AO266" s="40" t="s">
        <v>67</v>
      </c>
      <c r="AP266" s="40" t="s">
        <v>67</v>
      </c>
      <c r="AQ266" s="40" t="s">
        <v>67</v>
      </c>
    </row>
    <row r="267" ht="13.5" spans="1:43">
      <c r="A267" s="38"/>
      <c r="B267" s="39" t="s">
        <v>4601</v>
      </c>
      <c r="C267" s="40" t="s">
        <v>67</v>
      </c>
      <c r="D267" s="40" t="s">
        <v>67</v>
      </c>
      <c r="E267" s="40" t="s">
        <v>67</v>
      </c>
      <c r="F267" s="40" t="s">
        <v>67</v>
      </c>
      <c r="G267" s="40" t="s">
        <v>67</v>
      </c>
      <c r="H267" s="40" t="s">
        <v>67</v>
      </c>
      <c r="I267" s="40" t="s">
        <v>67</v>
      </c>
      <c r="J267" s="40" t="s">
        <v>67</v>
      </c>
      <c r="K267" s="40" t="s">
        <v>67</v>
      </c>
      <c r="L267" s="40" t="s">
        <v>67</v>
      </c>
      <c r="M267" s="40" t="s">
        <v>67</v>
      </c>
      <c r="N267" s="40" t="s">
        <v>67</v>
      </c>
      <c r="O267" s="40" t="s">
        <v>67</v>
      </c>
      <c r="P267" s="40" t="s">
        <v>67</v>
      </c>
      <c r="Q267" s="40" t="s">
        <v>67</v>
      </c>
      <c r="R267" s="40" t="s">
        <v>67</v>
      </c>
      <c r="S267" s="40" t="s">
        <v>67</v>
      </c>
      <c r="T267" s="40" t="s">
        <v>67</v>
      </c>
      <c r="U267" s="40" t="s">
        <v>67</v>
      </c>
      <c r="V267" s="40" t="s">
        <v>67</v>
      </c>
      <c r="W267" s="40" t="s">
        <v>67</v>
      </c>
      <c r="X267" s="40" t="s">
        <v>67</v>
      </c>
      <c r="Y267" s="40" t="s">
        <v>67</v>
      </c>
      <c r="Z267" s="40" t="s">
        <v>67</v>
      </c>
      <c r="AA267" s="40" t="s">
        <v>67</v>
      </c>
      <c r="AB267" s="40" t="s">
        <v>67</v>
      </c>
      <c r="AC267" s="40" t="s">
        <v>67</v>
      </c>
      <c r="AD267" s="40" t="s">
        <v>67</v>
      </c>
      <c r="AE267" s="40" t="s">
        <v>67</v>
      </c>
      <c r="AF267" s="40" t="s">
        <v>67</v>
      </c>
      <c r="AG267" s="40" t="s">
        <v>67</v>
      </c>
      <c r="AH267" s="40" t="s">
        <v>67</v>
      </c>
      <c r="AI267" s="40" t="s">
        <v>67</v>
      </c>
      <c r="AJ267" s="40" t="s">
        <v>67</v>
      </c>
      <c r="AK267" s="40" t="s">
        <v>67</v>
      </c>
      <c r="AL267" s="40" t="s">
        <v>67</v>
      </c>
      <c r="AM267" s="40" t="s">
        <v>67</v>
      </c>
      <c r="AN267" s="40" t="s">
        <v>67</v>
      </c>
      <c r="AO267" s="40" t="s">
        <v>67</v>
      </c>
      <c r="AP267" s="40" t="s">
        <v>67</v>
      </c>
      <c r="AQ267" s="40" t="s">
        <v>67</v>
      </c>
    </row>
    <row r="268" ht="13.5" spans="1:43">
      <c r="A268" s="38"/>
      <c r="B268" s="39" t="s">
        <v>4602</v>
      </c>
      <c r="C268" s="40" t="s">
        <v>67</v>
      </c>
      <c r="D268" s="40" t="s">
        <v>67</v>
      </c>
      <c r="E268" s="40" t="s">
        <v>67</v>
      </c>
      <c r="F268" s="40" t="s">
        <v>67</v>
      </c>
      <c r="G268" s="40" t="s">
        <v>67</v>
      </c>
      <c r="H268" s="40" t="s">
        <v>67</v>
      </c>
      <c r="I268" s="40" t="s">
        <v>67</v>
      </c>
      <c r="J268" s="40" t="s">
        <v>67</v>
      </c>
      <c r="K268" s="40" t="s">
        <v>67</v>
      </c>
      <c r="L268" s="40" t="s">
        <v>67</v>
      </c>
      <c r="M268" s="40" t="s">
        <v>67</v>
      </c>
      <c r="N268" s="40" t="s">
        <v>67</v>
      </c>
      <c r="O268" s="40" t="s">
        <v>67</v>
      </c>
      <c r="P268" s="40" t="s">
        <v>67</v>
      </c>
      <c r="Q268" s="40" t="s">
        <v>67</v>
      </c>
      <c r="R268" s="40" t="s">
        <v>67</v>
      </c>
      <c r="S268" s="40" t="s">
        <v>67</v>
      </c>
      <c r="T268" s="40" t="s">
        <v>67</v>
      </c>
      <c r="U268" s="40" t="s">
        <v>67</v>
      </c>
      <c r="V268" s="40" t="s">
        <v>67</v>
      </c>
      <c r="W268" s="40" t="s">
        <v>67</v>
      </c>
      <c r="X268" s="40" t="s">
        <v>67</v>
      </c>
      <c r="Y268" s="40" t="s">
        <v>67</v>
      </c>
      <c r="Z268" s="40" t="s">
        <v>67</v>
      </c>
      <c r="AA268" s="40" t="s">
        <v>67</v>
      </c>
      <c r="AB268" s="40" t="s">
        <v>67</v>
      </c>
      <c r="AC268" s="40" t="s">
        <v>67</v>
      </c>
      <c r="AD268" s="40" t="s">
        <v>67</v>
      </c>
      <c r="AE268" s="40" t="s">
        <v>67</v>
      </c>
      <c r="AF268" s="40" t="s">
        <v>67</v>
      </c>
      <c r="AG268" s="40" t="s">
        <v>67</v>
      </c>
      <c r="AH268" s="40" t="s">
        <v>67</v>
      </c>
      <c r="AI268" s="40" t="s">
        <v>67</v>
      </c>
      <c r="AJ268" s="40" t="s">
        <v>67</v>
      </c>
      <c r="AK268" s="40" t="s">
        <v>67</v>
      </c>
      <c r="AL268" s="40" t="s">
        <v>67</v>
      </c>
      <c r="AM268" s="40" t="s">
        <v>67</v>
      </c>
      <c r="AN268" s="40" t="s">
        <v>67</v>
      </c>
      <c r="AO268" s="40" t="s">
        <v>67</v>
      </c>
      <c r="AP268" s="40" t="s">
        <v>67</v>
      </c>
      <c r="AQ268" s="40" t="s">
        <v>67</v>
      </c>
    </row>
    <row r="269" ht="13.5" spans="1:43">
      <c r="A269" s="38"/>
      <c r="B269" s="39" t="s">
        <v>4603</v>
      </c>
      <c r="C269" s="40" t="s">
        <v>67</v>
      </c>
      <c r="D269" s="40" t="s">
        <v>67</v>
      </c>
      <c r="E269" s="40" t="s">
        <v>67</v>
      </c>
      <c r="F269" s="40" t="s">
        <v>67</v>
      </c>
      <c r="G269" s="40" t="s">
        <v>67</v>
      </c>
      <c r="H269" s="40" t="s">
        <v>67</v>
      </c>
      <c r="I269" s="40" t="s">
        <v>67</v>
      </c>
      <c r="J269" s="40" t="s">
        <v>67</v>
      </c>
      <c r="K269" s="40" t="s">
        <v>67</v>
      </c>
      <c r="L269" s="40" t="s">
        <v>67</v>
      </c>
      <c r="M269" s="40" t="s">
        <v>67</v>
      </c>
      <c r="N269" s="40" t="s">
        <v>67</v>
      </c>
      <c r="O269" s="40" t="s">
        <v>67</v>
      </c>
      <c r="P269" s="40" t="s">
        <v>67</v>
      </c>
      <c r="Q269" s="40" t="s">
        <v>67</v>
      </c>
      <c r="R269" s="40" t="s">
        <v>67</v>
      </c>
      <c r="S269" s="40" t="s">
        <v>67</v>
      </c>
      <c r="T269" s="40" t="s">
        <v>67</v>
      </c>
      <c r="U269" s="40" t="s">
        <v>67</v>
      </c>
      <c r="V269" s="40" t="s">
        <v>67</v>
      </c>
      <c r="W269" s="40" t="s">
        <v>67</v>
      </c>
      <c r="X269" s="40" t="s">
        <v>67</v>
      </c>
      <c r="Y269" s="40" t="s">
        <v>67</v>
      </c>
      <c r="Z269" s="40" t="s">
        <v>67</v>
      </c>
      <c r="AA269" s="40" t="s">
        <v>67</v>
      </c>
      <c r="AB269" s="40" t="s">
        <v>67</v>
      </c>
      <c r="AC269" s="40" t="s">
        <v>67</v>
      </c>
      <c r="AD269" s="40" t="s">
        <v>67</v>
      </c>
      <c r="AE269" s="40" t="s">
        <v>67</v>
      </c>
      <c r="AF269" s="40" t="s">
        <v>67</v>
      </c>
      <c r="AG269" s="40" t="s">
        <v>67</v>
      </c>
      <c r="AH269" s="40" t="s">
        <v>67</v>
      </c>
      <c r="AI269" s="40" t="s">
        <v>67</v>
      </c>
      <c r="AJ269" s="40" t="s">
        <v>67</v>
      </c>
      <c r="AK269" s="40" t="s">
        <v>67</v>
      </c>
      <c r="AL269" s="40" t="s">
        <v>67</v>
      </c>
      <c r="AM269" s="40" t="s">
        <v>67</v>
      </c>
      <c r="AN269" s="40" t="s">
        <v>67</v>
      </c>
      <c r="AO269" s="40" t="s">
        <v>67</v>
      </c>
      <c r="AP269" s="40" t="s">
        <v>67</v>
      </c>
      <c r="AQ269" s="40" t="s">
        <v>67</v>
      </c>
    </row>
    <row r="270" ht="13.5" spans="1:43">
      <c r="A270" s="38"/>
      <c r="B270" s="39" t="s">
        <v>4604</v>
      </c>
      <c r="C270" s="40" t="s">
        <v>67</v>
      </c>
      <c r="D270" s="40" t="s">
        <v>67</v>
      </c>
      <c r="E270" s="40" t="s">
        <v>67</v>
      </c>
      <c r="F270" s="40" t="s">
        <v>67</v>
      </c>
      <c r="G270" s="40" t="s">
        <v>67</v>
      </c>
      <c r="H270" s="40" t="s">
        <v>67</v>
      </c>
      <c r="I270" s="40" t="s">
        <v>67</v>
      </c>
      <c r="J270" s="40" t="s">
        <v>67</v>
      </c>
      <c r="K270" s="40" t="s">
        <v>67</v>
      </c>
      <c r="L270" s="40" t="s">
        <v>67</v>
      </c>
      <c r="M270" s="40" t="s">
        <v>67</v>
      </c>
      <c r="N270" s="40" t="s">
        <v>67</v>
      </c>
      <c r="O270" s="40" t="s">
        <v>67</v>
      </c>
      <c r="P270" s="40" t="s">
        <v>67</v>
      </c>
      <c r="Q270" s="40" t="s">
        <v>67</v>
      </c>
      <c r="R270" s="40" t="s">
        <v>67</v>
      </c>
      <c r="S270" s="40" t="s">
        <v>67</v>
      </c>
      <c r="T270" s="40" t="s">
        <v>67</v>
      </c>
      <c r="U270" s="40" t="s">
        <v>67</v>
      </c>
      <c r="V270" s="40" t="s">
        <v>67</v>
      </c>
      <c r="W270" s="40" t="s">
        <v>67</v>
      </c>
      <c r="X270" s="40" t="s">
        <v>67</v>
      </c>
      <c r="Y270" s="40" t="s">
        <v>67</v>
      </c>
      <c r="Z270" s="40" t="s">
        <v>67</v>
      </c>
      <c r="AA270" s="40" t="s">
        <v>67</v>
      </c>
      <c r="AB270" s="40" t="s">
        <v>67</v>
      </c>
      <c r="AC270" s="40" t="s">
        <v>67</v>
      </c>
      <c r="AD270" s="40" t="s">
        <v>67</v>
      </c>
      <c r="AE270" s="40" t="s">
        <v>67</v>
      </c>
      <c r="AF270" s="40" t="s">
        <v>67</v>
      </c>
      <c r="AG270" s="40" t="s">
        <v>67</v>
      </c>
      <c r="AH270" s="40" t="s">
        <v>67</v>
      </c>
      <c r="AI270" s="40" t="s">
        <v>67</v>
      </c>
      <c r="AJ270" s="40" t="s">
        <v>67</v>
      </c>
      <c r="AK270" s="40" t="s">
        <v>67</v>
      </c>
      <c r="AL270" s="40" t="s">
        <v>67</v>
      </c>
      <c r="AM270" s="40" t="s">
        <v>67</v>
      </c>
      <c r="AN270" s="40" t="s">
        <v>67</v>
      </c>
      <c r="AO270" s="40" t="s">
        <v>67</v>
      </c>
      <c r="AP270" s="40" t="s">
        <v>67</v>
      </c>
      <c r="AQ270" s="40" t="s">
        <v>67</v>
      </c>
    </row>
    <row r="271" ht="13.5" spans="1:43">
      <c r="A271" s="38"/>
      <c r="B271" s="39" t="s">
        <v>4605</v>
      </c>
      <c r="C271" s="40" t="s">
        <v>67</v>
      </c>
      <c r="D271" s="40" t="s">
        <v>67</v>
      </c>
      <c r="E271" s="40" t="s">
        <v>67</v>
      </c>
      <c r="F271" s="40" t="s">
        <v>67</v>
      </c>
      <c r="G271" s="40" t="s">
        <v>67</v>
      </c>
      <c r="H271" s="40" t="s">
        <v>67</v>
      </c>
      <c r="I271" s="40" t="s">
        <v>67</v>
      </c>
      <c r="J271" s="40" t="s">
        <v>67</v>
      </c>
      <c r="K271" s="40" t="s">
        <v>67</v>
      </c>
      <c r="L271" s="40" t="s">
        <v>67</v>
      </c>
      <c r="M271" s="40" t="s">
        <v>67</v>
      </c>
      <c r="N271" s="40" t="s">
        <v>67</v>
      </c>
      <c r="O271" s="40" t="s">
        <v>67</v>
      </c>
      <c r="P271" s="40" t="s">
        <v>67</v>
      </c>
      <c r="Q271" s="40" t="s">
        <v>67</v>
      </c>
      <c r="R271" s="40" t="s">
        <v>67</v>
      </c>
      <c r="S271" s="40" t="s">
        <v>67</v>
      </c>
      <c r="T271" s="40" t="s">
        <v>67</v>
      </c>
      <c r="U271" s="40" t="s">
        <v>67</v>
      </c>
      <c r="V271" s="40" t="s">
        <v>67</v>
      </c>
      <c r="W271" s="40" t="s">
        <v>67</v>
      </c>
      <c r="X271" s="40" t="s">
        <v>67</v>
      </c>
      <c r="Y271" s="40" t="s">
        <v>67</v>
      </c>
      <c r="Z271" s="40" t="s">
        <v>67</v>
      </c>
      <c r="AA271" s="40" t="s">
        <v>67</v>
      </c>
      <c r="AB271" s="40" t="s">
        <v>67</v>
      </c>
      <c r="AC271" s="40" t="s">
        <v>67</v>
      </c>
      <c r="AD271" s="40" t="s">
        <v>67</v>
      </c>
      <c r="AE271" s="40" t="s">
        <v>67</v>
      </c>
      <c r="AF271" s="40" t="s">
        <v>67</v>
      </c>
      <c r="AG271" s="40" t="s">
        <v>67</v>
      </c>
      <c r="AH271" s="40" t="s">
        <v>67</v>
      </c>
      <c r="AI271" s="40" t="s">
        <v>67</v>
      </c>
      <c r="AJ271" s="40" t="s">
        <v>67</v>
      </c>
      <c r="AK271" s="40" t="s">
        <v>67</v>
      </c>
      <c r="AL271" s="40" t="s">
        <v>67</v>
      </c>
      <c r="AM271" s="40" t="s">
        <v>67</v>
      </c>
      <c r="AN271" s="40" t="s">
        <v>67</v>
      </c>
      <c r="AO271" s="40" t="s">
        <v>67</v>
      </c>
      <c r="AP271" s="40" t="s">
        <v>67</v>
      </c>
      <c r="AQ271" s="40" t="s">
        <v>67</v>
      </c>
    </row>
    <row r="272" ht="13.5" spans="1:43">
      <c r="A272" s="38"/>
      <c r="B272" s="39" t="s">
        <v>4606</v>
      </c>
      <c r="C272" s="40" t="s">
        <v>67</v>
      </c>
      <c r="D272" s="40" t="s">
        <v>67</v>
      </c>
      <c r="E272" s="40" t="s">
        <v>67</v>
      </c>
      <c r="F272" s="40" t="s">
        <v>67</v>
      </c>
      <c r="G272" s="40" t="s">
        <v>67</v>
      </c>
      <c r="H272" s="40" t="s">
        <v>67</v>
      </c>
      <c r="I272" s="40" t="s">
        <v>67</v>
      </c>
      <c r="J272" s="40" t="s">
        <v>67</v>
      </c>
      <c r="K272" s="40" t="s">
        <v>67</v>
      </c>
      <c r="L272" s="40" t="s">
        <v>67</v>
      </c>
      <c r="M272" s="40" t="s">
        <v>67</v>
      </c>
      <c r="N272" s="40" t="s">
        <v>67</v>
      </c>
      <c r="O272" s="40" t="s">
        <v>67</v>
      </c>
      <c r="P272" s="40" t="s">
        <v>67</v>
      </c>
      <c r="Q272" s="40" t="s">
        <v>67</v>
      </c>
      <c r="R272" s="40" t="s">
        <v>67</v>
      </c>
      <c r="S272" s="40" t="s">
        <v>67</v>
      </c>
      <c r="T272" s="40" t="s">
        <v>67</v>
      </c>
      <c r="U272" s="40" t="s">
        <v>67</v>
      </c>
      <c r="V272" s="40" t="s">
        <v>67</v>
      </c>
      <c r="W272" s="40" t="s">
        <v>67</v>
      </c>
      <c r="X272" s="40" t="s">
        <v>67</v>
      </c>
      <c r="Y272" s="40" t="s">
        <v>67</v>
      </c>
      <c r="Z272" s="40" t="s">
        <v>67</v>
      </c>
      <c r="AA272" s="40" t="s">
        <v>67</v>
      </c>
      <c r="AB272" s="40" t="s">
        <v>67</v>
      </c>
      <c r="AC272" s="40" t="s">
        <v>67</v>
      </c>
      <c r="AD272" s="40" t="s">
        <v>67</v>
      </c>
      <c r="AE272" s="40" t="s">
        <v>67</v>
      </c>
      <c r="AF272" s="40" t="s">
        <v>67</v>
      </c>
      <c r="AG272" s="40" t="s">
        <v>67</v>
      </c>
      <c r="AH272" s="40" t="s">
        <v>67</v>
      </c>
      <c r="AI272" s="40" t="s">
        <v>67</v>
      </c>
      <c r="AJ272" s="40" t="s">
        <v>67</v>
      </c>
      <c r="AK272" s="40" t="s">
        <v>67</v>
      </c>
      <c r="AL272" s="40" t="s">
        <v>67</v>
      </c>
      <c r="AM272" s="40" t="s">
        <v>67</v>
      </c>
      <c r="AN272" s="40" t="s">
        <v>67</v>
      </c>
      <c r="AO272" s="40" t="s">
        <v>67</v>
      </c>
      <c r="AP272" s="40" t="s">
        <v>67</v>
      </c>
      <c r="AQ272" s="40" t="s">
        <v>67</v>
      </c>
    </row>
    <row r="273" ht="13.5" spans="1:43">
      <c r="A273" s="38"/>
      <c r="B273" s="39" t="s">
        <v>4607</v>
      </c>
      <c r="C273" s="40" t="s">
        <v>67</v>
      </c>
      <c r="D273" s="40" t="s">
        <v>67</v>
      </c>
      <c r="E273" s="40" t="s">
        <v>67</v>
      </c>
      <c r="F273" s="40" t="s">
        <v>67</v>
      </c>
      <c r="G273" s="40" t="s">
        <v>67</v>
      </c>
      <c r="H273" s="40" t="s">
        <v>67</v>
      </c>
      <c r="I273" s="40" t="s">
        <v>67</v>
      </c>
      <c r="J273" s="40" t="s">
        <v>67</v>
      </c>
      <c r="K273" s="40" t="s">
        <v>67</v>
      </c>
      <c r="L273" s="40" t="s">
        <v>67</v>
      </c>
      <c r="M273" s="40" t="s">
        <v>67</v>
      </c>
      <c r="N273" s="40" t="s">
        <v>67</v>
      </c>
      <c r="O273" s="40" t="s">
        <v>67</v>
      </c>
      <c r="P273" s="40" t="s">
        <v>67</v>
      </c>
      <c r="Q273" s="40" t="s">
        <v>67</v>
      </c>
      <c r="R273" s="40" t="s">
        <v>67</v>
      </c>
      <c r="S273" s="40" t="s">
        <v>67</v>
      </c>
      <c r="T273" s="40" t="s">
        <v>67</v>
      </c>
      <c r="U273" s="40" t="s">
        <v>67</v>
      </c>
      <c r="V273" s="40" t="s">
        <v>67</v>
      </c>
      <c r="W273" s="40" t="s">
        <v>67</v>
      </c>
      <c r="X273" s="40" t="s">
        <v>67</v>
      </c>
      <c r="Y273" s="40" t="s">
        <v>67</v>
      </c>
      <c r="Z273" s="40" t="s">
        <v>67</v>
      </c>
      <c r="AA273" s="40" t="s">
        <v>67</v>
      </c>
      <c r="AB273" s="40" t="s">
        <v>67</v>
      </c>
      <c r="AC273" s="40" t="s">
        <v>67</v>
      </c>
      <c r="AD273" s="40" t="s">
        <v>67</v>
      </c>
      <c r="AE273" s="40" t="s">
        <v>67</v>
      </c>
      <c r="AF273" s="40" t="s">
        <v>67</v>
      </c>
      <c r="AG273" s="40" t="s">
        <v>67</v>
      </c>
      <c r="AH273" s="40" t="s">
        <v>67</v>
      </c>
      <c r="AI273" s="40" t="s">
        <v>67</v>
      </c>
      <c r="AJ273" s="40" t="s">
        <v>67</v>
      </c>
      <c r="AK273" s="40" t="s">
        <v>67</v>
      </c>
      <c r="AL273" s="40" t="s">
        <v>67</v>
      </c>
      <c r="AM273" s="40" t="s">
        <v>67</v>
      </c>
      <c r="AN273" s="40" t="s">
        <v>67</v>
      </c>
      <c r="AO273" s="40" t="s">
        <v>67</v>
      </c>
      <c r="AP273" s="40" t="s">
        <v>67</v>
      </c>
      <c r="AQ273" s="40" t="s">
        <v>67</v>
      </c>
    </row>
    <row r="274" ht="13.5" spans="1:43">
      <c r="A274" s="38"/>
      <c r="B274" s="39" t="s">
        <v>4608</v>
      </c>
      <c r="C274" s="40" t="s">
        <v>2429</v>
      </c>
      <c r="D274" s="40" t="s">
        <v>2421</v>
      </c>
      <c r="E274" s="40" t="s">
        <v>2414</v>
      </c>
      <c r="F274" s="40" t="s">
        <v>2429</v>
      </c>
      <c r="G274" s="40" t="s">
        <v>4609</v>
      </c>
      <c r="H274" s="40" t="s">
        <v>2414</v>
      </c>
      <c r="I274" s="40" t="s">
        <v>2429</v>
      </c>
      <c r="J274" s="40" t="s">
        <v>2429</v>
      </c>
      <c r="K274" s="40" t="s">
        <v>4610</v>
      </c>
      <c r="L274" s="40" t="s">
        <v>2414</v>
      </c>
      <c r="M274" s="40" t="s">
        <v>2429</v>
      </c>
      <c r="N274" s="40" t="s">
        <v>2429</v>
      </c>
      <c r="O274" s="40" t="s">
        <v>2427</v>
      </c>
      <c r="P274" s="40" t="s">
        <v>2429</v>
      </c>
      <c r="Q274" s="40" t="s">
        <v>2414</v>
      </c>
      <c r="R274" s="40" t="s">
        <v>2429</v>
      </c>
      <c r="S274" s="40" t="s">
        <v>4611</v>
      </c>
      <c r="T274" s="40" t="s">
        <v>2429</v>
      </c>
      <c r="U274" s="40" t="s">
        <v>2427</v>
      </c>
      <c r="V274" s="40" t="s">
        <v>2427</v>
      </c>
      <c r="W274" s="40" t="s">
        <v>4612</v>
      </c>
      <c r="X274" s="40" t="s">
        <v>2427</v>
      </c>
      <c r="Y274" s="40" t="s">
        <v>2427</v>
      </c>
      <c r="Z274" s="40" t="s">
        <v>4613</v>
      </c>
      <c r="AA274" s="40" t="s">
        <v>3697</v>
      </c>
      <c r="AB274" s="40" t="s">
        <v>2429</v>
      </c>
      <c r="AC274" s="40" t="s">
        <v>2427</v>
      </c>
      <c r="AD274" s="40" t="s">
        <v>4614</v>
      </c>
      <c r="AE274" s="40" t="s">
        <v>4615</v>
      </c>
      <c r="AF274" s="40" t="s">
        <v>2429</v>
      </c>
      <c r="AG274" s="40" t="s">
        <v>2429</v>
      </c>
      <c r="AH274" s="40" t="s">
        <v>4616</v>
      </c>
      <c r="AI274" s="40" t="s">
        <v>4617</v>
      </c>
      <c r="AJ274" s="40" t="s">
        <v>4618</v>
      </c>
      <c r="AK274" s="40" t="s">
        <v>4619</v>
      </c>
      <c r="AL274" s="40" t="s">
        <v>4620</v>
      </c>
      <c r="AM274" s="40" t="s">
        <v>4621</v>
      </c>
      <c r="AN274" s="40" t="s">
        <v>4622</v>
      </c>
      <c r="AO274" s="40" t="s">
        <v>4623</v>
      </c>
      <c r="AP274" s="40" t="s">
        <v>4624</v>
      </c>
      <c r="AQ274" s="40" t="s">
        <v>4625</v>
      </c>
    </row>
    <row r="275" ht="13.5" spans="1:43">
      <c r="A275" s="38"/>
      <c r="B275" s="39" t="s">
        <v>4626</v>
      </c>
      <c r="C275" s="40" t="s">
        <v>2418</v>
      </c>
      <c r="D275" s="40" t="s">
        <v>2658</v>
      </c>
      <c r="E275" s="40" t="s">
        <v>2415</v>
      </c>
      <c r="F275" s="40" t="s">
        <v>2423</v>
      </c>
      <c r="G275" s="40" t="s">
        <v>2428</v>
      </c>
      <c r="H275" s="40" t="s">
        <v>2604</v>
      </c>
      <c r="I275" s="40" t="s">
        <v>2415</v>
      </c>
      <c r="J275" s="40" t="s">
        <v>2416</v>
      </c>
      <c r="K275" s="40" t="s">
        <v>2425</v>
      </c>
      <c r="L275" s="40" t="s">
        <v>2419</v>
      </c>
      <c r="M275" s="40" t="s">
        <v>2420</v>
      </c>
      <c r="N275" s="40" t="s">
        <v>2412</v>
      </c>
      <c r="O275" s="40" t="s">
        <v>2418</v>
      </c>
      <c r="P275" s="40" t="s">
        <v>2411</v>
      </c>
      <c r="Q275" s="40" t="s">
        <v>2659</v>
      </c>
      <c r="R275" s="40" t="s">
        <v>2423</v>
      </c>
      <c r="S275" s="40" t="s">
        <v>2425</v>
      </c>
      <c r="T275" s="40" t="s">
        <v>2422</v>
      </c>
      <c r="U275" s="40" t="s">
        <v>2424</v>
      </c>
      <c r="V275" s="40" t="s">
        <v>2418</v>
      </c>
      <c r="W275" s="40" t="s">
        <v>2421</v>
      </c>
      <c r="X275" s="40" t="s">
        <v>2424</v>
      </c>
      <c r="Y275" s="40" t="s">
        <v>2418</v>
      </c>
      <c r="Z275" s="40" t="s">
        <v>2426</v>
      </c>
      <c r="AA275" s="40" t="s">
        <v>2429</v>
      </c>
      <c r="AB275" s="40" t="s">
        <v>2424</v>
      </c>
      <c r="AC275" s="40" t="s">
        <v>2410</v>
      </c>
      <c r="AD275" s="40" t="s">
        <v>2428</v>
      </c>
      <c r="AE275" s="40" t="s">
        <v>2421</v>
      </c>
      <c r="AF275" s="40" t="s">
        <v>2413</v>
      </c>
      <c r="AG275" s="40" t="s">
        <v>2418</v>
      </c>
      <c r="AH275" s="40" t="s">
        <v>2426</v>
      </c>
      <c r="AI275" s="40" t="s">
        <v>2414</v>
      </c>
      <c r="AJ275" s="40" t="s">
        <v>2428</v>
      </c>
      <c r="AK275" s="40" t="s">
        <v>2421</v>
      </c>
      <c r="AL275" s="40" t="s">
        <v>2429</v>
      </c>
      <c r="AM275" s="40" t="s">
        <v>2427</v>
      </c>
      <c r="AN275" s="40" t="s">
        <v>2426</v>
      </c>
      <c r="AO275" s="40" t="s">
        <v>2414</v>
      </c>
      <c r="AP275" s="40" t="s">
        <v>2429</v>
      </c>
      <c r="AQ275" s="40" t="s">
        <v>2427</v>
      </c>
    </row>
    <row r="276" ht="13.5" spans="1:43">
      <c r="A276" s="38"/>
      <c r="B276" s="39" t="s">
        <v>2702</v>
      </c>
      <c r="C276" s="40" t="s">
        <v>2473</v>
      </c>
      <c r="D276" s="40" t="s">
        <v>2703</v>
      </c>
      <c r="E276" s="40" t="s">
        <v>2704</v>
      </c>
      <c r="F276" s="40" t="s">
        <v>2705</v>
      </c>
      <c r="G276" s="40" t="s">
        <v>2706</v>
      </c>
      <c r="H276" s="40" t="s">
        <v>2481</v>
      </c>
      <c r="I276" s="40" t="s">
        <v>2475</v>
      </c>
      <c r="J276" s="40" t="s">
        <v>2475</v>
      </c>
      <c r="K276" s="40" t="s">
        <v>2473</v>
      </c>
      <c r="L276" s="40" t="s">
        <v>2707</v>
      </c>
      <c r="M276" s="40" t="s">
        <v>2472</v>
      </c>
      <c r="N276" s="40" t="s">
        <v>2473</v>
      </c>
      <c r="O276" s="40" t="s">
        <v>2508</v>
      </c>
      <c r="P276" s="40" t="s">
        <v>2473</v>
      </c>
      <c r="Q276" s="40" t="s">
        <v>2708</v>
      </c>
      <c r="R276" s="40" t="s">
        <v>2475</v>
      </c>
      <c r="S276" s="40" t="s">
        <v>2472</v>
      </c>
      <c r="T276" s="40" t="s">
        <v>2473</v>
      </c>
      <c r="U276" s="40" t="s">
        <v>2473</v>
      </c>
      <c r="V276" s="40" t="s">
        <v>2473</v>
      </c>
      <c r="W276" s="40" t="s">
        <v>2709</v>
      </c>
      <c r="X276" s="40" t="s">
        <v>2427</v>
      </c>
      <c r="Y276" s="40" t="s">
        <v>2710</v>
      </c>
      <c r="Z276" s="40" t="s">
        <v>2711</v>
      </c>
      <c r="AA276" s="40" t="s">
        <v>2712</v>
      </c>
      <c r="AB276" s="40" t="s">
        <v>2713</v>
      </c>
      <c r="AC276" s="40" t="s">
        <v>2714</v>
      </c>
      <c r="AD276" s="40" t="s">
        <v>2715</v>
      </c>
      <c r="AE276" s="40" t="s">
        <v>2716</v>
      </c>
      <c r="AF276" s="40" t="s">
        <v>2508</v>
      </c>
      <c r="AG276" s="40" t="s">
        <v>2508</v>
      </c>
      <c r="AH276" s="40" t="s">
        <v>2717</v>
      </c>
      <c r="AI276" s="40" t="s">
        <v>2718</v>
      </c>
      <c r="AJ276" s="40" t="s">
        <v>2719</v>
      </c>
      <c r="AK276" s="40" t="s">
        <v>2720</v>
      </c>
      <c r="AL276" s="40" t="s">
        <v>2721</v>
      </c>
      <c r="AM276" s="40" t="s">
        <v>2722</v>
      </c>
      <c r="AN276" s="40" t="s">
        <v>2723</v>
      </c>
      <c r="AO276" s="40" t="s">
        <v>2724</v>
      </c>
      <c r="AP276" s="40" t="s">
        <v>2725</v>
      </c>
      <c r="AQ276" s="40" t="s">
        <v>2726</v>
      </c>
    </row>
    <row r="277" ht="13.5" spans="1:43">
      <c r="A277" s="38" t="s">
        <v>4627</v>
      </c>
      <c r="B277" s="39" t="s">
        <v>4628</v>
      </c>
      <c r="C277" s="40" t="s">
        <v>4629</v>
      </c>
      <c r="D277" s="40" t="s">
        <v>2427</v>
      </c>
      <c r="E277" s="40" t="s">
        <v>2427</v>
      </c>
      <c r="F277" s="40" t="s">
        <v>2427</v>
      </c>
      <c r="G277" s="40" t="s">
        <v>4630</v>
      </c>
      <c r="H277" s="40" t="s">
        <v>2414</v>
      </c>
      <c r="I277" s="40" t="s">
        <v>2414</v>
      </c>
      <c r="J277" s="40" t="s">
        <v>4631</v>
      </c>
      <c r="K277" s="40" t="s">
        <v>4632</v>
      </c>
      <c r="L277" s="40" t="s">
        <v>2414</v>
      </c>
      <c r="M277" s="40" t="s">
        <v>2429</v>
      </c>
      <c r="N277" s="40" t="s">
        <v>4633</v>
      </c>
      <c r="O277" s="40" t="s">
        <v>4634</v>
      </c>
      <c r="P277" s="40" t="s">
        <v>4635</v>
      </c>
      <c r="Q277" s="40" t="s">
        <v>4636</v>
      </c>
      <c r="R277" s="40" t="s">
        <v>4637</v>
      </c>
      <c r="S277" s="40" t="s">
        <v>4638</v>
      </c>
      <c r="T277" s="40" t="s">
        <v>2429</v>
      </c>
      <c r="U277" s="40" t="s">
        <v>2427</v>
      </c>
      <c r="V277" s="40" t="s">
        <v>4639</v>
      </c>
      <c r="W277" s="40" t="s">
        <v>67</v>
      </c>
      <c r="X277" s="40" t="s">
        <v>4640</v>
      </c>
      <c r="Y277" s="40" t="s">
        <v>3644</v>
      </c>
      <c r="Z277" s="40" t="s">
        <v>3644</v>
      </c>
      <c r="AA277" s="40" t="s">
        <v>67</v>
      </c>
      <c r="AB277" s="40" t="s">
        <v>4641</v>
      </c>
      <c r="AC277" s="40" t="s">
        <v>4642</v>
      </c>
      <c r="AD277" s="40" t="s">
        <v>4643</v>
      </c>
      <c r="AE277" s="40" t="s">
        <v>3833</v>
      </c>
      <c r="AF277" s="40" t="s">
        <v>4644</v>
      </c>
      <c r="AG277" s="40" t="s">
        <v>4645</v>
      </c>
      <c r="AH277" s="40" t="s">
        <v>3617</v>
      </c>
      <c r="AI277" s="40" t="s">
        <v>67</v>
      </c>
      <c r="AJ277" s="40" t="s">
        <v>4646</v>
      </c>
      <c r="AK277" s="40" t="s">
        <v>4647</v>
      </c>
      <c r="AL277" s="40" t="s">
        <v>4648</v>
      </c>
      <c r="AM277" s="40" t="s">
        <v>4096</v>
      </c>
      <c r="AN277" s="40" t="s">
        <v>3315</v>
      </c>
      <c r="AO277" s="40" t="s">
        <v>67</v>
      </c>
      <c r="AP277" s="40" t="s">
        <v>67</v>
      </c>
      <c r="AQ277" s="40" t="s">
        <v>67</v>
      </c>
    </row>
    <row r="278" ht="13.5" spans="1:43">
      <c r="A278" s="38"/>
      <c r="B278" s="39" t="s">
        <v>4649</v>
      </c>
      <c r="C278" s="40" t="s">
        <v>67</v>
      </c>
      <c r="D278" s="40" t="s">
        <v>4211</v>
      </c>
      <c r="E278" s="40" t="s">
        <v>4650</v>
      </c>
      <c r="F278" s="40" t="s">
        <v>4651</v>
      </c>
      <c r="G278" s="40" t="s">
        <v>4652</v>
      </c>
      <c r="H278" s="40" t="s">
        <v>4652</v>
      </c>
      <c r="I278" s="40" t="s">
        <v>4652</v>
      </c>
      <c r="J278" s="40" t="s">
        <v>4652</v>
      </c>
      <c r="K278" s="40" t="s">
        <v>67</v>
      </c>
      <c r="L278" s="40" t="s">
        <v>4653</v>
      </c>
      <c r="M278" s="40" t="s">
        <v>4654</v>
      </c>
      <c r="N278" s="40" t="s">
        <v>4652</v>
      </c>
      <c r="O278" s="40" t="s">
        <v>67</v>
      </c>
      <c r="P278" s="40" t="s">
        <v>67</v>
      </c>
      <c r="Q278" s="40" t="s">
        <v>67</v>
      </c>
      <c r="R278" s="40" t="s">
        <v>67</v>
      </c>
      <c r="S278" s="40" t="s">
        <v>67</v>
      </c>
      <c r="T278" s="40" t="s">
        <v>4655</v>
      </c>
      <c r="U278" s="40" t="s">
        <v>3639</v>
      </c>
      <c r="V278" s="40" t="s">
        <v>67</v>
      </c>
      <c r="W278" s="40" t="s">
        <v>67</v>
      </c>
      <c r="X278" s="40" t="s">
        <v>67</v>
      </c>
      <c r="Y278" s="40" t="s">
        <v>67</v>
      </c>
      <c r="Z278" s="40" t="s">
        <v>4656</v>
      </c>
      <c r="AA278" s="40" t="s">
        <v>67</v>
      </c>
      <c r="AB278" s="40" t="s">
        <v>67</v>
      </c>
      <c r="AC278" s="40" t="s">
        <v>67</v>
      </c>
      <c r="AD278" s="40" t="s">
        <v>67</v>
      </c>
      <c r="AE278" s="40" t="s">
        <v>3775</v>
      </c>
      <c r="AF278" s="40" t="s">
        <v>3331</v>
      </c>
      <c r="AG278" s="40" t="s">
        <v>4266</v>
      </c>
      <c r="AH278" s="40" t="s">
        <v>4356</v>
      </c>
      <c r="AI278" s="40" t="s">
        <v>4264</v>
      </c>
      <c r="AJ278" s="40" t="s">
        <v>3728</v>
      </c>
      <c r="AK278" s="40" t="s">
        <v>4416</v>
      </c>
      <c r="AL278" s="40" t="s">
        <v>3626</v>
      </c>
      <c r="AM278" s="40" t="s">
        <v>4279</v>
      </c>
      <c r="AN278" s="40" t="s">
        <v>3644</v>
      </c>
      <c r="AO278" s="40" t="s">
        <v>3862</v>
      </c>
      <c r="AP278" s="40" t="s">
        <v>4657</v>
      </c>
      <c r="AQ278" s="40" t="s">
        <v>3726</v>
      </c>
    </row>
    <row r="279" ht="13.5" spans="1:43">
      <c r="A279" s="38"/>
      <c r="B279" s="39" t="s">
        <v>4658</v>
      </c>
      <c r="C279" s="40" t="s">
        <v>67</v>
      </c>
      <c r="D279" s="40" t="s">
        <v>67</v>
      </c>
      <c r="E279" s="40" t="s">
        <v>67</v>
      </c>
      <c r="F279" s="40" t="s">
        <v>67</v>
      </c>
      <c r="G279" s="40" t="s">
        <v>67</v>
      </c>
      <c r="H279" s="40" t="s">
        <v>67</v>
      </c>
      <c r="I279" s="40" t="s">
        <v>67</v>
      </c>
      <c r="J279" s="40" t="s">
        <v>67</v>
      </c>
      <c r="K279" s="40" t="s">
        <v>67</v>
      </c>
      <c r="L279" s="40" t="s">
        <v>67</v>
      </c>
      <c r="M279" s="40" t="s">
        <v>67</v>
      </c>
      <c r="N279" s="40" t="s">
        <v>67</v>
      </c>
      <c r="O279" s="40" t="s">
        <v>67</v>
      </c>
      <c r="P279" s="40" t="s">
        <v>67</v>
      </c>
      <c r="Q279" s="40" t="s">
        <v>67</v>
      </c>
      <c r="R279" s="40" t="s">
        <v>67</v>
      </c>
      <c r="S279" s="40" t="s">
        <v>67</v>
      </c>
      <c r="T279" s="40" t="s">
        <v>67</v>
      </c>
      <c r="U279" s="40" t="s">
        <v>67</v>
      </c>
      <c r="V279" s="40" t="s">
        <v>67</v>
      </c>
      <c r="W279" s="40" t="s">
        <v>67</v>
      </c>
      <c r="X279" s="40" t="s">
        <v>67</v>
      </c>
      <c r="Y279" s="40" t="s">
        <v>67</v>
      </c>
      <c r="Z279" s="40" t="s">
        <v>67</v>
      </c>
      <c r="AA279" s="40" t="s">
        <v>67</v>
      </c>
      <c r="AB279" s="40" t="s">
        <v>67</v>
      </c>
      <c r="AC279" s="40" t="s">
        <v>67</v>
      </c>
      <c r="AD279" s="40" t="s">
        <v>67</v>
      </c>
      <c r="AE279" s="40" t="s">
        <v>67</v>
      </c>
      <c r="AF279" s="40" t="s">
        <v>67</v>
      </c>
      <c r="AG279" s="40" t="s">
        <v>67</v>
      </c>
      <c r="AH279" s="40" t="s">
        <v>67</v>
      </c>
      <c r="AI279" s="40" t="s">
        <v>67</v>
      </c>
      <c r="AJ279" s="40" t="s">
        <v>67</v>
      </c>
      <c r="AK279" s="40" t="s">
        <v>67</v>
      </c>
      <c r="AL279" s="40" t="s">
        <v>67</v>
      </c>
      <c r="AM279" s="40" t="s">
        <v>67</v>
      </c>
      <c r="AN279" s="40" t="s">
        <v>67</v>
      </c>
      <c r="AO279" s="40" t="s">
        <v>67</v>
      </c>
      <c r="AP279" s="40" t="s">
        <v>67</v>
      </c>
      <c r="AQ279" s="40" t="s">
        <v>67</v>
      </c>
    </row>
    <row r="280" ht="13.5" spans="1:43">
      <c r="A280" s="38"/>
      <c r="B280" s="39" t="s">
        <v>4659</v>
      </c>
      <c r="C280" s="40" t="s">
        <v>4660</v>
      </c>
      <c r="D280" s="40" t="s">
        <v>4276</v>
      </c>
      <c r="E280" s="40" t="s">
        <v>4661</v>
      </c>
      <c r="F280" s="40" t="s">
        <v>4661</v>
      </c>
      <c r="G280" s="40" t="s">
        <v>4661</v>
      </c>
      <c r="H280" s="40" t="s">
        <v>4662</v>
      </c>
      <c r="I280" s="40" t="s">
        <v>4663</v>
      </c>
      <c r="J280" s="40" t="s">
        <v>4663</v>
      </c>
      <c r="K280" s="40" t="s">
        <v>67</v>
      </c>
      <c r="L280" s="40" t="s">
        <v>4664</v>
      </c>
      <c r="M280" s="40" t="s">
        <v>4665</v>
      </c>
      <c r="N280" s="40" t="s">
        <v>4665</v>
      </c>
      <c r="O280" s="40" t="s">
        <v>4665</v>
      </c>
      <c r="P280" s="40" t="s">
        <v>3729</v>
      </c>
      <c r="Q280" s="40" t="s">
        <v>4666</v>
      </c>
      <c r="R280" s="40" t="s">
        <v>4375</v>
      </c>
      <c r="S280" s="40" t="s">
        <v>4264</v>
      </c>
      <c r="T280" s="40" t="s">
        <v>3643</v>
      </c>
      <c r="U280" s="40" t="s">
        <v>67</v>
      </c>
      <c r="V280" s="40" t="s">
        <v>67</v>
      </c>
      <c r="W280" s="40" t="s">
        <v>67</v>
      </c>
      <c r="X280" s="40" t="s">
        <v>3432</v>
      </c>
      <c r="Y280" s="40" t="s">
        <v>4356</v>
      </c>
      <c r="Z280" s="40" t="s">
        <v>2832</v>
      </c>
      <c r="AA280" s="40" t="s">
        <v>93</v>
      </c>
      <c r="AB280" s="40" t="s">
        <v>4277</v>
      </c>
      <c r="AC280" s="40" t="s">
        <v>4667</v>
      </c>
      <c r="AD280" s="40" t="s">
        <v>4667</v>
      </c>
      <c r="AE280" s="40" t="s">
        <v>67</v>
      </c>
      <c r="AF280" s="40" t="s">
        <v>3775</v>
      </c>
      <c r="AG280" s="40" t="s">
        <v>4668</v>
      </c>
      <c r="AH280" s="40" t="s">
        <v>4668</v>
      </c>
      <c r="AI280" s="40" t="s">
        <v>67</v>
      </c>
      <c r="AJ280" s="40" t="s">
        <v>4669</v>
      </c>
      <c r="AK280" s="40" t="s">
        <v>93</v>
      </c>
      <c r="AL280" s="40" t="s">
        <v>93</v>
      </c>
      <c r="AM280" s="40" t="s">
        <v>67</v>
      </c>
      <c r="AN280" s="40" t="s">
        <v>4670</v>
      </c>
      <c r="AO280" s="40" t="s">
        <v>4671</v>
      </c>
      <c r="AP280" s="40" t="s">
        <v>4671</v>
      </c>
      <c r="AQ280" s="40" t="s">
        <v>4671</v>
      </c>
    </row>
    <row r="281" ht="13.5" spans="1:43">
      <c r="A281" s="38"/>
      <c r="B281" s="39" t="s">
        <v>4672</v>
      </c>
      <c r="C281" s="40" t="s">
        <v>67</v>
      </c>
      <c r="D281" s="40" t="s">
        <v>67</v>
      </c>
      <c r="E281" s="40" t="s">
        <v>67</v>
      </c>
      <c r="F281" s="40" t="s">
        <v>67</v>
      </c>
      <c r="G281" s="40" t="s">
        <v>67</v>
      </c>
      <c r="H281" s="40" t="s">
        <v>67</v>
      </c>
      <c r="I281" s="40" t="s">
        <v>67</v>
      </c>
      <c r="J281" s="40" t="s">
        <v>67</v>
      </c>
      <c r="K281" s="40" t="s">
        <v>67</v>
      </c>
      <c r="L281" s="40" t="s">
        <v>67</v>
      </c>
      <c r="M281" s="40" t="s">
        <v>67</v>
      </c>
      <c r="N281" s="40" t="s">
        <v>67</v>
      </c>
      <c r="O281" s="40" t="s">
        <v>67</v>
      </c>
      <c r="P281" s="40" t="s">
        <v>67</v>
      </c>
      <c r="Q281" s="40" t="s">
        <v>67</v>
      </c>
      <c r="R281" s="40" t="s">
        <v>67</v>
      </c>
      <c r="S281" s="40" t="s">
        <v>67</v>
      </c>
      <c r="T281" s="40" t="s">
        <v>67</v>
      </c>
      <c r="U281" s="40" t="s">
        <v>67</v>
      </c>
      <c r="V281" s="40" t="s">
        <v>67</v>
      </c>
      <c r="W281" s="40" t="s">
        <v>67</v>
      </c>
      <c r="X281" s="40" t="s">
        <v>67</v>
      </c>
      <c r="Y281" s="40" t="s">
        <v>67</v>
      </c>
      <c r="Z281" s="40" t="s">
        <v>67</v>
      </c>
      <c r="AA281" s="40" t="s">
        <v>67</v>
      </c>
      <c r="AB281" s="40" t="s">
        <v>67</v>
      </c>
      <c r="AC281" s="40" t="s">
        <v>67</v>
      </c>
      <c r="AD281" s="40" t="s">
        <v>67</v>
      </c>
      <c r="AE281" s="40" t="s">
        <v>67</v>
      </c>
      <c r="AF281" s="40" t="s">
        <v>67</v>
      </c>
      <c r="AG281" s="40" t="s">
        <v>67</v>
      </c>
      <c r="AH281" s="40" t="s">
        <v>67</v>
      </c>
      <c r="AI281" s="40" t="s">
        <v>67</v>
      </c>
      <c r="AJ281" s="40" t="s">
        <v>67</v>
      </c>
      <c r="AK281" s="40" t="s">
        <v>67</v>
      </c>
      <c r="AL281" s="40" t="s">
        <v>67</v>
      </c>
      <c r="AM281" s="40" t="s">
        <v>67</v>
      </c>
      <c r="AN281" s="40" t="s">
        <v>67</v>
      </c>
      <c r="AO281" s="40" t="s">
        <v>67</v>
      </c>
      <c r="AP281" s="40" t="s">
        <v>67</v>
      </c>
      <c r="AQ281" s="40" t="s">
        <v>67</v>
      </c>
    </row>
    <row r="282" ht="13.5" spans="1:43">
      <c r="A282" s="38"/>
      <c r="B282" s="39" t="s">
        <v>4673</v>
      </c>
      <c r="C282" s="40" t="s">
        <v>67</v>
      </c>
      <c r="D282" s="40" t="s">
        <v>67</v>
      </c>
      <c r="E282" s="40" t="s">
        <v>67</v>
      </c>
      <c r="F282" s="40" t="s">
        <v>67</v>
      </c>
      <c r="G282" s="40" t="s">
        <v>67</v>
      </c>
      <c r="H282" s="40" t="s">
        <v>67</v>
      </c>
      <c r="I282" s="40" t="s">
        <v>67</v>
      </c>
      <c r="J282" s="40" t="s">
        <v>67</v>
      </c>
      <c r="K282" s="40" t="s">
        <v>67</v>
      </c>
      <c r="L282" s="40" t="s">
        <v>67</v>
      </c>
      <c r="M282" s="40" t="s">
        <v>67</v>
      </c>
      <c r="N282" s="40" t="s">
        <v>67</v>
      </c>
      <c r="O282" s="40" t="s">
        <v>67</v>
      </c>
      <c r="P282" s="40" t="s">
        <v>67</v>
      </c>
      <c r="Q282" s="40" t="s">
        <v>67</v>
      </c>
      <c r="R282" s="40" t="s">
        <v>67</v>
      </c>
      <c r="S282" s="40" t="s">
        <v>67</v>
      </c>
      <c r="T282" s="40" t="s">
        <v>67</v>
      </c>
      <c r="U282" s="40" t="s">
        <v>67</v>
      </c>
      <c r="V282" s="40" t="s">
        <v>67</v>
      </c>
      <c r="W282" s="40" t="s">
        <v>67</v>
      </c>
      <c r="X282" s="40" t="s">
        <v>67</v>
      </c>
      <c r="Y282" s="40" t="s">
        <v>67</v>
      </c>
      <c r="Z282" s="40" t="s">
        <v>67</v>
      </c>
      <c r="AA282" s="40" t="s">
        <v>67</v>
      </c>
      <c r="AB282" s="40" t="s">
        <v>67</v>
      </c>
      <c r="AC282" s="40" t="s">
        <v>67</v>
      </c>
      <c r="AD282" s="40" t="s">
        <v>67</v>
      </c>
      <c r="AE282" s="40" t="s">
        <v>67</v>
      </c>
      <c r="AF282" s="40" t="s">
        <v>67</v>
      </c>
      <c r="AG282" s="40" t="s">
        <v>67</v>
      </c>
      <c r="AH282" s="40" t="s">
        <v>67</v>
      </c>
      <c r="AI282" s="40" t="s">
        <v>67</v>
      </c>
      <c r="AJ282" s="40" t="s">
        <v>67</v>
      </c>
      <c r="AK282" s="40" t="s">
        <v>67</v>
      </c>
      <c r="AL282" s="40" t="s">
        <v>67</v>
      </c>
      <c r="AM282" s="40" t="s">
        <v>67</v>
      </c>
      <c r="AN282" s="40" t="s">
        <v>67</v>
      </c>
      <c r="AO282" s="40" t="s">
        <v>67</v>
      </c>
      <c r="AP282" s="40" t="s">
        <v>67</v>
      </c>
      <c r="AQ282" s="40" t="s">
        <v>67</v>
      </c>
    </row>
    <row r="283" ht="13.5" spans="1:43">
      <c r="A283" s="38"/>
      <c r="B283" s="39" t="s">
        <v>4674</v>
      </c>
      <c r="C283" s="40" t="s">
        <v>67</v>
      </c>
      <c r="D283" s="40" t="s">
        <v>3865</v>
      </c>
      <c r="E283" s="40" t="s">
        <v>4675</v>
      </c>
      <c r="F283" s="40" t="s">
        <v>4675</v>
      </c>
      <c r="G283" s="40" t="s">
        <v>67</v>
      </c>
      <c r="H283" s="40" t="s">
        <v>67</v>
      </c>
      <c r="I283" s="40" t="s">
        <v>67</v>
      </c>
      <c r="J283" s="40" t="s">
        <v>67</v>
      </c>
      <c r="K283" s="40" t="s">
        <v>67</v>
      </c>
      <c r="L283" s="40" t="s">
        <v>67</v>
      </c>
      <c r="M283" s="40" t="s">
        <v>67</v>
      </c>
      <c r="N283" s="40" t="s">
        <v>67</v>
      </c>
      <c r="O283" s="40" t="s">
        <v>67</v>
      </c>
      <c r="P283" s="40" t="s">
        <v>67</v>
      </c>
      <c r="Q283" s="40" t="s">
        <v>67</v>
      </c>
      <c r="R283" s="40" t="s">
        <v>67</v>
      </c>
      <c r="S283" s="40" t="s">
        <v>67</v>
      </c>
      <c r="T283" s="40" t="s">
        <v>67</v>
      </c>
      <c r="U283" s="40" t="s">
        <v>67</v>
      </c>
      <c r="V283" s="40" t="s">
        <v>67</v>
      </c>
      <c r="W283" s="40" t="s">
        <v>67</v>
      </c>
      <c r="X283" s="40" t="s">
        <v>67</v>
      </c>
      <c r="Y283" s="40" t="s">
        <v>4676</v>
      </c>
      <c r="Z283" s="40" t="s">
        <v>67</v>
      </c>
      <c r="AA283" s="40" t="s">
        <v>67</v>
      </c>
      <c r="AB283" s="40" t="s">
        <v>3643</v>
      </c>
      <c r="AC283" s="40" t="s">
        <v>4265</v>
      </c>
      <c r="AD283" s="40" t="s">
        <v>67</v>
      </c>
      <c r="AE283" s="40" t="s">
        <v>67</v>
      </c>
      <c r="AF283" s="40" t="s">
        <v>4279</v>
      </c>
      <c r="AG283" s="40" t="s">
        <v>67</v>
      </c>
      <c r="AH283" s="40" t="s">
        <v>67</v>
      </c>
      <c r="AI283" s="40" t="s">
        <v>67</v>
      </c>
      <c r="AJ283" s="40" t="s">
        <v>4677</v>
      </c>
      <c r="AK283" s="40" t="s">
        <v>67</v>
      </c>
      <c r="AL283" s="40" t="s">
        <v>67</v>
      </c>
      <c r="AM283" s="40" t="s">
        <v>67</v>
      </c>
      <c r="AN283" s="40" t="s">
        <v>67</v>
      </c>
      <c r="AO283" s="40" t="s">
        <v>67</v>
      </c>
      <c r="AP283" s="40" t="s">
        <v>67</v>
      </c>
      <c r="AQ283" s="40" t="s">
        <v>67</v>
      </c>
    </row>
    <row r="284" ht="13.5" spans="1:43">
      <c r="A284" s="38"/>
      <c r="B284" s="39" t="s">
        <v>4678</v>
      </c>
      <c r="C284" s="40" t="s">
        <v>4679</v>
      </c>
      <c r="D284" s="40" t="s">
        <v>2427</v>
      </c>
      <c r="E284" s="40" t="s">
        <v>2427</v>
      </c>
      <c r="F284" s="40" t="s">
        <v>2427</v>
      </c>
      <c r="G284" s="40" t="s">
        <v>4680</v>
      </c>
      <c r="H284" s="40" t="s">
        <v>2414</v>
      </c>
      <c r="I284" s="40" t="s">
        <v>2429</v>
      </c>
      <c r="J284" s="40" t="s">
        <v>4681</v>
      </c>
      <c r="K284" s="40" t="s">
        <v>4632</v>
      </c>
      <c r="L284" s="40" t="s">
        <v>2414</v>
      </c>
      <c r="M284" s="40" t="s">
        <v>2429</v>
      </c>
      <c r="N284" s="40" t="s">
        <v>2427</v>
      </c>
      <c r="O284" s="40" t="s">
        <v>4682</v>
      </c>
      <c r="P284" s="40" t="s">
        <v>4683</v>
      </c>
      <c r="Q284" s="40" t="s">
        <v>4684</v>
      </c>
      <c r="R284" s="40" t="s">
        <v>4050</v>
      </c>
      <c r="S284" s="40" t="s">
        <v>4685</v>
      </c>
      <c r="T284" s="40" t="s">
        <v>2429</v>
      </c>
      <c r="U284" s="40" t="s">
        <v>2427</v>
      </c>
      <c r="V284" s="40" t="s">
        <v>4639</v>
      </c>
      <c r="W284" s="40" t="s">
        <v>67</v>
      </c>
      <c r="X284" s="40" t="s">
        <v>4686</v>
      </c>
      <c r="Y284" s="40" t="s">
        <v>4687</v>
      </c>
      <c r="Z284" s="40" t="s">
        <v>3327</v>
      </c>
      <c r="AA284" s="40" t="s">
        <v>93</v>
      </c>
      <c r="AB284" s="40" t="s">
        <v>4688</v>
      </c>
      <c r="AC284" s="40" t="s">
        <v>4689</v>
      </c>
      <c r="AD284" s="40" t="s">
        <v>4643</v>
      </c>
      <c r="AE284" s="40" t="s">
        <v>4264</v>
      </c>
      <c r="AF284" s="40" t="s">
        <v>4690</v>
      </c>
      <c r="AG284" s="40" t="s">
        <v>4691</v>
      </c>
      <c r="AH284" s="40" t="s">
        <v>3932</v>
      </c>
      <c r="AI284" s="40" t="s">
        <v>4264</v>
      </c>
      <c r="AJ284" s="40" t="s">
        <v>4692</v>
      </c>
      <c r="AK284" s="40" t="s">
        <v>4693</v>
      </c>
      <c r="AL284" s="40" t="s">
        <v>4694</v>
      </c>
      <c r="AM284" s="40" t="s">
        <v>4194</v>
      </c>
      <c r="AN284" s="40" t="s">
        <v>4243</v>
      </c>
      <c r="AO284" s="40" t="s">
        <v>3862</v>
      </c>
      <c r="AP284" s="40" t="s">
        <v>4657</v>
      </c>
      <c r="AQ284" s="40" t="s">
        <v>3726</v>
      </c>
    </row>
    <row r="285" ht="13.5" spans="1:43">
      <c r="A285" s="38"/>
      <c r="B285" s="39" t="s">
        <v>4695</v>
      </c>
      <c r="C285" s="40" t="s">
        <v>4696</v>
      </c>
      <c r="D285" s="40" t="s">
        <v>4697</v>
      </c>
      <c r="E285" s="40" t="s">
        <v>3799</v>
      </c>
      <c r="F285" s="40" t="s">
        <v>4698</v>
      </c>
      <c r="G285" s="40" t="s">
        <v>4699</v>
      </c>
      <c r="H285" s="40" t="s">
        <v>4700</v>
      </c>
      <c r="I285" s="40" t="s">
        <v>4701</v>
      </c>
      <c r="J285" s="40" t="s">
        <v>4563</v>
      </c>
      <c r="K285" s="40" t="s">
        <v>4702</v>
      </c>
      <c r="L285" s="40" t="s">
        <v>2428</v>
      </c>
      <c r="M285" s="40" t="s">
        <v>2427</v>
      </c>
      <c r="N285" s="40" t="s">
        <v>4703</v>
      </c>
      <c r="O285" s="40" t="s">
        <v>2429</v>
      </c>
      <c r="P285" s="40" t="s">
        <v>2429</v>
      </c>
      <c r="Q285" s="40" t="s">
        <v>2427</v>
      </c>
      <c r="R285" s="40" t="s">
        <v>4704</v>
      </c>
      <c r="S285" s="40" t="s">
        <v>4705</v>
      </c>
      <c r="T285" s="40" t="s">
        <v>2414</v>
      </c>
      <c r="U285" s="40" t="s">
        <v>2427</v>
      </c>
      <c r="V285" s="40" t="s">
        <v>4706</v>
      </c>
      <c r="W285" s="40" t="s">
        <v>4707</v>
      </c>
      <c r="X285" s="40" t="s">
        <v>2427</v>
      </c>
      <c r="Y285" s="40" t="s">
        <v>2427</v>
      </c>
      <c r="Z285" s="40" t="s">
        <v>4708</v>
      </c>
      <c r="AA285" s="40" t="s">
        <v>4709</v>
      </c>
      <c r="AB285" s="40" t="s">
        <v>2427</v>
      </c>
      <c r="AC285" s="40" t="s">
        <v>4710</v>
      </c>
      <c r="AD285" s="40" t="s">
        <v>4711</v>
      </c>
      <c r="AE285" s="40" t="s">
        <v>4712</v>
      </c>
      <c r="AF285" s="40" t="s">
        <v>4713</v>
      </c>
      <c r="AG285" s="40" t="s">
        <v>4714</v>
      </c>
      <c r="AH285" s="40" t="s">
        <v>4715</v>
      </c>
      <c r="AI285" s="40" t="s">
        <v>4716</v>
      </c>
      <c r="AJ285" s="40" t="s">
        <v>4717</v>
      </c>
      <c r="AK285" s="40" t="s">
        <v>4718</v>
      </c>
      <c r="AL285" s="40" t="s">
        <v>4719</v>
      </c>
      <c r="AM285" s="40" t="s">
        <v>4720</v>
      </c>
      <c r="AN285" s="40" t="s">
        <v>2427</v>
      </c>
      <c r="AO285" s="40" t="s">
        <v>4721</v>
      </c>
      <c r="AP285" s="40" t="s">
        <v>4722</v>
      </c>
      <c r="AQ285" s="40" t="s">
        <v>4723</v>
      </c>
    </row>
    <row r="286" ht="13.5" spans="1:43">
      <c r="A286" s="38"/>
      <c r="B286" s="39" t="s">
        <v>4724</v>
      </c>
      <c r="C286" s="40" t="s">
        <v>4725</v>
      </c>
      <c r="D286" s="40" t="s">
        <v>2427</v>
      </c>
      <c r="E286" s="40" t="s">
        <v>2427</v>
      </c>
      <c r="F286" s="40" t="s">
        <v>2427</v>
      </c>
      <c r="G286" s="40" t="s">
        <v>4726</v>
      </c>
      <c r="H286" s="40" t="s">
        <v>2414</v>
      </c>
      <c r="I286" s="40" t="s">
        <v>2414</v>
      </c>
      <c r="J286" s="40" t="s">
        <v>2429</v>
      </c>
      <c r="K286" s="40" t="s">
        <v>3934</v>
      </c>
      <c r="L286" s="40" t="s">
        <v>2414</v>
      </c>
      <c r="M286" s="40" t="s">
        <v>2429</v>
      </c>
      <c r="N286" s="40" t="s">
        <v>4727</v>
      </c>
      <c r="O286" s="40" t="s">
        <v>4728</v>
      </c>
      <c r="P286" s="40" t="s">
        <v>4729</v>
      </c>
      <c r="Q286" s="40" t="s">
        <v>4730</v>
      </c>
      <c r="R286" s="40" t="s">
        <v>4731</v>
      </c>
      <c r="S286" s="40" t="s">
        <v>4732</v>
      </c>
      <c r="T286" s="40" t="s">
        <v>2429</v>
      </c>
      <c r="U286" s="40" t="s">
        <v>2429</v>
      </c>
      <c r="V286" s="40" t="s">
        <v>4733</v>
      </c>
      <c r="W286" s="40" t="s">
        <v>67</v>
      </c>
      <c r="X286" s="40" t="s">
        <v>4734</v>
      </c>
      <c r="Y286" s="40" t="s">
        <v>4735</v>
      </c>
      <c r="Z286" s="40" t="s">
        <v>4736</v>
      </c>
      <c r="AA286" s="40" t="s">
        <v>4197</v>
      </c>
      <c r="AB286" s="40" t="s">
        <v>4737</v>
      </c>
      <c r="AC286" s="40" t="s">
        <v>4091</v>
      </c>
      <c r="AD286" s="40" t="s">
        <v>3986</v>
      </c>
      <c r="AE286" s="40" t="s">
        <v>4738</v>
      </c>
      <c r="AF286" s="40" t="s">
        <v>4739</v>
      </c>
      <c r="AG286" s="40" t="s">
        <v>4740</v>
      </c>
      <c r="AH286" s="40" t="s">
        <v>4741</v>
      </c>
      <c r="AI286" s="40" t="s">
        <v>3637</v>
      </c>
      <c r="AJ286" s="40" t="s">
        <v>4742</v>
      </c>
      <c r="AK286" s="40" t="s">
        <v>4743</v>
      </c>
      <c r="AL286" s="40" t="s">
        <v>67</v>
      </c>
      <c r="AM286" s="40" t="s">
        <v>3332</v>
      </c>
      <c r="AN286" s="40" t="s">
        <v>4718</v>
      </c>
      <c r="AO286" s="40" t="s">
        <v>2427</v>
      </c>
      <c r="AP286" s="40" t="s">
        <v>2427</v>
      </c>
      <c r="AQ286" s="40" t="s">
        <v>2427</v>
      </c>
    </row>
    <row r="287" ht="13.5" spans="1:43">
      <c r="A287" s="38"/>
      <c r="B287" s="39" t="s">
        <v>4744</v>
      </c>
      <c r="C287" s="40" t="s">
        <v>67</v>
      </c>
      <c r="D287" s="40" t="s">
        <v>67</v>
      </c>
      <c r="E287" s="40" t="s">
        <v>67</v>
      </c>
      <c r="F287" s="40" t="s">
        <v>67</v>
      </c>
      <c r="G287" s="40" t="s">
        <v>67</v>
      </c>
      <c r="H287" s="40" t="s">
        <v>67</v>
      </c>
      <c r="I287" s="40" t="s">
        <v>67</v>
      </c>
      <c r="J287" s="40" t="s">
        <v>67</v>
      </c>
      <c r="K287" s="40" t="s">
        <v>67</v>
      </c>
      <c r="L287" s="40" t="s">
        <v>67</v>
      </c>
      <c r="M287" s="40" t="s">
        <v>67</v>
      </c>
      <c r="N287" s="40" t="s">
        <v>67</v>
      </c>
      <c r="O287" s="40" t="s">
        <v>67</v>
      </c>
      <c r="P287" s="40" t="s">
        <v>67</v>
      </c>
      <c r="Q287" s="40" t="s">
        <v>67</v>
      </c>
      <c r="R287" s="40" t="s">
        <v>67</v>
      </c>
      <c r="S287" s="40" t="s">
        <v>67</v>
      </c>
      <c r="T287" s="40" t="s">
        <v>67</v>
      </c>
      <c r="U287" s="40" t="s">
        <v>67</v>
      </c>
      <c r="V287" s="40" t="s">
        <v>67</v>
      </c>
      <c r="W287" s="40" t="s">
        <v>67</v>
      </c>
      <c r="X287" s="40" t="s">
        <v>67</v>
      </c>
      <c r="Y287" s="40" t="s">
        <v>67</v>
      </c>
      <c r="Z287" s="40" t="s">
        <v>67</v>
      </c>
      <c r="AA287" s="40" t="s">
        <v>67</v>
      </c>
      <c r="AB287" s="40" t="s">
        <v>67</v>
      </c>
      <c r="AC287" s="40" t="s">
        <v>67</v>
      </c>
      <c r="AD287" s="40" t="s">
        <v>67</v>
      </c>
      <c r="AE287" s="40" t="s">
        <v>67</v>
      </c>
      <c r="AF287" s="40" t="s">
        <v>67</v>
      </c>
      <c r="AG287" s="40" t="s">
        <v>67</v>
      </c>
      <c r="AH287" s="40" t="s">
        <v>67</v>
      </c>
      <c r="AI287" s="40" t="s">
        <v>67</v>
      </c>
      <c r="AJ287" s="40" t="s">
        <v>67</v>
      </c>
      <c r="AK287" s="40" t="s">
        <v>67</v>
      </c>
      <c r="AL287" s="40" t="s">
        <v>67</v>
      </c>
      <c r="AM287" s="40" t="s">
        <v>67</v>
      </c>
      <c r="AN287" s="40" t="s">
        <v>67</v>
      </c>
      <c r="AO287" s="40" t="s">
        <v>67</v>
      </c>
      <c r="AP287" s="40" t="s">
        <v>67</v>
      </c>
      <c r="AQ287" s="40" t="s">
        <v>67</v>
      </c>
    </row>
    <row r="288" ht="13.5" spans="1:43">
      <c r="A288" s="38"/>
      <c r="B288" s="39" t="s">
        <v>4745</v>
      </c>
      <c r="C288" s="40" t="s">
        <v>67</v>
      </c>
      <c r="D288" s="40" t="s">
        <v>67</v>
      </c>
      <c r="E288" s="40" t="s">
        <v>67</v>
      </c>
      <c r="F288" s="40" t="s">
        <v>67</v>
      </c>
      <c r="G288" s="40" t="s">
        <v>67</v>
      </c>
      <c r="H288" s="40" t="s">
        <v>67</v>
      </c>
      <c r="I288" s="40" t="s">
        <v>67</v>
      </c>
      <c r="J288" s="40" t="s">
        <v>67</v>
      </c>
      <c r="K288" s="40" t="s">
        <v>67</v>
      </c>
      <c r="L288" s="40" t="s">
        <v>67</v>
      </c>
      <c r="M288" s="40" t="s">
        <v>67</v>
      </c>
      <c r="N288" s="40" t="s">
        <v>67</v>
      </c>
      <c r="O288" s="40" t="s">
        <v>67</v>
      </c>
      <c r="P288" s="40" t="s">
        <v>67</v>
      </c>
      <c r="Q288" s="40" t="s">
        <v>67</v>
      </c>
      <c r="R288" s="40" t="s">
        <v>67</v>
      </c>
      <c r="S288" s="40" t="s">
        <v>67</v>
      </c>
      <c r="T288" s="40" t="s">
        <v>67</v>
      </c>
      <c r="U288" s="40" t="s">
        <v>67</v>
      </c>
      <c r="V288" s="40" t="s">
        <v>67</v>
      </c>
      <c r="W288" s="40" t="s">
        <v>67</v>
      </c>
      <c r="X288" s="40" t="s">
        <v>67</v>
      </c>
      <c r="Y288" s="40" t="s">
        <v>67</v>
      </c>
      <c r="Z288" s="40" t="s">
        <v>67</v>
      </c>
      <c r="AA288" s="40" t="s">
        <v>67</v>
      </c>
      <c r="AB288" s="40" t="s">
        <v>67</v>
      </c>
      <c r="AC288" s="40" t="s">
        <v>67</v>
      </c>
      <c r="AD288" s="40" t="s">
        <v>67</v>
      </c>
      <c r="AE288" s="40" t="s">
        <v>67</v>
      </c>
      <c r="AF288" s="40" t="s">
        <v>67</v>
      </c>
      <c r="AG288" s="40" t="s">
        <v>67</v>
      </c>
      <c r="AH288" s="40" t="s">
        <v>67</v>
      </c>
      <c r="AI288" s="40" t="s">
        <v>67</v>
      </c>
      <c r="AJ288" s="40" t="s">
        <v>67</v>
      </c>
      <c r="AK288" s="40" t="s">
        <v>67</v>
      </c>
      <c r="AL288" s="40" t="s">
        <v>67</v>
      </c>
      <c r="AM288" s="40" t="s">
        <v>67</v>
      </c>
      <c r="AN288" s="40" t="s">
        <v>67</v>
      </c>
      <c r="AO288" s="40" t="s">
        <v>67</v>
      </c>
      <c r="AP288" s="40" t="s">
        <v>67</v>
      </c>
      <c r="AQ288" s="40" t="s">
        <v>67</v>
      </c>
    </row>
    <row r="289" ht="13.5" spans="1:43">
      <c r="A289" s="38"/>
      <c r="B289" s="39" t="s">
        <v>4746</v>
      </c>
      <c r="C289" s="40" t="s">
        <v>67</v>
      </c>
      <c r="D289" s="40" t="s">
        <v>67</v>
      </c>
      <c r="E289" s="40" t="s">
        <v>67</v>
      </c>
      <c r="F289" s="40" t="s">
        <v>67</v>
      </c>
      <c r="G289" s="40" t="s">
        <v>67</v>
      </c>
      <c r="H289" s="40" t="s">
        <v>67</v>
      </c>
      <c r="I289" s="40" t="s">
        <v>67</v>
      </c>
      <c r="J289" s="40" t="s">
        <v>67</v>
      </c>
      <c r="K289" s="40" t="s">
        <v>67</v>
      </c>
      <c r="L289" s="40" t="s">
        <v>67</v>
      </c>
      <c r="M289" s="40" t="s">
        <v>67</v>
      </c>
      <c r="N289" s="40" t="s">
        <v>67</v>
      </c>
      <c r="O289" s="40" t="s">
        <v>67</v>
      </c>
      <c r="P289" s="40" t="s">
        <v>67</v>
      </c>
      <c r="Q289" s="40" t="s">
        <v>67</v>
      </c>
      <c r="R289" s="40" t="s">
        <v>67</v>
      </c>
      <c r="S289" s="40" t="s">
        <v>67</v>
      </c>
      <c r="T289" s="40" t="s">
        <v>67</v>
      </c>
      <c r="U289" s="40" t="s">
        <v>67</v>
      </c>
      <c r="V289" s="40" t="s">
        <v>67</v>
      </c>
      <c r="W289" s="40" t="s">
        <v>67</v>
      </c>
      <c r="X289" s="40" t="s">
        <v>67</v>
      </c>
      <c r="Y289" s="40" t="s">
        <v>67</v>
      </c>
      <c r="Z289" s="40" t="s">
        <v>67</v>
      </c>
      <c r="AA289" s="40" t="s">
        <v>67</v>
      </c>
      <c r="AB289" s="40" t="s">
        <v>67</v>
      </c>
      <c r="AC289" s="40" t="s">
        <v>67</v>
      </c>
      <c r="AD289" s="40" t="s">
        <v>67</v>
      </c>
      <c r="AE289" s="40" t="s">
        <v>67</v>
      </c>
      <c r="AF289" s="40" t="s">
        <v>67</v>
      </c>
      <c r="AG289" s="40" t="s">
        <v>67</v>
      </c>
      <c r="AH289" s="40" t="s">
        <v>67</v>
      </c>
      <c r="AI289" s="40" t="s">
        <v>67</v>
      </c>
      <c r="AJ289" s="40" t="s">
        <v>67</v>
      </c>
      <c r="AK289" s="40" t="s">
        <v>67</v>
      </c>
      <c r="AL289" s="40" t="s">
        <v>67</v>
      </c>
      <c r="AM289" s="40" t="s">
        <v>67</v>
      </c>
      <c r="AN289" s="40" t="s">
        <v>67</v>
      </c>
      <c r="AO289" s="40" t="s">
        <v>67</v>
      </c>
      <c r="AP289" s="40" t="s">
        <v>67</v>
      </c>
      <c r="AQ289" s="40" t="s">
        <v>67</v>
      </c>
    </row>
    <row r="290" ht="13.5" spans="1:43">
      <c r="A290" s="38"/>
      <c r="B290" s="39" t="s">
        <v>4747</v>
      </c>
      <c r="C290" s="40" t="s">
        <v>67</v>
      </c>
      <c r="D290" s="40" t="s">
        <v>67</v>
      </c>
      <c r="E290" s="40" t="s">
        <v>67</v>
      </c>
      <c r="F290" s="40" t="s">
        <v>67</v>
      </c>
      <c r="G290" s="40" t="s">
        <v>67</v>
      </c>
      <c r="H290" s="40" t="s">
        <v>67</v>
      </c>
      <c r="I290" s="40" t="s">
        <v>67</v>
      </c>
      <c r="J290" s="40" t="s">
        <v>67</v>
      </c>
      <c r="K290" s="40" t="s">
        <v>67</v>
      </c>
      <c r="L290" s="40" t="s">
        <v>67</v>
      </c>
      <c r="M290" s="40" t="s">
        <v>67</v>
      </c>
      <c r="N290" s="40" t="s">
        <v>67</v>
      </c>
      <c r="O290" s="40" t="s">
        <v>67</v>
      </c>
      <c r="P290" s="40" t="s">
        <v>67</v>
      </c>
      <c r="Q290" s="40" t="s">
        <v>67</v>
      </c>
      <c r="R290" s="40" t="s">
        <v>67</v>
      </c>
      <c r="S290" s="40" t="s">
        <v>67</v>
      </c>
      <c r="T290" s="40" t="s">
        <v>67</v>
      </c>
      <c r="U290" s="40" t="s">
        <v>67</v>
      </c>
      <c r="V290" s="40" t="s">
        <v>67</v>
      </c>
      <c r="W290" s="40" t="s">
        <v>67</v>
      </c>
      <c r="X290" s="40" t="s">
        <v>67</v>
      </c>
      <c r="Y290" s="40" t="s">
        <v>67</v>
      </c>
      <c r="Z290" s="40" t="s">
        <v>67</v>
      </c>
      <c r="AA290" s="40" t="s">
        <v>67</v>
      </c>
      <c r="AB290" s="40" t="s">
        <v>67</v>
      </c>
      <c r="AC290" s="40" t="s">
        <v>67</v>
      </c>
      <c r="AD290" s="40" t="s">
        <v>67</v>
      </c>
      <c r="AE290" s="40" t="s">
        <v>67</v>
      </c>
      <c r="AF290" s="40" t="s">
        <v>67</v>
      </c>
      <c r="AG290" s="40" t="s">
        <v>67</v>
      </c>
      <c r="AH290" s="40" t="s">
        <v>67</v>
      </c>
      <c r="AI290" s="40" t="s">
        <v>67</v>
      </c>
      <c r="AJ290" s="40" t="s">
        <v>67</v>
      </c>
      <c r="AK290" s="40" t="s">
        <v>67</v>
      </c>
      <c r="AL290" s="40" t="s">
        <v>67</v>
      </c>
      <c r="AM290" s="40" t="s">
        <v>67</v>
      </c>
      <c r="AN290" s="40" t="s">
        <v>67</v>
      </c>
      <c r="AO290" s="40" t="s">
        <v>67</v>
      </c>
      <c r="AP290" s="40" t="s">
        <v>67</v>
      </c>
      <c r="AQ290" s="40" t="s">
        <v>67</v>
      </c>
    </row>
    <row r="291" ht="13.5" spans="1:43">
      <c r="A291" s="38"/>
      <c r="B291" s="39" t="s">
        <v>2767</v>
      </c>
      <c r="C291" s="40" t="s">
        <v>2768</v>
      </c>
      <c r="D291" s="40" t="s">
        <v>2769</v>
      </c>
      <c r="E291" s="40" t="s">
        <v>2770</v>
      </c>
      <c r="F291" s="40" t="s">
        <v>2771</v>
      </c>
      <c r="G291" s="40" t="s">
        <v>2772</v>
      </c>
      <c r="H291" s="40" t="s">
        <v>2773</v>
      </c>
      <c r="I291" s="40" t="s">
        <v>2473</v>
      </c>
      <c r="J291" s="40" t="s">
        <v>2473</v>
      </c>
      <c r="K291" s="40" t="s">
        <v>2774</v>
      </c>
      <c r="L291" s="40" t="s">
        <v>2481</v>
      </c>
      <c r="M291" s="40" t="s">
        <v>2775</v>
      </c>
      <c r="N291" s="40" t="s">
        <v>2776</v>
      </c>
      <c r="O291" s="40" t="s">
        <v>2508</v>
      </c>
      <c r="P291" s="40" t="s">
        <v>2473</v>
      </c>
      <c r="Q291" s="40" t="s">
        <v>2508</v>
      </c>
      <c r="R291" s="40" t="s">
        <v>2508</v>
      </c>
      <c r="S291" s="40" t="s">
        <v>2777</v>
      </c>
      <c r="T291" s="40" t="s">
        <v>2472</v>
      </c>
      <c r="U291" s="40" t="s">
        <v>2508</v>
      </c>
      <c r="V291" s="40" t="s">
        <v>2508</v>
      </c>
      <c r="W291" s="40" t="s">
        <v>2778</v>
      </c>
      <c r="X291" s="40" t="s">
        <v>2473</v>
      </c>
      <c r="Y291" s="40" t="s">
        <v>2508</v>
      </c>
      <c r="Z291" s="40" t="s">
        <v>2779</v>
      </c>
      <c r="AA291" s="40" t="s">
        <v>2780</v>
      </c>
      <c r="AB291" s="40" t="s">
        <v>2508</v>
      </c>
      <c r="AC291" s="40" t="s">
        <v>2781</v>
      </c>
      <c r="AD291" s="40" t="s">
        <v>2782</v>
      </c>
      <c r="AE291" s="40" t="s">
        <v>2783</v>
      </c>
      <c r="AF291" s="40" t="s">
        <v>2475</v>
      </c>
      <c r="AG291" s="40" t="s">
        <v>2784</v>
      </c>
      <c r="AH291" s="40" t="s">
        <v>2785</v>
      </c>
      <c r="AI291" s="40" t="s">
        <v>2786</v>
      </c>
      <c r="AJ291" s="40" t="s">
        <v>2787</v>
      </c>
      <c r="AK291" s="40" t="s">
        <v>2788</v>
      </c>
      <c r="AL291" s="40" t="s">
        <v>2789</v>
      </c>
      <c r="AM291" s="40" t="s">
        <v>2790</v>
      </c>
      <c r="AN291" s="40" t="s">
        <v>2473</v>
      </c>
      <c r="AO291" s="40" t="s">
        <v>2473</v>
      </c>
      <c r="AP291" s="40" t="s">
        <v>2473</v>
      </c>
      <c r="AQ291" s="40" t="s">
        <v>2508</v>
      </c>
    </row>
    <row r="292" ht="13.5" spans="1:43">
      <c r="A292" s="38" t="s">
        <v>4748</v>
      </c>
      <c r="B292" s="39" t="s">
        <v>4749</v>
      </c>
      <c r="C292" s="40" t="s">
        <v>67</v>
      </c>
      <c r="D292" s="40" t="s">
        <v>67</v>
      </c>
      <c r="E292" s="40" t="s">
        <v>67</v>
      </c>
      <c r="F292" s="40" t="s">
        <v>67</v>
      </c>
      <c r="G292" s="40" t="s">
        <v>67</v>
      </c>
      <c r="H292" s="40" t="s">
        <v>67</v>
      </c>
      <c r="I292" s="40" t="s">
        <v>67</v>
      </c>
      <c r="J292" s="40" t="s">
        <v>67</v>
      </c>
      <c r="K292" s="40" t="s">
        <v>67</v>
      </c>
      <c r="L292" s="40" t="s">
        <v>67</v>
      </c>
      <c r="M292" s="40" t="s">
        <v>67</v>
      </c>
      <c r="N292" s="40" t="s">
        <v>67</v>
      </c>
      <c r="O292" s="40" t="s">
        <v>67</v>
      </c>
      <c r="P292" s="40" t="s">
        <v>67</v>
      </c>
      <c r="Q292" s="40" t="s">
        <v>67</v>
      </c>
      <c r="R292" s="40" t="s">
        <v>67</v>
      </c>
      <c r="S292" s="40" t="s">
        <v>67</v>
      </c>
      <c r="T292" s="40" t="s">
        <v>67</v>
      </c>
      <c r="U292" s="40" t="s">
        <v>67</v>
      </c>
      <c r="V292" s="40" t="s">
        <v>67</v>
      </c>
      <c r="W292" s="40" t="s">
        <v>67</v>
      </c>
      <c r="X292" s="40" t="s">
        <v>67</v>
      </c>
      <c r="Y292" s="40" t="s">
        <v>67</v>
      </c>
      <c r="Z292" s="40" t="s">
        <v>67</v>
      </c>
      <c r="AA292" s="40" t="s">
        <v>67</v>
      </c>
      <c r="AB292" s="40" t="s">
        <v>67</v>
      </c>
      <c r="AC292" s="40" t="s">
        <v>67</v>
      </c>
      <c r="AD292" s="40" t="s">
        <v>67</v>
      </c>
      <c r="AE292" s="40" t="s">
        <v>67</v>
      </c>
      <c r="AF292" s="40" t="s">
        <v>67</v>
      </c>
      <c r="AG292" s="40" t="s">
        <v>67</v>
      </c>
      <c r="AH292" s="40" t="s">
        <v>67</v>
      </c>
      <c r="AI292" s="40" t="s">
        <v>67</v>
      </c>
      <c r="AJ292" s="40" t="s">
        <v>67</v>
      </c>
      <c r="AK292" s="40" t="s">
        <v>67</v>
      </c>
      <c r="AL292" s="40" t="s">
        <v>67</v>
      </c>
      <c r="AM292" s="40" t="s">
        <v>67</v>
      </c>
      <c r="AN292" s="40" t="s">
        <v>67</v>
      </c>
      <c r="AO292" s="40" t="s">
        <v>67</v>
      </c>
      <c r="AP292" s="40" t="s">
        <v>67</v>
      </c>
      <c r="AQ292" s="40" t="s">
        <v>67</v>
      </c>
    </row>
    <row r="293" ht="13.5" spans="1:43">
      <c r="A293" s="38"/>
      <c r="B293" s="39" t="s">
        <v>4750</v>
      </c>
      <c r="C293" s="40" t="s">
        <v>67</v>
      </c>
      <c r="D293" s="40" t="s">
        <v>67</v>
      </c>
      <c r="E293" s="40" t="s">
        <v>67</v>
      </c>
      <c r="F293" s="40" t="s">
        <v>67</v>
      </c>
      <c r="G293" s="40" t="s">
        <v>67</v>
      </c>
      <c r="H293" s="40" t="s">
        <v>67</v>
      </c>
      <c r="I293" s="40" t="s">
        <v>67</v>
      </c>
      <c r="J293" s="40" t="s">
        <v>67</v>
      </c>
      <c r="K293" s="40" t="s">
        <v>67</v>
      </c>
      <c r="L293" s="40" t="s">
        <v>67</v>
      </c>
      <c r="M293" s="40" t="s">
        <v>67</v>
      </c>
      <c r="N293" s="40" t="s">
        <v>67</v>
      </c>
      <c r="O293" s="40" t="s">
        <v>67</v>
      </c>
      <c r="P293" s="40" t="s">
        <v>67</v>
      </c>
      <c r="Q293" s="40" t="s">
        <v>67</v>
      </c>
      <c r="R293" s="40" t="s">
        <v>67</v>
      </c>
      <c r="S293" s="40" t="s">
        <v>67</v>
      </c>
      <c r="T293" s="40" t="s">
        <v>67</v>
      </c>
      <c r="U293" s="40" t="s">
        <v>67</v>
      </c>
      <c r="V293" s="40" t="s">
        <v>67</v>
      </c>
      <c r="W293" s="40" t="s">
        <v>67</v>
      </c>
      <c r="X293" s="40" t="s">
        <v>67</v>
      </c>
      <c r="Y293" s="40" t="s">
        <v>67</v>
      </c>
      <c r="Z293" s="40" t="s">
        <v>67</v>
      </c>
      <c r="AA293" s="40" t="s">
        <v>67</v>
      </c>
      <c r="AB293" s="40" t="s">
        <v>67</v>
      </c>
      <c r="AC293" s="40" t="s">
        <v>67</v>
      </c>
      <c r="AD293" s="40" t="s">
        <v>67</v>
      </c>
      <c r="AE293" s="40" t="s">
        <v>67</v>
      </c>
      <c r="AF293" s="40" t="s">
        <v>67</v>
      </c>
      <c r="AG293" s="40" t="s">
        <v>67</v>
      </c>
      <c r="AH293" s="40" t="s">
        <v>67</v>
      </c>
      <c r="AI293" s="40" t="s">
        <v>67</v>
      </c>
      <c r="AJ293" s="40" t="s">
        <v>67</v>
      </c>
      <c r="AK293" s="40" t="s">
        <v>67</v>
      </c>
      <c r="AL293" s="40" t="s">
        <v>67</v>
      </c>
      <c r="AM293" s="40" t="s">
        <v>67</v>
      </c>
      <c r="AN293" s="40" t="s">
        <v>67</v>
      </c>
      <c r="AO293" s="40" t="s">
        <v>67</v>
      </c>
      <c r="AP293" s="40" t="s">
        <v>67</v>
      </c>
      <c r="AQ293" s="40" t="s">
        <v>67</v>
      </c>
    </row>
    <row r="294" ht="13.5" spans="1:43">
      <c r="A294" s="38"/>
      <c r="B294" s="39" t="s">
        <v>4751</v>
      </c>
      <c r="C294" s="40" t="s">
        <v>2414</v>
      </c>
      <c r="D294" s="40" t="s">
        <v>2425</v>
      </c>
      <c r="E294" s="40" t="s">
        <v>2428</v>
      </c>
      <c r="F294" s="40" t="s">
        <v>2421</v>
      </c>
      <c r="G294" s="40" t="s">
        <v>2414</v>
      </c>
      <c r="H294" s="40" t="s">
        <v>2410</v>
      </c>
      <c r="I294" s="40" t="s">
        <v>2425</v>
      </c>
      <c r="J294" s="40" t="s">
        <v>2426</v>
      </c>
      <c r="K294" s="40" t="s">
        <v>2414</v>
      </c>
      <c r="L294" s="40" t="s">
        <v>2428</v>
      </c>
      <c r="M294" s="40" t="s">
        <v>2421</v>
      </c>
      <c r="N294" s="40" t="s">
        <v>2429</v>
      </c>
      <c r="O294" s="40" t="s">
        <v>2427</v>
      </c>
      <c r="P294" s="40" t="s">
        <v>2413</v>
      </c>
      <c r="Q294" s="40" t="s">
        <v>2425</v>
      </c>
      <c r="R294" s="40" t="s">
        <v>2426</v>
      </c>
      <c r="S294" s="40" t="s">
        <v>2414</v>
      </c>
      <c r="T294" s="40" t="s">
        <v>2417</v>
      </c>
      <c r="U294" s="40" t="s">
        <v>2410</v>
      </c>
      <c r="V294" s="40" t="s">
        <v>2418</v>
      </c>
      <c r="W294" s="40" t="s">
        <v>2429</v>
      </c>
      <c r="X294" s="40" t="s">
        <v>2428</v>
      </c>
      <c r="Y294" s="40" t="s">
        <v>2426</v>
      </c>
      <c r="Z294" s="40" t="s">
        <v>2421</v>
      </c>
      <c r="AA294" s="40" t="s">
        <v>2429</v>
      </c>
      <c r="AB294" s="40" t="s">
        <v>2426</v>
      </c>
      <c r="AC294" s="40" t="s">
        <v>2421</v>
      </c>
      <c r="AD294" s="40" t="s">
        <v>2421</v>
      </c>
      <c r="AE294" s="40" t="s">
        <v>2429</v>
      </c>
      <c r="AF294" s="40" t="s">
        <v>2414</v>
      </c>
      <c r="AG294" s="40" t="s">
        <v>2429</v>
      </c>
      <c r="AH294" s="40" t="s">
        <v>4752</v>
      </c>
      <c r="AI294" s="40" t="s">
        <v>4073</v>
      </c>
      <c r="AJ294" s="40" t="s">
        <v>4752</v>
      </c>
      <c r="AK294" s="40" t="s">
        <v>67</v>
      </c>
      <c r="AL294" s="40" t="s">
        <v>67</v>
      </c>
      <c r="AM294" s="40" t="s">
        <v>67</v>
      </c>
      <c r="AN294" s="40" t="s">
        <v>67</v>
      </c>
      <c r="AO294" s="40" t="s">
        <v>67</v>
      </c>
      <c r="AP294" s="40" t="s">
        <v>67</v>
      </c>
      <c r="AQ294" s="40" t="s">
        <v>67</v>
      </c>
    </row>
    <row r="295" ht="13.5" spans="1:43">
      <c r="A295" s="38"/>
      <c r="B295" s="39" t="s">
        <v>4753</v>
      </c>
      <c r="C295" s="40" t="s">
        <v>67</v>
      </c>
      <c r="D295" s="40" t="s">
        <v>67</v>
      </c>
      <c r="E295" s="40" t="s">
        <v>67</v>
      </c>
      <c r="F295" s="40" t="s">
        <v>67</v>
      </c>
      <c r="G295" s="40" t="s">
        <v>67</v>
      </c>
      <c r="H295" s="40" t="s">
        <v>67</v>
      </c>
      <c r="I295" s="40" t="s">
        <v>67</v>
      </c>
      <c r="J295" s="40" t="s">
        <v>67</v>
      </c>
      <c r="K295" s="40" t="s">
        <v>67</v>
      </c>
      <c r="L295" s="40" t="s">
        <v>67</v>
      </c>
      <c r="M295" s="40" t="s">
        <v>67</v>
      </c>
      <c r="N295" s="40" t="s">
        <v>67</v>
      </c>
      <c r="O295" s="40" t="s">
        <v>67</v>
      </c>
      <c r="P295" s="40" t="s">
        <v>67</v>
      </c>
      <c r="Q295" s="40" t="s">
        <v>67</v>
      </c>
      <c r="R295" s="40" t="s">
        <v>67</v>
      </c>
      <c r="S295" s="40" t="s">
        <v>67</v>
      </c>
      <c r="T295" s="40" t="s">
        <v>67</v>
      </c>
      <c r="U295" s="40" t="s">
        <v>67</v>
      </c>
      <c r="V295" s="40" t="s">
        <v>67</v>
      </c>
      <c r="W295" s="40" t="s">
        <v>67</v>
      </c>
      <c r="X295" s="40" t="s">
        <v>67</v>
      </c>
      <c r="Y295" s="40" t="s">
        <v>67</v>
      </c>
      <c r="Z295" s="40" t="s">
        <v>67</v>
      </c>
      <c r="AA295" s="40" t="s">
        <v>67</v>
      </c>
      <c r="AB295" s="40" t="s">
        <v>67</v>
      </c>
      <c r="AC295" s="40" t="s">
        <v>67</v>
      </c>
      <c r="AD295" s="40" t="s">
        <v>67</v>
      </c>
      <c r="AE295" s="40" t="s">
        <v>67</v>
      </c>
      <c r="AF295" s="40" t="s">
        <v>67</v>
      </c>
      <c r="AG295" s="40" t="s">
        <v>67</v>
      </c>
      <c r="AH295" s="40" t="s">
        <v>67</v>
      </c>
      <c r="AI295" s="40" t="s">
        <v>67</v>
      </c>
      <c r="AJ295" s="40" t="s">
        <v>67</v>
      </c>
      <c r="AK295" s="40" t="s">
        <v>67</v>
      </c>
      <c r="AL295" s="40" t="s">
        <v>67</v>
      </c>
      <c r="AM295" s="40" t="s">
        <v>67</v>
      </c>
      <c r="AN295" s="40" t="s">
        <v>67</v>
      </c>
      <c r="AO295" s="40" t="s">
        <v>67</v>
      </c>
      <c r="AP295" s="40" t="s">
        <v>67</v>
      </c>
      <c r="AQ295" s="40" t="s">
        <v>67</v>
      </c>
    </row>
    <row r="296" ht="13.5" spans="1:43">
      <c r="A296" s="38"/>
      <c r="B296" s="39" t="s">
        <v>4754</v>
      </c>
      <c r="C296" s="40" t="s">
        <v>67</v>
      </c>
      <c r="D296" s="40" t="s">
        <v>67</v>
      </c>
      <c r="E296" s="40" t="s">
        <v>67</v>
      </c>
      <c r="F296" s="40" t="s">
        <v>67</v>
      </c>
      <c r="G296" s="40" t="s">
        <v>67</v>
      </c>
      <c r="H296" s="40" t="s">
        <v>67</v>
      </c>
      <c r="I296" s="40" t="s">
        <v>67</v>
      </c>
      <c r="J296" s="40" t="s">
        <v>67</v>
      </c>
      <c r="K296" s="40" t="s">
        <v>67</v>
      </c>
      <c r="L296" s="40" t="s">
        <v>67</v>
      </c>
      <c r="M296" s="40" t="s">
        <v>67</v>
      </c>
      <c r="N296" s="40" t="s">
        <v>67</v>
      </c>
      <c r="O296" s="40" t="s">
        <v>67</v>
      </c>
      <c r="P296" s="40" t="s">
        <v>67</v>
      </c>
      <c r="Q296" s="40" t="s">
        <v>67</v>
      </c>
      <c r="R296" s="40" t="s">
        <v>67</v>
      </c>
      <c r="S296" s="40" t="s">
        <v>67</v>
      </c>
      <c r="T296" s="40" t="s">
        <v>67</v>
      </c>
      <c r="U296" s="40" t="s">
        <v>67</v>
      </c>
      <c r="V296" s="40" t="s">
        <v>67</v>
      </c>
      <c r="W296" s="40" t="s">
        <v>67</v>
      </c>
      <c r="X296" s="40" t="s">
        <v>67</v>
      </c>
      <c r="Y296" s="40" t="s">
        <v>67</v>
      </c>
      <c r="Z296" s="40" t="s">
        <v>67</v>
      </c>
      <c r="AA296" s="40" t="s">
        <v>67</v>
      </c>
      <c r="AB296" s="40" t="s">
        <v>67</v>
      </c>
      <c r="AC296" s="40" t="s">
        <v>67</v>
      </c>
      <c r="AD296" s="40" t="s">
        <v>67</v>
      </c>
      <c r="AE296" s="40" t="s">
        <v>67</v>
      </c>
      <c r="AF296" s="40" t="s">
        <v>67</v>
      </c>
      <c r="AG296" s="40" t="s">
        <v>67</v>
      </c>
      <c r="AH296" s="40" t="s">
        <v>67</v>
      </c>
      <c r="AI296" s="40" t="s">
        <v>67</v>
      </c>
      <c r="AJ296" s="40" t="s">
        <v>67</v>
      </c>
      <c r="AK296" s="40" t="s">
        <v>67</v>
      </c>
      <c r="AL296" s="40" t="s">
        <v>67</v>
      </c>
      <c r="AM296" s="40" t="s">
        <v>67</v>
      </c>
      <c r="AN296" s="40" t="s">
        <v>67</v>
      </c>
      <c r="AO296" s="40" t="s">
        <v>67</v>
      </c>
      <c r="AP296" s="40" t="s">
        <v>67</v>
      </c>
      <c r="AQ296" s="40" t="s">
        <v>67</v>
      </c>
    </row>
    <row r="297" ht="13.5" spans="1:43">
      <c r="A297" s="38"/>
      <c r="B297" s="39" t="s">
        <v>4755</v>
      </c>
      <c r="C297" s="40" t="s">
        <v>67</v>
      </c>
      <c r="D297" s="40" t="s">
        <v>67</v>
      </c>
      <c r="E297" s="40" t="s">
        <v>67</v>
      </c>
      <c r="F297" s="40" t="s">
        <v>67</v>
      </c>
      <c r="G297" s="40" t="s">
        <v>67</v>
      </c>
      <c r="H297" s="40" t="s">
        <v>67</v>
      </c>
      <c r="I297" s="40" t="s">
        <v>67</v>
      </c>
      <c r="J297" s="40" t="s">
        <v>67</v>
      </c>
      <c r="K297" s="40" t="s">
        <v>67</v>
      </c>
      <c r="L297" s="40" t="s">
        <v>67</v>
      </c>
      <c r="M297" s="40" t="s">
        <v>67</v>
      </c>
      <c r="N297" s="40" t="s">
        <v>67</v>
      </c>
      <c r="O297" s="40" t="s">
        <v>67</v>
      </c>
      <c r="P297" s="40" t="s">
        <v>67</v>
      </c>
      <c r="Q297" s="40" t="s">
        <v>67</v>
      </c>
      <c r="R297" s="40" t="s">
        <v>67</v>
      </c>
      <c r="S297" s="40" t="s">
        <v>67</v>
      </c>
      <c r="T297" s="40" t="s">
        <v>67</v>
      </c>
      <c r="U297" s="40" t="s">
        <v>67</v>
      </c>
      <c r="V297" s="40" t="s">
        <v>67</v>
      </c>
      <c r="W297" s="40" t="s">
        <v>67</v>
      </c>
      <c r="X297" s="40" t="s">
        <v>67</v>
      </c>
      <c r="Y297" s="40" t="s">
        <v>67</v>
      </c>
      <c r="Z297" s="40" t="s">
        <v>67</v>
      </c>
      <c r="AA297" s="40" t="s">
        <v>67</v>
      </c>
      <c r="AB297" s="40" t="s">
        <v>67</v>
      </c>
      <c r="AC297" s="40" t="s">
        <v>67</v>
      </c>
      <c r="AD297" s="40" t="s">
        <v>67</v>
      </c>
      <c r="AE297" s="40" t="s">
        <v>67</v>
      </c>
      <c r="AF297" s="40" t="s">
        <v>67</v>
      </c>
      <c r="AG297" s="40" t="s">
        <v>67</v>
      </c>
      <c r="AH297" s="40" t="s">
        <v>67</v>
      </c>
      <c r="AI297" s="40" t="s">
        <v>67</v>
      </c>
      <c r="AJ297" s="40" t="s">
        <v>67</v>
      </c>
      <c r="AK297" s="40" t="s">
        <v>67</v>
      </c>
      <c r="AL297" s="40" t="s">
        <v>67</v>
      </c>
      <c r="AM297" s="40" t="s">
        <v>67</v>
      </c>
      <c r="AN297" s="40" t="s">
        <v>67</v>
      </c>
      <c r="AO297" s="40" t="s">
        <v>67</v>
      </c>
      <c r="AP297" s="40" t="s">
        <v>67</v>
      </c>
      <c r="AQ297" s="40" t="s">
        <v>67</v>
      </c>
    </row>
    <row r="298" ht="13.5" spans="1:43">
      <c r="A298" s="38"/>
      <c r="B298" s="39" t="s">
        <v>4756</v>
      </c>
      <c r="C298" s="40" t="s">
        <v>67</v>
      </c>
      <c r="D298" s="40" t="s">
        <v>67</v>
      </c>
      <c r="E298" s="40" t="s">
        <v>67</v>
      </c>
      <c r="F298" s="40" t="s">
        <v>67</v>
      </c>
      <c r="G298" s="40" t="s">
        <v>67</v>
      </c>
      <c r="H298" s="40" t="s">
        <v>67</v>
      </c>
      <c r="I298" s="40" t="s">
        <v>67</v>
      </c>
      <c r="J298" s="40" t="s">
        <v>67</v>
      </c>
      <c r="K298" s="40" t="s">
        <v>67</v>
      </c>
      <c r="L298" s="40" t="s">
        <v>67</v>
      </c>
      <c r="M298" s="40" t="s">
        <v>67</v>
      </c>
      <c r="N298" s="40" t="s">
        <v>67</v>
      </c>
      <c r="O298" s="40" t="s">
        <v>67</v>
      </c>
      <c r="P298" s="40" t="s">
        <v>67</v>
      </c>
      <c r="Q298" s="40" t="s">
        <v>67</v>
      </c>
      <c r="R298" s="40" t="s">
        <v>67</v>
      </c>
      <c r="S298" s="40" t="s">
        <v>67</v>
      </c>
      <c r="T298" s="40" t="s">
        <v>67</v>
      </c>
      <c r="U298" s="40" t="s">
        <v>67</v>
      </c>
      <c r="V298" s="40" t="s">
        <v>67</v>
      </c>
      <c r="W298" s="40" t="s">
        <v>67</v>
      </c>
      <c r="X298" s="40" t="s">
        <v>67</v>
      </c>
      <c r="Y298" s="40" t="s">
        <v>67</v>
      </c>
      <c r="Z298" s="40" t="s">
        <v>67</v>
      </c>
      <c r="AA298" s="40" t="s">
        <v>67</v>
      </c>
      <c r="AB298" s="40" t="s">
        <v>67</v>
      </c>
      <c r="AC298" s="40" t="s">
        <v>67</v>
      </c>
      <c r="AD298" s="40" t="s">
        <v>67</v>
      </c>
      <c r="AE298" s="40" t="s">
        <v>67</v>
      </c>
      <c r="AF298" s="40" t="s">
        <v>67</v>
      </c>
      <c r="AG298" s="40" t="s">
        <v>67</v>
      </c>
      <c r="AH298" s="40" t="s">
        <v>67</v>
      </c>
      <c r="AI298" s="40" t="s">
        <v>67</v>
      </c>
      <c r="AJ298" s="40" t="s">
        <v>67</v>
      </c>
      <c r="AK298" s="40" t="s">
        <v>67</v>
      </c>
      <c r="AL298" s="40" t="s">
        <v>67</v>
      </c>
      <c r="AM298" s="40" t="s">
        <v>67</v>
      </c>
      <c r="AN298" s="40" t="s">
        <v>67</v>
      </c>
      <c r="AO298" s="40" t="s">
        <v>67</v>
      </c>
      <c r="AP298" s="40" t="s">
        <v>67</v>
      </c>
      <c r="AQ298" s="40" t="s">
        <v>67</v>
      </c>
    </row>
    <row r="299" ht="13.5" spans="1:43">
      <c r="A299" s="38"/>
      <c r="B299" s="39" t="s">
        <v>4757</v>
      </c>
      <c r="C299" s="40" t="s">
        <v>67</v>
      </c>
      <c r="D299" s="40" t="s">
        <v>67</v>
      </c>
      <c r="E299" s="40" t="s">
        <v>67</v>
      </c>
      <c r="F299" s="40" t="s">
        <v>67</v>
      </c>
      <c r="G299" s="40" t="s">
        <v>67</v>
      </c>
      <c r="H299" s="40" t="s">
        <v>67</v>
      </c>
      <c r="I299" s="40" t="s">
        <v>67</v>
      </c>
      <c r="J299" s="40" t="s">
        <v>67</v>
      </c>
      <c r="K299" s="40" t="s">
        <v>67</v>
      </c>
      <c r="L299" s="40" t="s">
        <v>67</v>
      </c>
      <c r="M299" s="40" t="s">
        <v>67</v>
      </c>
      <c r="N299" s="40" t="s">
        <v>67</v>
      </c>
      <c r="O299" s="40" t="s">
        <v>67</v>
      </c>
      <c r="P299" s="40" t="s">
        <v>67</v>
      </c>
      <c r="Q299" s="40" t="s">
        <v>67</v>
      </c>
      <c r="R299" s="40" t="s">
        <v>67</v>
      </c>
      <c r="S299" s="40" t="s">
        <v>67</v>
      </c>
      <c r="T299" s="40" t="s">
        <v>67</v>
      </c>
      <c r="U299" s="40" t="s">
        <v>67</v>
      </c>
      <c r="V299" s="40" t="s">
        <v>67</v>
      </c>
      <c r="W299" s="40" t="s">
        <v>67</v>
      </c>
      <c r="X299" s="40" t="s">
        <v>67</v>
      </c>
      <c r="Y299" s="40" t="s">
        <v>67</v>
      </c>
      <c r="Z299" s="40" t="s">
        <v>67</v>
      </c>
      <c r="AA299" s="40" t="s">
        <v>67</v>
      </c>
      <c r="AB299" s="40" t="s">
        <v>67</v>
      </c>
      <c r="AC299" s="40" t="s">
        <v>67</v>
      </c>
      <c r="AD299" s="40" t="s">
        <v>67</v>
      </c>
      <c r="AE299" s="40" t="s">
        <v>67</v>
      </c>
      <c r="AF299" s="40" t="s">
        <v>67</v>
      </c>
      <c r="AG299" s="40" t="s">
        <v>67</v>
      </c>
      <c r="AH299" s="40" t="s">
        <v>67</v>
      </c>
      <c r="AI299" s="40" t="s">
        <v>67</v>
      </c>
      <c r="AJ299" s="40" t="s">
        <v>67</v>
      </c>
      <c r="AK299" s="40" t="s">
        <v>67</v>
      </c>
      <c r="AL299" s="40" t="s">
        <v>67</v>
      </c>
      <c r="AM299" s="40" t="s">
        <v>67</v>
      </c>
      <c r="AN299" s="40" t="s">
        <v>67</v>
      </c>
      <c r="AO299" s="40" t="s">
        <v>67</v>
      </c>
      <c r="AP299" s="40" t="s">
        <v>67</v>
      </c>
      <c r="AQ299" s="40" t="s">
        <v>67</v>
      </c>
    </row>
    <row r="300" ht="13.5" spans="1:43">
      <c r="A300" s="38"/>
      <c r="B300" s="39" t="s">
        <v>4758</v>
      </c>
      <c r="C300" s="40" t="s">
        <v>2427</v>
      </c>
      <c r="D300" s="40" t="s">
        <v>2429</v>
      </c>
      <c r="E300" s="40" t="s">
        <v>2429</v>
      </c>
      <c r="F300" s="40" t="s">
        <v>2427</v>
      </c>
      <c r="G300" s="40" t="s">
        <v>4759</v>
      </c>
      <c r="H300" s="40" t="s">
        <v>2414</v>
      </c>
      <c r="I300" s="40" t="s">
        <v>2429</v>
      </c>
      <c r="J300" s="40" t="s">
        <v>2427</v>
      </c>
      <c r="K300" s="40" t="s">
        <v>3407</v>
      </c>
      <c r="L300" s="40" t="s">
        <v>4760</v>
      </c>
      <c r="M300" s="40" t="s">
        <v>2429</v>
      </c>
      <c r="N300" s="40" t="s">
        <v>2427</v>
      </c>
      <c r="O300" s="40" t="s">
        <v>2429</v>
      </c>
      <c r="P300" s="40" t="s">
        <v>2429</v>
      </c>
      <c r="Q300" s="40" t="s">
        <v>2414</v>
      </c>
      <c r="R300" s="40" t="s">
        <v>2429</v>
      </c>
      <c r="S300" s="40" t="s">
        <v>2414</v>
      </c>
      <c r="T300" s="40" t="s">
        <v>2427</v>
      </c>
      <c r="U300" s="40" t="s">
        <v>4761</v>
      </c>
      <c r="V300" s="40" t="s">
        <v>4762</v>
      </c>
      <c r="W300" s="40" t="s">
        <v>2425</v>
      </c>
      <c r="X300" s="40" t="s">
        <v>4763</v>
      </c>
      <c r="Y300" s="40" t="s">
        <v>4764</v>
      </c>
      <c r="Z300" s="40" t="s">
        <v>4765</v>
      </c>
      <c r="AA300" s="40" t="s">
        <v>3750</v>
      </c>
      <c r="AB300" s="40" t="s">
        <v>4370</v>
      </c>
      <c r="AC300" s="40" t="s">
        <v>4766</v>
      </c>
      <c r="AD300" s="40" t="s">
        <v>67</v>
      </c>
      <c r="AE300" s="40" t="s">
        <v>3315</v>
      </c>
      <c r="AF300" s="40" t="s">
        <v>67</v>
      </c>
      <c r="AG300" s="40" t="s">
        <v>4196</v>
      </c>
      <c r="AH300" s="40" t="s">
        <v>67</v>
      </c>
      <c r="AI300" s="40" t="s">
        <v>4767</v>
      </c>
      <c r="AJ300" s="40" t="s">
        <v>67</v>
      </c>
      <c r="AK300" s="40" t="s">
        <v>67</v>
      </c>
      <c r="AL300" s="40" t="s">
        <v>67</v>
      </c>
      <c r="AM300" s="40" t="s">
        <v>67</v>
      </c>
      <c r="AN300" s="40" t="s">
        <v>4355</v>
      </c>
      <c r="AO300" s="40" t="s">
        <v>4768</v>
      </c>
      <c r="AP300" s="40" t="s">
        <v>67</v>
      </c>
      <c r="AQ300" s="40" t="s">
        <v>67</v>
      </c>
    </row>
    <row r="301" ht="13.5" spans="1:43">
      <c r="A301" s="38"/>
      <c r="B301" s="39" t="s">
        <v>4769</v>
      </c>
      <c r="C301" s="40" t="s">
        <v>2421</v>
      </c>
      <c r="D301" s="40" t="s">
        <v>2410</v>
      </c>
      <c r="E301" s="40" t="s">
        <v>2418</v>
      </c>
      <c r="F301" s="40" t="s">
        <v>2428</v>
      </c>
      <c r="G301" s="40" t="s">
        <v>2421</v>
      </c>
      <c r="H301" s="40" t="s">
        <v>2417</v>
      </c>
      <c r="I301" s="40" t="s">
        <v>2410</v>
      </c>
      <c r="J301" s="40" t="s">
        <v>2428</v>
      </c>
      <c r="K301" s="40" t="s">
        <v>2414</v>
      </c>
      <c r="L301" s="40" t="s">
        <v>2660</v>
      </c>
      <c r="M301" s="40" t="s">
        <v>2412</v>
      </c>
      <c r="N301" s="40" t="s">
        <v>2417</v>
      </c>
      <c r="O301" s="40" t="s">
        <v>2417</v>
      </c>
      <c r="P301" s="40" t="s">
        <v>2417</v>
      </c>
      <c r="Q301" s="40" t="s">
        <v>2424</v>
      </c>
      <c r="R301" s="40" t="s">
        <v>2418</v>
      </c>
      <c r="S301" s="40" t="s">
        <v>2428</v>
      </c>
      <c r="T301" s="40" t="s">
        <v>2423</v>
      </c>
      <c r="U301" s="40" t="s">
        <v>2410</v>
      </c>
      <c r="V301" s="40" t="s">
        <v>2418</v>
      </c>
      <c r="W301" s="40" t="s">
        <v>2418</v>
      </c>
      <c r="X301" s="40" t="s">
        <v>2425</v>
      </c>
      <c r="Y301" s="40" t="s">
        <v>2426</v>
      </c>
      <c r="Z301" s="40" t="s">
        <v>2421</v>
      </c>
      <c r="AA301" s="40" t="s">
        <v>2429</v>
      </c>
      <c r="AB301" s="40" t="s">
        <v>2428</v>
      </c>
      <c r="AC301" s="40" t="s">
        <v>2426</v>
      </c>
      <c r="AD301" s="40" t="s">
        <v>2421</v>
      </c>
      <c r="AE301" s="40" t="s">
        <v>2429</v>
      </c>
      <c r="AF301" s="40" t="s">
        <v>2428</v>
      </c>
      <c r="AG301" s="40" t="s">
        <v>2426</v>
      </c>
      <c r="AH301" s="40" t="s">
        <v>4770</v>
      </c>
      <c r="AI301" s="40" t="s">
        <v>4634</v>
      </c>
      <c r="AJ301" s="40" t="s">
        <v>4771</v>
      </c>
      <c r="AK301" s="40" t="s">
        <v>4772</v>
      </c>
      <c r="AL301" s="40" t="s">
        <v>67</v>
      </c>
      <c r="AM301" s="40" t="s">
        <v>67</v>
      </c>
      <c r="AN301" s="40" t="s">
        <v>4355</v>
      </c>
      <c r="AO301" s="40" t="s">
        <v>4768</v>
      </c>
      <c r="AP301" s="40" t="s">
        <v>67</v>
      </c>
      <c r="AQ301" s="40" t="s">
        <v>67</v>
      </c>
    </row>
    <row r="302" ht="13.5" spans="1:43">
      <c r="A302" s="38"/>
      <c r="B302" s="39" t="s">
        <v>4773</v>
      </c>
      <c r="C302" s="40" t="s">
        <v>2414</v>
      </c>
      <c r="D302" s="40" t="s">
        <v>2418</v>
      </c>
      <c r="E302" s="40" t="s">
        <v>2425</v>
      </c>
      <c r="F302" s="40" t="s">
        <v>2421</v>
      </c>
      <c r="G302" s="40" t="s">
        <v>2414</v>
      </c>
      <c r="H302" s="40" t="s">
        <v>2425</v>
      </c>
      <c r="I302" s="40" t="s">
        <v>2421</v>
      </c>
      <c r="J302" s="40" t="s">
        <v>2427</v>
      </c>
      <c r="K302" s="40" t="s">
        <v>4774</v>
      </c>
      <c r="L302" s="40" t="s">
        <v>2418</v>
      </c>
      <c r="M302" s="40" t="s">
        <v>2425</v>
      </c>
      <c r="N302" s="40" t="s">
        <v>2426</v>
      </c>
      <c r="O302" s="40" t="s">
        <v>2414</v>
      </c>
      <c r="P302" s="40" t="s">
        <v>2426</v>
      </c>
      <c r="Q302" s="40" t="s">
        <v>2429</v>
      </c>
      <c r="R302" s="40" t="s">
        <v>2427</v>
      </c>
      <c r="S302" s="40" t="s">
        <v>4775</v>
      </c>
      <c r="T302" s="40" t="s">
        <v>2428</v>
      </c>
      <c r="U302" s="40" t="s">
        <v>2426</v>
      </c>
      <c r="V302" s="40" t="s">
        <v>2426</v>
      </c>
      <c r="W302" s="40" t="s">
        <v>2429</v>
      </c>
      <c r="X302" s="40" t="s">
        <v>2421</v>
      </c>
      <c r="Y302" s="40" t="s">
        <v>2414</v>
      </c>
      <c r="Z302" s="40" t="s">
        <v>2414</v>
      </c>
      <c r="AA302" s="40" t="s">
        <v>2429</v>
      </c>
      <c r="AB302" s="40" t="s">
        <v>2421</v>
      </c>
      <c r="AC302" s="40" t="s">
        <v>2414</v>
      </c>
      <c r="AD302" s="40" t="s">
        <v>2427</v>
      </c>
      <c r="AE302" s="40" t="s">
        <v>4776</v>
      </c>
      <c r="AF302" s="40" t="s">
        <v>4777</v>
      </c>
      <c r="AG302" s="40" t="s">
        <v>4778</v>
      </c>
      <c r="AH302" s="40" t="s">
        <v>4779</v>
      </c>
      <c r="AI302" s="40" t="s">
        <v>2502</v>
      </c>
      <c r="AJ302" s="40" t="s">
        <v>3761</v>
      </c>
      <c r="AK302" s="40" t="s">
        <v>67</v>
      </c>
      <c r="AL302" s="40" t="s">
        <v>67</v>
      </c>
      <c r="AM302" s="40" t="s">
        <v>67</v>
      </c>
      <c r="AN302" s="40" t="s">
        <v>67</v>
      </c>
      <c r="AO302" s="40" t="s">
        <v>67</v>
      </c>
      <c r="AP302" s="40" t="s">
        <v>67</v>
      </c>
      <c r="AQ302" s="40" t="s">
        <v>67</v>
      </c>
    </row>
    <row r="303" ht="13.5" spans="1:43">
      <c r="A303" s="38"/>
      <c r="B303" s="39" t="s">
        <v>4780</v>
      </c>
      <c r="C303" s="40" t="s">
        <v>4781</v>
      </c>
      <c r="D303" s="40" t="s">
        <v>4782</v>
      </c>
      <c r="E303" s="40" t="s">
        <v>4783</v>
      </c>
      <c r="F303" s="40" t="s">
        <v>4784</v>
      </c>
      <c r="G303" s="40" t="s">
        <v>2541</v>
      </c>
      <c r="H303" s="40" t="s">
        <v>4785</v>
      </c>
      <c r="I303" s="40" t="s">
        <v>4786</v>
      </c>
      <c r="J303" s="40" t="s">
        <v>4787</v>
      </c>
      <c r="K303" s="40" t="s">
        <v>4788</v>
      </c>
      <c r="L303" s="40" t="s">
        <v>4789</v>
      </c>
      <c r="M303" s="40" t="s">
        <v>4790</v>
      </c>
      <c r="N303" s="40" t="s">
        <v>3782</v>
      </c>
      <c r="O303" s="40" t="s">
        <v>4791</v>
      </c>
      <c r="P303" s="40" t="s">
        <v>4792</v>
      </c>
      <c r="Q303" s="40" t="s">
        <v>4793</v>
      </c>
      <c r="R303" s="40" t="s">
        <v>4794</v>
      </c>
      <c r="S303" s="40" t="s">
        <v>4795</v>
      </c>
      <c r="T303" s="40" t="s">
        <v>4796</v>
      </c>
      <c r="U303" s="40" t="s">
        <v>4220</v>
      </c>
      <c r="V303" s="40" t="s">
        <v>4797</v>
      </c>
      <c r="W303" s="40" t="s">
        <v>3785</v>
      </c>
      <c r="X303" s="40" t="s">
        <v>4798</v>
      </c>
      <c r="Y303" s="40" t="s">
        <v>4799</v>
      </c>
      <c r="Z303" s="40" t="s">
        <v>3963</v>
      </c>
      <c r="AA303" s="40" t="s">
        <v>4219</v>
      </c>
      <c r="AB303" s="40" t="s">
        <v>4800</v>
      </c>
      <c r="AC303" s="40" t="s">
        <v>4801</v>
      </c>
      <c r="AD303" s="40" t="s">
        <v>4802</v>
      </c>
      <c r="AE303" s="40" t="s">
        <v>4650</v>
      </c>
      <c r="AF303" s="40" t="s">
        <v>4803</v>
      </c>
      <c r="AG303" s="40" t="s">
        <v>4804</v>
      </c>
      <c r="AH303" s="40" t="s">
        <v>4805</v>
      </c>
      <c r="AI303" s="40" t="s">
        <v>4277</v>
      </c>
      <c r="AJ303" s="40" t="s">
        <v>4791</v>
      </c>
      <c r="AK303" s="40" t="s">
        <v>4806</v>
      </c>
      <c r="AL303" s="40" t="s">
        <v>4245</v>
      </c>
      <c r="AM303" s="40" t="s">
        <v>67</v>
      </c>
      <c r="AN303" s="40" t="s">
        <v>4807</v>
      </c>
      <c r="AO303" s="40" t="s">
        <v>4807</v>
      </c>
      <c r="AP303" s="40" t="s">
        <v>4807</v>
      </c>
      <c r="AQ303" s="40" t="s">
        <v>67</v>
      </c>
    </row>
    <row r="304" ht="13.5" spans="1:43">
      <c r="A304" s="38"/>
      <c r="B304" s="39" t="s">
        <v>4808</v>
      </c>
      <c r="C304" s="40" t="s">
        <v>67</v>
      </c>
      <c r="D304" s="40" t="s">
        <v>67</v>
      </c>
      <c r="E304" s="40" t="s">
        <v>67</v>
      </c>
      <c r="F304" s="40" t="s">
        <v>67</v>
      </c>
      <c r="G304" s="40" t="s">
        <v>67</v>
      </c>
      <c r="H304" s="40" t="s">
        <v>67</v>
      </c>
      <c r="I304" s="40" t="s">
        <v>67</v>
      </c>
      <c r="J304" s="40" t="s">
        <v>67</v>
      </c>
      <c r="K304" s="40" t="s">
        <v>67</v>
      </c>
      <c r="L304" s="40" t="s">
        <v>67</v>
      </c>
      <c r="M304" s="40" t="s">
        <v>67</v>
      </c>
      <c r="N304" s="40" t="s">
        <v>67</v>
      </c>
      <c r="O304" s="40" t="s">
        <v>67</v>
      </c>
      <c r="P304" s="40" t="s">
        <v>67</v>
      </c>
      <c r="Q304" s="40" t="s">
        <v>67</v>
      </c>
      <c r="R304" s="40" t="s">
        <v>67</v>
      </c>
      <c r="S304" s="40" t="s">
        <v>67</v>
      </c>
      <c r="T304" s="40" t="s">
        <v>67</v>
      </c>
      <c r="U304" s="40" t="s">
        <v>67</v>
      </c>
      <c r="V304" s="40" t="s">
        <v>67</v>
      </c>
      <c r="W304" s="40" t="s">
        <v>67</v>
      </c>
      <c r="X304" s="40" t="s">
        <v>67</v>
      </c>
      <c r="Y304" s="40" t="s">
        <v>67</v>
      </c>
      <c r="Z304" s="40" t="s">
        <v>67</v>
      </c>
      <c r="AA304" s="40" t="s">
        <v>67</v>
      </c>
      <c r="AB304" s="40" t="s">
        <v>67</v>
      </c>
      <c r="AC304" s="40" t="s">
        <v>67</v>
      </c>
      <c r="AD304" s="40" t="s">
        <v>67</v>
      </c>
      <c r="AE304" s="40" t="s">
        <v>67</v>
      </c>
      <c r="AF304" s="40" t="s">
        <v>67</v>
      </c>
      <c r="AG304" s="40" t="s">
        <v>67</v>
      </c>
      <c r="AH304" s="40" t="s">
        <v>67</v>
      </c>
      <c r="AI304" s="40" t="s">
        <v>67</v>
      </c>
      <c r="AJ304" s="40" t="s">
        <v>67</v>
      </c>
      <c r="AK304" s="40" t="s">
        <v>67</v>
      </c>
      <c r="AL304" s="40" t="s">
        <v>67</v>
      </c>
      <c r="AM304" s="40" t="s">
        <v>67</v>
      </c>
      <c r="AN304" s="40" t="s">
        <v>67</v>
      </c>
      <c r="AO304" s="40" t="s">
        <v>67</v>
      </c>
      <c r="AP304" s="40" t="s">
        <v>67</v>
      </c>
      <c r="AQ304" s="40" t="s">
        <v>67</v>
      </c>
    </row>
    <row r="305" ht="13.5" spans="1:43">
      <c r="A305" s="38"/>
      <c r="B305" s="39" t="s">
        <v>4809</v>
      </c>
      <c r="C305" s="40" t="s">
        <v>4781</v>
      </c>
      <c r="D305" s="40" t="s">
        <v>4782</v>
      </c>
      <c r="E305" s="40" t="s">
        <v>4783</v>
      </c>
      <c r="F305" s="40" t="s">
        <v>4784</v>
      </c>
      <c r="G305" s="40" t="s">
        <v>2541</v>
      </c>
      <c r="H305" s="40" t="s">
        <v>4785</v>
      </c>
      <c r="I305" s="40" t="s">
        <v>4786</v>
      </c>
      <c r="J305" s="40" t="s">
        <v>4787</v>
      </c>
      <c r="K305" s="40" t="s">
        <v>4788</v>
      </c>
      <c r="L305" s="40" t="s">
        <v>4789</v>
      </c>
      <c r="M305" s="40" t="s">
        <v>4790</v>
      </c>
      <c r="N305" s="40" t="s">
        <v>3782</v>
      </c>
      <c r="O305" s="40" t="s">
        <v>4791</v>
      </c>
      <c r="P305" s="40" t="s">
        <v>4792</v>
      </c>
      <c r="Q305" s="40" t="s">
        <v>4793</v>
      </c>
      <c r="R305" s="40" t="s">
        <v>4794</v>
      </c>
      <c r="S305" s="40" t="s">
        <v>4795</v>
      </c>
      <c r="T305" s="40" t="s">
        <v>4796</v>
      </c>
      <c r="U305" s="40" t="s">
        <v>4220</v>
      </c>
      <c r="V305" s="40" t="s">
        <v>4797</v>
      </c>
      <c r="W305" s="40" t="s">
        <v>3785</v>
      </c>
      <c r="X305" s="40" t="s">
        <v>4798</v>
      </c>
      <c r="Y305" s="40" t="s">
        <v>4799</v>
      </c>
      <c r="Z305" s="40" t="s">
        <v>3963</v>
      </c>
      <c r="AA305" s="40" t="s">
        <v>4219</v>
      </c>
      <c r="AB305" s="40" t="s">
        <v>4800</v>
      </c>
      <c r="AC305" s="40" t="s">
        <v>4801</v>
      </c>
      <c r="AD305" s="40" t="s">
        <v>4802</v>
      </c>
      <c r="AE305" s="40" t="s">
        <v>4650</v>
      </c>
      <c r="AF305" s="40" t="s">
        <v>4803</v>
      </c>
      <c r="AG305" s="40" t="s">
        <v>4804</v>
      </c>
      <c r="AH305" s="40" t="s">
        <v>4805</v>
      </c>
      <c r="AI305" s="40" t="s">
        <v>4277</v>
      </c>
      <c r="AJ305" s="40" t="s">
        <v>4791</v>
      </c>
      <c r="AK305" s="40" t="s">
        <v>4806</v>
      </c>
      <c r="AL305" s="40" t="s">
        <v>4245</v>
      </c>
      <c r="AM305" s="40" t="s">
        <v>67</v>
      </c>
      <c r="AN305" s="40" t="s">
        <v>4807</v>
      </c>
      <c r="AO305" s="40" t="s">
        <v>4807</v>
      </c>
      <c r="AP305" s="40" t="s">
        <v>4807</v>
      </c>
      <c r="AQ305" s="40" t="s">
        <v>67</v>
      </c>
    </row>
    <row r="306" ht="13.5" spans="1:43">
      <c r="A306" s="38"/>
      <c r="B306" s="39" t="s">
        <v>4810</v>
      </c>
      <c r="C306" s="40" t="s">
        <v>67</v>
      </c>
      <c r="D306" s="40" t="s">
        <v>67</v>
      </c>
      <c r="E306" s="40" t="s">
        <v>67</v>
      </c>
      <c r="F306" s="40" t="s">
        <v>67</v>
      </c>
      <c r="G306" s="40" t="s">
        <v>67</v>
      </c>
      <c r="H306" s="40" t="s">
        <v>67</v>
      </c>
      <c r="I306" s="40" t="s">
        <v>67</v>
      </c>
      <c r="J306" s="40" t="s">
        <v>67</v>
      </c>
      <c r="K306" s="40" t="s">
        <v>67</v>
      </c>
      <c r="L306" s="40" t="s">
        <v>3327</v>
      </c>
      <c r="M306" s="40" t="s">
        <v>67</v>
      </c>
      <c r="N306" s="40" t="s">
        <v>67</v>
      </c>
      <c r="O306" s="40" t="s">
        <v>67</v>
      </c>
      <c r="P306" s="40" t="s">
        <v>67</v>
      </c>
      <c r="Q306" s="40" t="s">
        <v>67</v>
      </c>
      <c r="R306" s="40" t="s">
        <v>67</v>
      </c>
      <c r="S306" s="40" t="s">
        <v>67</v>
      </c>
      <c r="T306" s="40" t="s">
        <v>67</v>
      </c>
      <c r="U306" s="40" t="s">
        <v>67</v>
      </c>
      <c r="V306" s="40" t="s">
        <v>67</v>
      </c>
      <c r="W306" s="40" t="s">
        <v>67</v>
      </c>
      <c r="X306" s="40" t="s">
        <v>4811</v>
      </c>
      <c r="Y306" s="40" t="s">
        <v>67</v>
      </c>
      <c r="Z306" s="40" t="s">
        <v>67</v>
      </c>
      <c r="AA306" s="40" t="s">
        <v>67</v>
      </c>
      <c r="AB306" s="40" t="s">
        <v>67</v>
      </c>
      <c r="AC306" s="40" t="s">
        <v>67</v>
      </c>
      <c r="AD306" s="40" t="s">
        <v>67</v>
      </c>
      <c r="AE306" s="40" t="s">
        <v>67</v>
      </c>
      <c r="AF306" s="40" t="s">
        <v>67</v>
      </c>
      <c r="AG306" s="40" t="s">
        <v>67</v>
      </c>
      <c r="AH306" s="40" t="s">
        <v>67</v>
      </c>
      <c r="AI306" s="40" t="s">
        <v>67</v>
      </c>
      <c r="AJ306" s="40" t="s">
        <v>3334</v>
      </c>
      <c r="AK306" s="40" t="s">
        <v>67</v>
      </c>
      <c r="AL306" s="40" t="s">
        <v>67</v>
      </c>
      <c r="AM306" s="40" t="s">
        <v>67</v>
      </c>
      <c r="AN306" s="40" t="s">
        <v>67</v>
      </c>
      <c r="AO306" s="40" t="s">
        <v>67</v>
      </c>
      <c r="AP306" s="40" t="s">
        <v>67</v>
      </c>
      <c r="AQ306" s="40" t="s">
        <v>67</v>
      </c>
    </row>
    <row r="307" ht="13.5" spans="1:43">
      <c r="A307" s="38"/>
      <c r="B307" s="39" t="s">
        <v>4812</v>
      </c>
      <c r="C307" s="40" t="s">
        <v>67</v>
      </c>
      <c r="D307" s="40" t="s">
        <v>67</v>
      </c>
      <c r="E307" s="40" t="s">
        <v>67</v>
      </c>
      <c r="F307" s="40" t="s">
        <v>67</v>
      </c>
      <c r="G307" s="40" t="s">
        <v>67</v>
      </c>
      <c r="H307" s="40" t="s">
        <v>67</v>
      </c>
      <c r="I307" s="40" t="s">
        <v>67</v>
      </c>
      <c r="J307" s="40" t="s">
        <v>67</v>
      </c>
      <c r="K307" s="40" t="s">
        <v>67</v>
      </c>
      <c r="L307" s="40" t="s">
        <v>67</v>
      </c>
      <c r="M307" s="40" t="s">
        <v>67</v>
      </c>
      <c r="N307" s="40" t="s">
        <v>67</v>
      </c>
      <c r="O307" s="40" t="s">
        <v>67</v>
      </c>
      <c r="P307" s="40" t="s">
        <v>67</v>
      </c>
      <c r="Q307" s="40" t="s">
        <v>67</v>
      </c>
      <c r="R307" s="40" t="s">
        <v>67</v>
      </c>
      <c r="S307" s="40" t="s">
        <v>67</v>
      </c>
      <c r="T307" s="40" t="s">
        <v>67</v>
      </c>
      <c r="U307" s="40" t="s">
        <v>67</v>
      </c>
      <c r="V307" s="40" t="s">
        <v>67</v>
      </c>
      <c r="W307" s="40" t="s">
        <v>67</v>
      </c>
      <c r="X307" s="40" t="s">
        <v>67</v>
      </c>
      <c r="Y307" s="40" t="s">
        <v>67</v>
      </c>
      <c r="Z307" s="40" t="s">
        <v>67</v>
      </c>
      <c r="AA307" s="40" t="s">
        <v>67</v>
      </c>
      <c r="AB307" s="40" t="s">
        <v>67</v>
      </c>
      <c r="AC307" s="40" t="s">
        <v>67</v>
      </c>
      <c r="AD307" s="40" t="s">
        <v>67</v>
      </c>
      <c r="AE307" s="40" t="s">
        <v>67</v>
      </c>
      <c r="AF307" s="40" t="s">
        <v>67</v>
      </c>
      <c r="AG307" s="40" t="s">
        <v>67</v>
      </c>
      <c r="AH307" s="40" t="s">
        <v>67</v>
      </c>
      <c r="AI307" s="40" t="s">
        <v>67</v>
      </c>
      <c r="AJ307" s="40" t="s">
        <v>67</v>
      </c>
      <c r="AK307" s="40" t="s">
        <v>67</v>
      </c>
      <c r="AL307" s="40" t="s">
        <v>67</v>
      </c>
      <c r="AM307" s="40" t="s">
        <v>67</v>
      </c>
      <c r="AN307" s="40" t="s">
        <v>67</v>
      </c>
      <c r="AO307" s="40" t="s">
        <v>67</v>
      </c>
      <c r="AP307" s="40" t="s">
        <v>67</v>
      </c>
      <c r="AQ307" s="40" t="s">
        <v>67</v>
      </c>
    </row>
    <row r="308" ht="13.5" spans="1:43">
      <c r="A308" s="38"/>
      <c r="B308" s="39" t="s">
        <v>4813</v>
      </c>
      <c r="C308" s="40" t="s">
        <v>67</v>
      </c>
      <c r="D308" s="40" t="s">
        <v>67</v>
      </c>
      <c r="E308" s="40" t="s">
        <v>67</v>
      </c>
      <c r="F308" s="40" t="s">
        <v>67</v>
      </c>
      <c r="G308" s="40" t="s">
        <v>67</v>
      </c>
      <c r="H308" s="40" t="s">
        <v>67</v>
      </c>
      <c r="I308" s="40" t="s">
        <v>67</v>
      </c>
      <c r="J308" s="40" t="s">
        <v>67</v>
      </c>
      <c r="K308" s="40" t="s">
        <v>67</v>
      </c>
      <c r="L308" s="40" t="s">
        <v>67</v>
      </c>
      <c r="M308" s="40" t="s">
        <v>67</v>
      </c>
      <c r="N308" s="40" t="s">
        <v>67</v>
      </c>
      <c r="O308" s="40" t="s">
        <v>67</v>
      </c>
      <c r="P308" s="40" t="s">
        <v>67</v>
      </c>
      <c r="Q308" s="40" t="s">
        <v>67</v>
      </c>
      <c r="R308" s="40" t="s">
        <v>67</v>
      </c>
      <c r="S308" s="40" t="s">
        <v>67</v>
      </c>
      <c r="T308" s="40" t="s">
        <v>67</v>
      </c>
      <c r="U308" s="40" t="s">
        <v>67</v>
      </c>
      <c r="V308" s="40" t="s">
        <v>67</v>
      </c>
      <c r="W308" s="40" t="s">
        <v>67</v>
      </c>
      <c r="X308" s="40" t="s">
        <v>67</v>
      </c>
      <c r="Y308" s="40" t="s">
        <v>67</v>
      </c>
      <c r="Z308" s="40" t="s">
        <v>67</v>
      </c>
      <c r="AA308" s="40" t="s">
        <v>67</v>
      </c>
      <c r="AB308" s="40" t="s">
        <v>67</v>
      </c>
      <c r="AC308" s="40" t="s">
        <v>67</v>
      </c>
      <c r="AD308" s="40" t="s">
        <v>67</v>
      </c>
      <c r="AE308" s="40" t="s">
        <v>67</v>
      </c>
      <c r="AF308" s="40" t="s">
        <v>67</v>
      </c>
      <c r="AG308" s="40" t="s">
        <v>67</v>
      </c>
      <c r="AH308" s="40" t="s">
        <v>67</v>
      </c>
      <c r="AI308" s="40" t="s">
        <v>67</v>
      </c>
      <c r="AJ308" s="40" t="s">
        <v>67</v>
      </c>
      <c r="AK308" s="40" t="s">
        <v>67</v>
      </c>
      <c r="AL308" s="40" t="s">
        <v>67</v>
      </c>
      <c r="AM308" s="40" t="s">
        <v>67</v>
      </c>
      <c r="AN308" s="40" t="s">
        <v>67</v>
      </c>
      <c r="AO308" s="40" t="s">
        <v>67</v>
      </c>
      <c r="AP308" s="40" t="s">
        <v>67</v>
      </c>
      <c r="AQ308" s="40" t="s">
        <v>67</v>
      </c>
    </row>
    <row r="309" ht="13.5" spans="1:43">
      <c r="A309" s="38"/>
      <c r="B309" s="39" t="s">
        <v>4814</v>
      </c>
      <c r="C309" s="40" t="s">
        <v>67</v>
      </c>
      <c r="D309" s="40" t="s">
        <v>67</v>
      </c>
      <c r="E309" s="40" t="s">
        <v>67</v>
      </c>
      <c r="F309" s="40" t="s">
        <v>67</v>
      </c>
      <c r="G309" s="40" t="s">
        <v>67</v>
      </c>
      <c r="H309" s="40" t="s">
        <v>67</v>
      </c>
      <c r="I309" s="40" t="s">
        <v>67</v>
      </c>
      <c r="J309" s="40" t="s">
        <v>67</v>
      </c>
      <c r="K309" s="40" t="s">
        <v>67</v>
      </c>
      <c r="L309" s="40" t="s">
        <v>67</v>
      </c>
      <c r="M309" s="40" t="s">
        <v>67</v>
      </c>
      <c r="N309" s="40" t="s">
        <v>67</v>
      </c>
      <c r="O309" s="40" t="s">
        <v>67</v>
      </c>
      <c r="P309" s="40" t="s">
        <v>67</v>
      </c>
      <c r="Q309" s="40" t="s">
        <v>67</v>
      </c>
      <c r="R309" s="40" t="s">
        <v>67</v>
      </c>
      <c r="S309" s="40" t="s">
        <v>67</v>
      </c>
      <c r="T309" s="40" t="s">
        <v>67</v>
      </c>
      <c r="U309" s="40" t="s">
        <v>67</v>
      </c>
      <c r="V309" s="40" t="s">
        <v>67</v>
      </c>
      <c r="W309" s="40" t="s">
        <v>67</v>
      </c>
      <c r="X309" s="40" t="s">
        <v>67</v>
      </c>
      <c r="Y309" s="40" t="s">
        <v>67</v>
      </c>
      <c r="Z309" s="40" t="s">
        <v>67</v>
      </c>
      <c r="AA309" s="40" t="s">
        <v>67</v>
      </c>
      <c r="AB309" s="40" t="s">
        <v>67</v>
      </c>
      <c r="AC309" s="40" t="s">
        <v>67</v>
      </c>
      <c r="AD309" s="40" t="s">
        <v>67</v>
      </c>
      <c r="AE309" s="40" t="s">
        <v>67</v>
      </c>
      <c r="AF309" s="40" t="s">
        <v>67</v>
      </c>
      <c r="AG309" s="40" t="s">
        <v>67</v>
      </c>
      <c r="AH309" s="40" t="s">
        <v>67</v>
      </c>
      <c r="AI309" s="40" t="s">
        <v>67</v>
      </c>
      <c r="AJ309" s="40" t="s">
        <v>67</v>
      </c>
      <c r="AK309" s="40" t="s">
        <v>67</v>
      </c>
      <c r="AL309" s="40" t="s">
        <v>67</v>
      </c>
      <c r="AM309" s="40" t="s">
        <v>67</v>
      </c>
      <c r="AN309" s="40" t="s">
        <v>67</v>
      </c>
      <c r="AO309" s="40" t="s">
        <v>67</v>
      </c>
      <c r="AP309" s="40" t="s">
        <v>67</v>
      </c>
      <c r="AQ309" s="40" t="s">
        <v>67</v>
      </c>
    </row>
    <row r="310" ht="13.5" spans="1:43">
      <c r="A310" s="38"/>
      <c r="B310" s="39" t="s">
        <v>4815</v>
      </c>
      <c r="C310" s="40" t="s">
        <v>4816</v>
      </c>
      <c r="D310" s="40" t="s">
        <v>4817</v>
      </c>
      <c r="E310" s="40" t="s">
        <v>2427</v>
      </c>
      <c r="F310" s="40" t="s">
        <v>4818</v>
      </c>
      <c r="G310" s="40" t="s">
        <v>4819</v>
      </c>
      <c r="H310" s="40" t="s">
        <v>4820</v>
      </c>
      <c r="I310" s="40" t="s">
        <v>4821</v>
      </c>
      <c r="J310" s="40" t="s">
        <v>4822</v>
      </c>
      <c r="K310" s="40" t="s">
        <v>4823</v>
      </c>
      <c r="L310" s="40" t="s">
        <v>4824</v>
      </c>
      <c r="M310" s="40" t="s">
        <v>2429</v>
      </c>
      <c r="N310" s="40" t="s">
        <v>2429</v>
      </c>
      <c r="O310" s="40" t="s">
        <v>4825</v>
      </c>
      <c r="P310" s="40" t="s">
        <v>2429</v>
      </c>
      <c r="Q310" s="40" t="s">
        <v>4826</v>
      </c>
      <c r="R310" s="40" t="s">
        <v>2427</v>
      </c>
      <c r="S310" s="40" t="s">
        <v>2427</v>
      </c>
      <c r="T310" s="40" t="s">
        <v>2414</v>
      </c>
      <c r="U310" s="40" t="s">
        <v>4827</v>
      </c>
      <c r="V310" s="40" t="s">
        <v>4828</v>
      </c>
      <c r="W310" s="40" t="s">
        <v>4829</v>
      </c>
      <c r="X310" s="40" t="s">
        <v>4830</v>
      </c>
      <c r="Y310" s="40" t="s">
        <v>67</v>
      </c>
      <c r="Z310" s="40" t="s">
        <v>67</v>
      </c>
      <c r="AA310" s="40" t="s">
        <v>67</v>
      </c>
      <c r="AB310" s="40" t="s">
        <v>4831</v>
      </c>
      <c r="AC310" s="40" t="s">
        <v>67</v>
      </c>
      <c r="AD310" s="40" t="s">
        <v>3752</v>
      </c>
      <c r="AE310" s="40" t="s">
        <v>67</v>
      </c>
      <c r="AF310" s="40" t="s">
        <v>4832</v>
      </c>
      <c r="AG310" s="40" t="s">
        <v>4641</v>
      </c>
      <c r="AH310" s="40" t="s">
        <v>4833</v>
      </c>
      <c r="AI310" s="40" t="s">
        <v>4243</v>
      </c>
      <c r="AJ310" s="40" t="s">
        <v>4834</v>
      </c>
      <c r="AK310" s="40" t="s">
        <v>4835</v>
      </c>
      <c r="AL310" s="40" t="s">
        <v>4836</v>
      </c>
      <c r="AM310" s="40" t="s">
        <v>4837</v>
      </c>
      <c r="AN310" s="40" t="s">
        <v>67</v>
      </c>
      <c r="AO310" s="40" t="s">
        <v>4838</v>
      </c>
      <c r="AP310" s="40" t="s">
        <v>4839</v>
      </c>
      <c r="AQ310" s="40" t="s">
        <v>4224</v>
      </c>
    </row>
    <row r="311" ht="13.5" spans="1:43">
      <c r="A311" s="38"/>
      <c r="B311" s="39" t="s">
        <v>4840</v>
      </c>
      <c r="C311" s="40" t="s">
        <v>2414</v>
      </c>
      <c r="D311" s="40" t="s">
        <v>2418</v>
      </c>
      <c r="E311" s="40" t="s">
        <v>2418</v>
      </c>
      <c r="F311" s="40" t="s">
        <v>2426</v>
      </c>
      <c r="G311" s="40" t="s">
        <v>2414</v>
      </c>
      <c r="H311" s="40" t="s">
        <v>2418</v>
      </c>
      <c r="I311" s="40" t="s">
        <v>2426</v>
      </c>
      <c r="J311" s="40" t="s">
        <v>2429</v>
      </c>
      <c r="K311" s="40" t="s">
        <v>4841</v>
      </c>
      <c r="L311" s="40" t="s">
        <v>2410</v>
      </c>
      <c r="M311" s="40" t="s">
        <v>2410</v>
      </c>
      <c r="N311" s="40" t="s">
        <v>2425</v>
      </c>
      <c r="O311" s="40" t="s">
        <v>2421</v>
      </c>
      <c r="P311" s="40" t="s">
        <v>2425</v>
      </c>
      <c r="Q311" s="40" t="s">
        <v>2421</v>
      </c>
      <c r="R311" s="40" t="s">
        <v>2429</v>
      </c>
      <c r="S311" s="40" t="s">
        <v>2429</v>
      </c>
      <c r="T311" s="40" t="s">
        <v>2410</v>
      </c>
      <c r="U311" s="40" t="s">
        <v>2425</v>
      </c>
      <c r="V311" s="40" t="s">
        <v>2426</v>
      </c>
      <c r="W311" s="40" t="s">
        <v>2429</v>
      </c>
      <c r="X311" s="40" t="s">
        <v>2426</v>
      </c>
      <c r="Y311" s="40" t="s">
        <v>2414</v>
      </c>
      <c r="Z311" s="40" t="s">
        <v>2414</v>
      </c>
      <c r="AA311" s="40" t="s">
        <v>2429</v>
      </c>
      <c r="AB311" s="40" t="s">
        <v>2426</v>
      </c>
      <c r="AC311" s="40" t="s">
        <v>2414</v>
      </c>
      <c r="AD311" s="40" t="s">
        <v>2429</v>
      </c>
      <c r="AE311" s="40" t="s">
        <v>4842</v>
      </c>
      <c r="AF311" s="40" t="s">
        <v>2427</v>
      </c>
      <c r="AG311" s="40" t="s">
        <v>4843</v>
      </c>
      <c r="AH311" s="40" t="s">
        <v>4844</v>
      </c>
      <c r="AI311" s="40" t="s">
        <v>4845</v>
      </c>
      <c r="AJ311" s="40" t="s">
        <v>4846</v>
      </c>
      <c r="AK311" s="40" t="s">
        <v>4847</v>
      </c>
      <c r="AL311" s="40" t="s">
        <v>4848</v>
      </c>
      <c r="AM311" s="40" t="s">
        <v>4837</v>
      </c>
      <c r="AN311" s="40" t="s">
        <v>4807</v>
      </c>
      <c r="AO311" s="40" t="s">
        <v>4849</v>
      </c>
      <c r="AP311" s="40" t="s">
        <v>4850</v>
      </c>
      <c r="AQ311" s="40" t="s">
        <v>4224</v>
      </c>
    </row>
    <row r="312" ht="13.5" spans="1:43">
      <c r="A312" s="38"/>
      <c r="B312" s="39" t="s">
        <v>2833</v>
      </c>
      <c r="C312" s="40" t="s">
        <v>2427</v>
      </c>
      <c r="D312" s="40" t="s">
        <v>2834</v>
      </c>
      <c r="E312" s="40" t="s">
        <v>2835</v>
      </c>
      <c r="F312" s="40" t="s">
        <v>2836</v>
      </c>
      <c r="G312" s="40" t="s">
        <v>2837</v>
      </c>
      <c r="H312" s="40" t="s">
        <v>2421</v>
      </c>
      <c r="I312" s="40" t="s">
        <v>2421</v>
      </c>
      <c r="J312" s="40" t="s">
        <v>2421</v>
      </c>
      <c r="K312" s="40" t="s">
        <v>2429</v>
      </c>
      <c r="L312" s="40" t="s">
        <v>2428</v>
      </c>
      <c r="M312" s="40" t="s">
        <v>2428</v>
      </c>
      <c r="N312" s="40" t="s">
        <v>2426</v>
      </c>
      <c r="O312" s="40" t="s">
        <v>2418</v>
      </c>
      <c r="P312" s="40" t="s">
        <v>2426</v>
      </c>
      <c r="Q312" s="40" t="s">
        <v>2425</v>
      </c>
      <c r="R312" s="40" t="s">
        <v>2426</v>
      </c>
      <c r="S312" s="40" t="s">
        <v>2414</v>
      </c>
      <c r="T312" s="40" t="s">
        <v>2426</v>
      </c>
      <c r="U312" s="40" t="s">
        <v>2414</v>
      </c>
      <c r="V312" s="40" t="s">
        <v>2414</v>
      </c>
      <c r="W312" s="40" t="s">
        <v>2428</v>
      </c>
      <c r="X312" s="40" t="s">
        <v>2429</v>
      </c>
      <c r="Y312" s="40" t="s">
        <v>2427</v>
      </c>
      <c r="Z312" s="40" t="s">
        <v>2427</v>
      </c>
      <c r="AA312" s="40" t="s">
        <v>2838</v>
      </c>
      <c r="AB312" s="40" t="s">
        <v>2839</v>
      </c>
      <c r="AC312" s="40" t="s">
        <v>2427</v>
      </c>
      <c r="AD312" s="40" t="s">
        <v>2429</v>
      </c>
      <c r="AE312" s="40" t="s">
        <v>2429</v>
      </c>
      <c r="AF312" s="40" t="s">
        <v>2426</v>
      </c>
      <c r="AG312" s="40" t="s">
        <v>2426</v>
      </c>
      <c r="AH312" s="40" t="s">
        <v>2840</v>
      </c>
      <c r="AI312" s="40" t="s">
        <v>2841</v>
      </c>
      <c r="AJ312" s="40" t="s">
        <v>2842</v>
      </c>
      <c r="AK312" s="40" t="s">
        <v>2843</v>
      </c>
      <c r="AL312" s="40" t="s">
        <v>2844</v>
      </c>
      <c r="AM312" s="40" t="s">
        <v>2845</v>
      </c>
      <c r="AN312" s="40" t="s">
        <v>2846</v>
      </c>
      <c r="AO312" s="40" t="s">
        <v>2847</v>
      </c>
      <c r="AP312" s="40" t="s">
        <v>2848</v>
      </c>
      <c r="AQ312" s="40" t="s">
        <v>2849</v>
      </c>
    </row>
    <row r="313" ht="13.5" spans="1:43">
      <c r="A313" s="38"/>
      <c r="B313" s="39" t="s">
        <v>4851</v>
      </c>
      <c r="C313" s="40" t="s">
        <v>4852</v>
      </c>
      <c r="D313" s="40" t="s">
        <v>4853</v>
      </c>
      <c r="E313" s="40" t="s">
        <v>4247</v>
      </c>
      <c r="F313" s="40" t="s">
        <v>4088</v>
      </c>
      <c r="G313" s="40" t="s">
        <v>4854</v>
      </c>
      <c r="H313" s="40" t="s">
        <v>4368</v>
      </c>
      <c r="I313" s="40" t="s">
        <v>3333</v>
      </c>
      <c r="J313" s="40" t="s">
        <v>3638</v>
      </c>
      <c r="K313" s="40" t="s">
        <v>4286</v>
      </c>
      <c r="L313" s="40" t="s">
        <v>4855</v>
      </c>
      <c r="M313" s="40" t="s">
        <v>4276</v>
      </c>
      <c r="N313" s="40" t="s">
        <v>4283</v>
      </c>
      <c r="O313" s="40" t="s">
        <v>4856</v>
      </c>
      <c r="P313" s="40" t="s">
        <v>4857</v>
      </c>
      <c r="Q313" s="40" t="s">
        <v>3632</v>
      </c>
      <c r="R313" s="40" t="s">
        <v>3334</v>
      </c>
      <c r="S313" s="40" t="s">
        <v>4283</v>
      </c>
      <c r="T313" s="40" t="s">
        <v>4858</v>
      </c>
      <c r="U313" s="40" t="s">
        <v>4859</v>
      </c>
      <c r="V313" s="40" t="s">
        <v>4860</v>
      </c>
      <c r="W313" s="40" t="s">
        <v>3775</v>
      </c>
      <c r="X313" s="40" t="s">
        <v>4861</v>
      </c>
      <c r="Y313" s="40" t="s">
        <v>4862</v>
      </c>
      <c r="Z313" s="40" t="s">
        <v>3632</v>
      </c>
      <c r="AA313" s="40" t="s">
        <v>3632</v>
      </c>
      <c r="AB313" s="40" t="s">
        <v>4863</v>
      </c>
      <c r="AC313" s="40" t="s">
        <v>3327</v>
      </c>
      <c r="AD313" s="40" t="s">
        <v>4256</v>
      </c>
      <c r="AE313" s="40" t="s">
        <v>4288</v>
      </c>
      <c r="AF313" s="40" t="s">
        <v>3334</v>
      </c>
      <c r="AG313" s="40" t="s">
        <v>3635</v>
      </c>
      <c r="AH313" s="40" t="s">
        <v>3633</v>
      </c>
      <c r="AI313" s="40" t="s">
        <v>4864</v>
      </c>
      <c r="AJ313" s="40" t="s">
        <v>4865</v>
      </c>
      <c r="AK313" s="40" t="s">
        <v>3432</v>
      </c>
      <c r="AL313" s="40" t="s">
        <v>4866</v>
      </c>
      <c r="AM313" s="40" t="s">
        <v>4867</v>
      </c>
      <c r="AN313" s="40" t="s">
        <v>4868</v>
      </c>
      <c r="AO313" s="40" t="s">
        <v>4269</v>
      </c>
      <c r="AP313" s="40" t="s">
        <v>3644</v>
      </c>
      <c r="AQ313" s="40" t="s">
        <v>4408</v>
      </c>
    </row>
    <row r="314" ht="13.5" spans="1:43">
      <c r="A314" s="38"/>
      <c r="B314" s="39" t="s">
        <v>4869</v>
      </c>
      <c r="C314" s="40" t="s">
        <v>2508</v>
      </c>
      <c r="D314" s="40" t="s">
        <v>4870</v>
      </c>
      <c r="E314" s="40" t="s">
        <v>2508</v>
      </c>
      <c r="F314" s="40" t="s">
        <v>4871</v>
      </c>
      <c r="G314" s="40" t="s">
        <v>4872</v>
      </c>
      <c r="H314" s="40" t="s">
        <v>2473</v>
      </c>
      <c r="I314" s="40" t="s">
        <v>2473</v>
      </c>
      <c r="J314" s="40" t="s">
        <v>2508</v>
      </c>
      <c r="K314" s="40" t="s">
        <v>4873</v>
      </c>
      <c r="L314" s="40" t="s">
        <v>2427</v>
      </c>
      <c r="M314" s="40" t="s">
        <v>2427</v>
      </c>
      <c r="N314" s="40" t="s">
        <v>2429</v>
      </c>
      <c r="O314" s="40" t="s">
        <v>2428</v>
      </c>
      <c r="P314" s="40" t="s">
        <v>4874</v>
      </c>
      <c r="Q314" s="40" t="s">
        <v>4875</v>
      </c>
      <c r="R314" s="40" t="s">
        <v>4876</v>
      </c>
      <c r="S314" s="40" t="s">
        <v>4877</v>
      </c>
      <c r="T314" s="40" t="s">
        <v>4878</v>
      </c>
      <c r="U314" s="40" t="s">
        <v>4879</v>
      </c>
      <c r="V314" s="40" t="s">
        <v>4880</v>
      </c>
      <c r="W314" s="40" t="s">
        <v>2426</v>
      </c>
      <c r="X314" s="40" t="s">
        <v>2429</v>
      </c>
      <c r="Y314" s="40" t="s">
        <v>4881</v>
      </c>
      <c r="Z314" s="40" t="s">
        <v>4882</v>
      </c>
      <c r="AA314" s="40" t="s">
        <v>4883</v>
      </c>
      <c r="AB314" s="40" t="s">
        <v>4884</v>
      </c>
      <c r="AC314" s="40" t="s">
        <v>4885</v>
      </c>
      <c r="AD314" s="40" t="s">
        <v>2427</v>
      </c>
      <c r="AE314" s="40" t="s">
        <v>4886</v>
      </c>
      <c r="AF314" s="40" t="s">
        <v>4887</v>
      </c>
      <c r="AG314" s="40" t="s">
        <v>2414</v>
      </c>
      <c r="AH314" s="40" t="s">
        <v>4888</v>
      </c>
      <c r="AI314" s="40" t="s">
        <v>4889</v>
      </c>
      <c r="AJ314" s="40" t="s">
        <v>4890</v>
      </c>
      <c r="AK314" s="40" t="s">
        <v>4891</v>
      </c>
      <c r="AL314" s="40" t="s">
        <v>4892</v>
      </c>
      <c r="AM314" s="40" t="s">
        <v>2715</v>
      </c>
      <c r="AN314" s="40" t="s">
        <v>2473</v>
      </c>
      <c r="AO314" s="40" t="s">
        <v>2472</v>
      </c>
      <c r="AP314" s="40" t="s">
        <v>2473</v>
      </c>
      <c r="AQ314" s="40" t="s">
        <v>2473</v>
      </c>
    </row>
    <row r="315" ht="13.5" spans="1:43">
      <c r="A315" s="38"/>
      <c r="B315" s="39" t="s">
        <v>4893</v>
      </c>
      <c r="C315" s="40" t="s">
        <v>2414</v>
      </c>
      <c r="D315" s="40" t="s">
        <v>2414</v>
      </c>
      <c r="E315" s="40" t="s">
        <v>2414</v>
      </c>
      <c r="F315" s="40" t="s">
        <v>2414</v>
      </c>
      <c r="G315" s="40" t="s">
        <v>2414</v>
      </c>
      <c r="H315" s="40" t="s">
        <v>2426</v>
      </c>
      <c r="I315" s="40" t="s">
        <v>2426</v>
      </c>
      <c r="J315" s="40" t="s">
        <v>2426</v>
      </c>
      <c r="K315" s="40" t="s">
        <v>2426</v>
      </c>
      <c r="L315" s="40" t="s">
        <v>2414</v>
      </c>
      <c r="M315" s="40" t="s">
        <v>2414</v>
      </c>
      <c r="N315" s="40" t="s">
        <v>2414</v>
      </c>
      <c r="O315" s="40" t="s">
        <v>2414</v>
      </c>
      <c r="P315" s="40" t="s">
        <v>2414</v>
      </c>
      <c r="Q315" s="40" t="s">
        <v>2414</v>
      </c>
      <c r="R315" s="40" t="s">
        <v>2414</v>
      </c>
      <c r="S315" s="40" t="s">
        <v>2429</v>
      </c>
      <c r="T315" s="40" t="s">
        <v>2414</v>
      </c>
      <c r="U315" s="40" t="s">
        <v>2414</v>
      </c>
      <c r="V315" s="40" t="s">
        <v>2414</v>
      </c>
      <c r="W315" s="40" t="s">
        <v>2414</v>
      </c>
      <c r="X315" s="40" t="s">
        <v>2427</v>
      </c>
      <c r="Y315" s="40" t="s">
        <v>2427</v>
      </c>
      <c r="Z315" s="40" t="s">
        <v>2427</v>
      </c>
      <c r="AA315" s="40" t="s">
        <v>2427</v>
      </c>
      <c r="AB315" s="40" t="s">
        <v>2427</v>
      </c>
      <c r="AC315" s="40" t="s">
        <v>2427</v>
      </c>
      <c r="AD315" s="40" t="s">
        <v>2427</v>
      </c>
      <c r="AE315" s="40" t="s">
        <v>2427</v>
      </c>
      <c r="AF315" s="40" t="s">
        <v>2427</v>
      </c>
      <c r="AG315" s="40" t="s">
        <v>2427</v>
      </c>
      <c r="AH315" s="40" t="s">
        <v>2427</v>
      </c>
      <c r="AI315" s="40" t="s">
        <v>2427</v>
      </c>
      <c r="AJ315" s="40" t="s">
        <v>2427</v>
      </c>
      <c r="AK315" s="40" t="s">
        <v>2427</v>
      </c>
      <c r="AL315" s="40" t="s">
        <v>2427</v>
      </c>
      <c r="AM315" s="40" t="s">
        <v>2429</v>
      </c>
      <c r="AN315" s="40" t="s">
        <v>2421</v>
      </c>
      <c r="AO315" s="40" t="s">
        <v>2421</v>
      </c>
      <c r="AP315" s="40" t="s">
        <v>2421</v>
      </c>
      <c r="AQ315" s="40" t="s">
        <v>2421</v>
      </c>
    </row>
    <row r="316" ht="13.5" spans="1:43">
      <c r="A316" s="38"/>
      <c r="B316" s="39" t="s">
        <v>4894</v>
      </c>
      <c r="C316" s="40" t="s">
        <v>2429</v>
      </c>
      <c r="D316" s="40" t="s">
        <v>2414</v>
      </c>
      <c r="E316" s="40" t="s">
        <v>2429</v>
      </c>
      <c r="F316" s="40" t="s">
        <v>2414</v>
      </c>
      <c r="G316" s="40" t="s">
        <v>2421</v>
      </c>
      <c r="H316" s="40" t="s">
        <v>2414</v>
      </c>
      <c r="I316" s="40" t="s">
        <v>2414</v>
      </c>
      <c r="J316" s="40" t="s">
        <v>2414</v>
      </c>
      <c r="K316" s="40" t="s">
        <v>2426</v>
      </c>
      <c r="L316" s="40" t="s">
        <v>2426</v>
      </c>
      <c r="M316" s="40" t="s">
        <v>2426</v>
      </c>
      <c r="N316" s="40" t="s">
        <v>2426</v>
      </c>
      <c r="O316" s="40" t="s">
        <v>2410</v>
      </c>
      <c r="P316" s="40" t="s">
        <v>2414</v>
      </c>
      <c r="Q316" s="40" t="s">
        <v>2429</v>
      </c>
      <c r="R316" s="40" t="s">
        <v>2429</v>
      </c>
      <c r="S316" s="40" t="s">
        <v>2429</v>
      </c>
      <c r="T316" s="40" t="s">
        <v>2429</v>
      </c>
      <c r="U316" s="40" t="s">
        <v>2429</v>
      </c>
      <c r="V316" s="40" t="s">
        <v>2414</v>
      </c>
      <c r="W316" s="40" t="s">
        <v>2418</v>
      </c>
      <c r="X316" s="40" t="s">
        <v>2414</v>
      </c>
      <c r="Y316" s="40" t="s">
        <v>2427</v>
      </c>
      <c r="Z316" s="40" t="s">
        <v>2427</v>
      </c>
      <c r="AA316" s="40" t="s">
        <v>2427</v>
      </c>
      <c r="AB316" s="40" t="s">
        <v>2427</v>
      </c>
      <c r="AC316" s="40" t="s">
        <v>4895</v>
      </c>
      <c r="AD316" s="40" t="s">
        <v>2429</v>
      </c>
      <c r="AE316" s="40" t="s">
        <v>2429</v>
      </c>
      <c r="AF316" s="40" t="s">
        <v>2427</v>
      </c>
      <c r="AG316" s="40" t="s">
        <v>2421</v>
      </c>
      <c r="AH316" s="40" t="s">
        <v>4896</v>
      </c>
      <c r="AI316" s="40" t="s">
        <v>4897</v>
      </c>
      <c r="AJ316" s="40" t="s">
        <v>2427</v>
      </c>
      <c r="AK316" s="40" t="s">
        <v>2427</v>
      </c>
      <c r="AL316" s="40" t="s">
        <v>4898</v>
      </c>
      <c r="AM316" s="40" t="s">
        <v>2427</v>
      </c>
      <c r="AN316" s="40" t="s">
        <v>2427</v>
      </c>
      <c r="AO316" s="40" t="s">
        <v>2427</v>
      </c>
      <c r="AP316" s="40" t="s">
        <v>2427</v>
      </c>
      <c r="AQ316" s="40" t="s">
        <v>2429</v>
      </c>
    </row>
    <row r="317" spans="1:43">
      <c r="A317" s="46"/>
      <c r="B317" s="45"/>
      <c r="C317" s="9"/>
      <c r="D317" s="2"/>
      <c r="E317" s="2"/>
      <c r="F317" s="2"/>
      <c r="G317" s="2"/>
      <c r="H317" s="2"/>
      <c r="I317" s="2"/>
      <c r="J317" s="2"/>
      <c r="K317" s="2"/>
      <c r="L317" s="2"/>
      <c r="M317" s="2"/>
      <c r="N317" s="2"/>
      <c r="O317" s="2"/>
      <c r="P317" s="2"/>
      <c r="Q317" s="2"/>
      <c r="R317" s="2"/>
      <c r="S317" s="2"/>
      <c r="T317" s="2"/>
      <c r="U317" s="2"/>
    </row>
    <row r="318" spans="1:43">
      <c r="A318" s="46"/>
      <c r="B318" s="47"/>
      <c r="C318" s="9"/>
      <c r="D318" s="2"/>
      <c r="E318" s="2"/>
      <c r="F318" s="2"/>
      <c r="G318" s="2"/>
      <c r="H318" s="2"/>
      <c r="I318" s="2"/>
      <c r="J318" s="2"/>
      <c r="K318" s="2"/>
      <c r="L318" s="2"/>
      <c r="M318" s="2"/>
      <c r="N318" s="2"/>
      <c r="O318" s="2"/>
      <c r="P318" s="2"/>
      <c r="Q318" s="2"/>
      <c r="R318" s="2"/>
      <c r="S318" s="2"/>
      <c r="T318" s="2"/>
      <c r="U318" s="2"/>
    </row>
    <row r="319" spans="1:43">
      <c r="A319" s="46"/>
      <c r="B319" s="47"/>
      <c r="C319" s="9"/>
      <c r="D319" s="2"/>
      <c r="E319" s="2"/>
      <c r="F319" s="2"/>
      <c r="G319" s="2"/>
      <c r="H319" s="2"/>
      <c r="I319" s="2"/>
      <c r="J319" s="2"/>
      <c r="K319" s="2"/>
      <c r="L319" s="2"/>
      <c r="M319" s="2"/>
      <c r="N319" s="2"/>
      <c r="O319" s="2"/>
      <c r="P319" s="2"/>
      <c r="Q319" s="2"/>
      <c r="R319" s="2"/>
      <c r="S319" s="2"/>
      <c r="T319" s="2"/>
      <c r="U319" s="2"/>
    </row>
    <row r="320" spans="1:43">
      <c r="A320" s="46"/>
      <c r="B320" s="45"/>
      <c r="C320" s="9"/>
      <c r="D320" s="2"/>
      <c r="E320" s="2"/>
      <c r="F320" s="2"/>
      <c r="G320" s="2"/>
      <c r="H320" s="2"/>
      <c r="I320" s="2"/>
      <c r="J320" s="2"/>
      <c r="K320" s="2"/>
      <c r="L320" s="2"/>
      <c r="M320" s="2"/>
      <c r="N320" s="2"/>
      <c r="O320" s="2"/>
      <c r="P320" s="2"/>
      <c r="Q320" s="2"/>
      <c r="R320" s="2"/>
      <c r="S320" s="2"/>
      <c r="T320" s="2"/>
      <c r="U320" s="2"/>
    </row>
    <row r="321" spans="1:21">
      <c r="A321" s="46"/>
      <c r="B321" s="45"/>
      <c r="C321" s="9"/>
      <c r="D321" s="2"/>
      <c r="E321" s="2"/>
      <c r="F321" s="2"/>
      <c r="G321" s="2"/>
      <c r="H321" s="2"/>
      <c r="I321" s="2"/>
      <c r="J321" s="2"/>
      <c r="K321" s="2"/>
      <c r="L321" s="2"/>
      <c r="M321" s="2"/>
      <c r="N321" s="2"/>
      <c r="O321" s="2"/>
      <c r="P321" s="2"/>
      <c r="Q321" s="2"/>
      <c r="R321" s="2"/>
      <c r="S321" s="2"/>
      <c r="T321" s="2"/>
      <c r="U321" s="2"/>
    </row>
    <row r="322" spans="1:21">
      <c r="A322" s="46"/>
      <c r="B322" s="45"/>
      <c r="C322" s="9"/>
      <c r="D322" s="2"/>
      <c r="E322" s="2"/>
      <c r="F322" s="2"/>
      <c r="G322" s="2"/>
      <c r="H322" s="2"/>
      <c r="I322" s="2"/>
      <c r="J322" s="2"/>
      <c r="K322" s="2"/>
      <c r="L322" s="2"/>
      <c r="M322" s="2"/>
      <c r="N322" s="2"/>
      <c r="O322" s="2"/>
      <c r="P322" s="2"/>
      <c r="Q322" s="2"/>
      <c r="R322" s="2"/>
      <c r="S322" s="2"/>
      <c r="T322" s="2"/>
      <c r="U322" s="2"/>
    </row>
    <row r="323" spans="1:21">
      <c r="A323" s="46"/>
      <c r="B323" s="47"/>
      <c r="C323" s="9"/>
      <c r="D323" s="2"/>
      <c r="E323" s="2"/>
      <c r="F323" s="2"/>
      <c r="G323" s="2"/>
      <c r="H323" s="2"/>
      <c r="I323" s="2"/>
      <c r="J323" s="2"/>
      <c r="K323" s="2"/>
      <c r="L323" s="2"/>
      <c r="M323" s="2"/>
      <c r="N323" s="2"/>
      <c r="O323" s="2"/>
      <c r="P323" s="2"/>
      <c r="Q323" s="2"/>
      <c r="R323" s="2"/>
      <c r="S323" s="2"/>
      <c r="T323" s="2"/>
      <c r="U323" s="2"/>
    </row>
    <row r="324" spans="1:21">
      <c r="A324" s="46"/>
      <c r="B324" s="48"/>
      <c r="C324" s="9"/>
      <c r="D324" s="2"/>
      <c r="E324" s="2"/>
      <c r="F324" s="2"/>
      <c r="G324" s="2"/>
      <c r="H324" s="2"/>
      <c r="I324" s="2"/>
      <c r="J324" s="2"/>
      <c r="K324" s="2"/>
      <c r="L324" s="2"/>
      <c r="M324" s="2"/>
      <c r="N324" s="2"/>
      <c r="O324" s="2"/>
      <c r="P324" s="2"/>
      <c r="Q324" s="2"/>
      <c r="R324" s="2"/>
      <c r="S324" s="2"/>
      <c r="T324" s="2"/>
      <c r="U324" s="2"/>
    </row>
    <row r="325" spans="1:21">
      <c r="A325" s="46"/>
      <c r="B325" s="48"/>
      <c r="C325" s="9"/>
      <c r="D325" s="2"/>
      <c r="E325" s="2"/>
      <c r="F325" s="2"/>
      <c r="G325" s="2"/>
      <c r="H325" s="2"/>
      <c r="I325" s="2"/>
      <c r="J325" s="2"/>
      <c r="K325" s="2"/>
      <c r="L325" s="2"/>
      <c r="M325" s="2"/>
      <c r="N325" s="2"/>
      <c r="O325" s="2"/>
      <c r="P325" s="2"/>
      <c r="Q325" s="2"/>
      <c r="R325" s="2"/>
      <c r="S325" s="2"/>
      <c r="T325" s="2"/>
      <c r="U325" s="2"/>
    </row>
    <row r="326" spans="1:21">
      <c r="A326" s="46"/>
      <c r="B326" s="48"/>
      <c r="C326" s="9"/>
      <c r="D326" s="2"/>
      <c r="E326" s="2"/>
      <c r="F326" s="2"/>
      <c r="G326" s="2"/>
      <c r="H326" s="2"/>
      <c r="I326" s="2"/>
      <c r="J326" s="2"/>
      <c r="K326" s="2"/>
      <c r="L326" s="2"/>
      <c r="M326" s="2"/>
      <c r="N326" s="2"/>
      <c r="O326" s="2"/>
      <c r="P326" s="2"/>
      <c r="Q326" s="2"/>
      <c r="R326" s="2"/>
      <c r="S326" s="2"/>
      <c r="T326" s="2"/>
      <c r="U326" s="2"/>
    </row>
    <row r="327" spans="1:21">
      <c r="A327" s="46"/>
      <c r="B327" s="48"/>
      <c r="C327" s="9"/>
      <c r="D327" s="2"/>
      <c r="E327" s="2"/>
      <c r="F327" s="2"/>
      <c r="G327" s="2"/>
      <c r="H327" s="2"/>
      <c r="I327" s="2"/>
      <c r="J327" s="2"/>
      <c r="K327" s="2"/>
      <c r="L327" s="2"/>
      <c r="M327" s="2"/>
      <c r="N327" s="2"/>
      <c r="O327" s="2"/>
      <c r="P327" s="2"/>
      <c r="Q327" s="2"/>
      <c r="R327" s="2"/>
      <c r="S327" s="2"/>
      <c r="T327" s="2"/>
      <c r="U327" s="2"/>
    </row>
    <row r="328" spans="1:21">
      <c r="A328" s="46"/>
      <c r="B328" s="47"/>
      <c r="C328" s="9"/>
      <c r="D328" s="2"/>
      <c r="E328" s="2"/>
      <c r="F328" s="2"/>
      <c r="G328" s="2"/>
      <c r="H328" s="2"/>
      <c r="I328" s="2"/>
      <c r="J328" s="2"/>
      <c r="K328" s="2"/>
      <c r="L328" s="2"/>
      <c r="M328" s="2"/>
      <c r="N328" s="2"/>
      <c r="O328" s="2"/>
      <c r="P328" s="2"/>
      <c r="Q328" s="2"/>
      <c r="R328" s="2"/>
      <c r="S328" s="2"/>
      <c r="T328" s="2"/>
      <c r="U328" s="2"/>
    </row>
    <row r="329" spans="1:21">
      <c r="A329" s="46"/>
      <c r="B329" s="48"/>
      <c r="C329" s="9"/>
      <c r="D329" s="2"/>
      <c r="E329" s="2"/>
      <c r="F329" s="2"/>
      <c r="G329" s="2"/>
      <c r="H329" s="2"/>
      <c r="I329" s="2"/>
      <c r="J329" s="2"/>
      <c r="K329" s="2"/>
      <c r="L329" s="2"/>
      <c r="M329" s="2"/>
      <c r="N329" s="2"/>
      <c r="O329" s="2"/>
      <c r="P329" s="2"/>
      <c r="Q329" s="2"/>
      <c r="R329" s="2"/>
      <c r="S329" s="2"/>
      <c r="T329" s="2"/>
      <c r="U329" s="2"/>
    </row>
    <row r="330" spans="1:21">
      <c r="A330" s="2"/>
      <c r="B330" s="47"/>
      <c r="C330" s="9"/>
      <c r="D330" s="2"/>
      <c r="E330" s="2"/>
      <c r="F330" s="2"/>
      <c r="G330" s="2"/>
      <c r="H330" s="2"/>
      <c r="I330" s="2"/>
      <c r="J330" s="2"/>
      <c r="K330" s="2"/>
      <c r="L330" s="2"/>
      <c r="M330" s="2"/>
      <c r="N330" s="2"/>
      <c r="O330" s="2"/>
      <c r="P330" s="2"/>
      <c r="Q330" s="2"/>
      <c r="R330" s="2"/>
      <c r="S330" s="2"/>
      <c r="T330" s="2"/>
      <c r="U330" s="2"/>
    </row>
    <row r="331" spans="1:21">
      <c r="A331" s="2"/>
      <c r="B331" s="47"/>
      <c r="C331" s="9"/>
      <c r="D331" s="2"/>
      <c r="E331" s="2"/>
      <c r="F331" s="2"/>
      <c r="G331" s="2"/>
      <c r="H331" s="2"/>
      <c r="I331" s="2"/>
      <c r="J331" s="2"/>
      <c r="K331" s="2"/>
      <c r="L331" s="2"/>
      <c r="M331" s="2"/>
      <c r="N331" s="2"/>
      <c r="O331" s="2"/>
      <c r="P331" s="2"/>
      <c r="Q331" s="2"/>
      <c r="R331" s="2"/>
      <c r="S331" s="2"/>
      <c r="T331" s="2"/>
      <c r="U331" s="2"/>
    </row>
    <row r="332" spans="1:21">
      <c r="A332" s="2"/>
      <c r="B332" s="47"/>
      <c r="C332" s="9"/>
      <c r="D332" s="2"/>
      <c r="E332" s="2"/>
      <c r="F332" s="2"/>
      <c r="G332" s="2"/>
      <c r="H332" s="2"/>
      <c r="I332" s="2"/>
      <c r="J332" s="2"/>
      <c r="K332" s="2"/>
      <c r="L332" s="2"/>
      <c r="M332" s="2"/>
      <c r="N332" s="2"/>
      <c r="O332" s="2"/>
      <c r="P332" s="2"/>
      <c r="Q332" s="2"/>
      <c r="R332" s="2"/>
      <c r="S332" s="2"/>
      <c r="T332" s="2"/>
      <c r="U332" s="2"/>
    </row>
    <row r="333" spans="1:21">
      <c r="A333" s="2"/>
      <c r="B333" s="47"/>
      <c r="C333" s="9"/>
      <c r="D333" s="2"/>
      <c r="E333" s="2"/>
      <c r="F333" s="2"/>
      <c r="G333" s="2"/>
      <c r="H333" s="2"/>
      <c r="I333" s="2"/>
      <c r="J333" s="2"/>
      <c r="K333" s="2"/>
      <c r="L333" s="2"/>
      <c r="M333" s="2"/>
      <c r="N333" s="2"/>
      <c r="O333" s="2"/>
      <c r="P333" s="2"/>
      <c r="Q333" s="2"/>
      <c r="R333" s="2"/>
      <c r="S333" s="2"/>
      <c r="T333" s="2"/>
      <c r="U333" s="2"/>
    </row>
    <row r="334" spans="1:21">
      <c r="A334" s="2"/>
      <c r="B334" s="47"/>
      <c r="C334" s="9"/>
      <c r="D334" s="2"/>
      <c r="E334" s="2"/>
      <c r="F334" s="2"/>
      <c r="G334" s="2"/>
      <c r="H334" s="2"/>
      <c r="I334" s="2"/>
      <c r="J334" s="2"/>
      <c r="K334" s="2"/>
      <c r="L334" s="2"/>
      <c r="M334" s="2"/>
      <c r="N334" s="2"/>
      <c r="O334" s="2"/>
      <c r="P334" s="2"/>
      <c r="Q334" s="2"/>
      <c r="R334" s="2"/>
      <c r="S334" s="2"/>
      <c r="T334" s="2"/>
      <c r="U334" s="2"/>
    </row>
    <row r="335" spans="1:21">
      <c r="A335" s="2"/>
      <c r="B335" s="47"/>
      <c r="C335" s="9"/>
      <c r="D335" s="2"/>
      <c r="E335" s="2"/>
      <c r="F335" s="2"/>
      <c r="G335" s="2"/>
      <c r="H335" s="2"/>
      <c r="I335" s="2"/>
      <c r="J335" s="2"/>
      <c r="K335" s="2"/>
      <c r="L335" s="2"/>
      <c r="M335" s="2"/>
      <c r="N335" s="2"/>
      <c r="O335" s="2"/>
      <c r="P335" s="2"/>
      <c r="Q335" s="2"/>
      <c r="R335" s="2"/>
      <c r="S335" s="2"/>
      <c r="T335" s="2"/>
      <c r="U335" s="2"/>
    </row>
    <row r="336" spans="1:21">
      <c r="A336" s="2"/>
      <c r="B336" s="47"/>
      <c r="C336" s="9"/>
      <c r="D336" s="2"/>
      <c r="E336" s="2"/>
      <c r="F336" s="2"/>
      <c r="G336" s="2"/>
      <c r="H336" s="2"/>
      <c r="I336" s="2"/>
      <c r="J336" s="2"/>
      <c r="K336" s="2"/>
      <c r="L336" s="2"/>
      <c r="M336" s="2"/>
      <c r="N336" s="2"/>
      <c r="O336" s="2"/>
      <c r="P336" s="2"/>
      <c r="Q336" s="2"/>
      <c r="R336" s="2"/>
      <c r="S336" s="2"/>
      <c r="T336" s="2"/>
      <c r="U336" s="2"/>
    </row>
    <row r="337" spans="1:21">
      <c r="A337" s="2"/>
      <c r="B337" s="47"/>
      <c r="C337" s="9"/>
      <c r="D337" s="2"/>
      <c r="E337" s="2"/>
      <c r="F337" s="2"/>
      <c r="G337" s="2"/>
      <c r="H337" s="2"/>
      <c r="I337" s="2"/>
      <c r="J337" s="2"/>
      <c r="K337" s="2"/>
      <c r="L337" s="2"/>
      <c r="M337" s="2"/>
      <c r="N337" s="2"/>
      <c r="O337" s="2"/>
      <c r="P337" s="2"/>
      <c r="Q337" s="2"/>
      <c r="R337" s="2"/>
      <c r="S337" s="2"/>
      <c r="T337" s="2"/>
      <c r="U337" s="2"/>
    </row>
    <row r="338" spans="1:21">
      <c r="A338" s="2"/>
      <c r="B338" s="47"/>
      <c r="C338" s="9"/>
      <c r="D338" s="2"/>
      <c r="E338" s="2"/>
      <c r="F338" s="2"/>
      <c r="G338" s="2"/>
      <c r="H338" s="2"/>
      <c r="I338" s="2"/>
      <c r="J338" s="2"/>
      <c r="K338" s="2"/>
      <c r="L338" s="2"/>
      <c r="M338" s="2"/>
      <c r="N338" s="2"/>
      <c r="O338" s="2"/>
      <c r="P338" s="2"/>
      <c r="Q338" s="2"/>
      <c r="R338" s="2"/>
      <c r="S338" s="2"/>
      <c r="T338" s="2"/>
      <c r="U338" s="2"/>
    </row>
    <row r="339" spans="1:21">
      <c r="A339" s="2"/>
      <c r="B339" s="47"/>
      <c r="C339" s="9"/>
      <c r="D339" s="2"/>
      <c r="E339" s="2"/>
      <c r="F339" s="2"/>
      <c r="G339" s="2"/>
      <c r="H339" s="2"/>
      <c r="I339" s="2"/>
      <c r="J339" s="2"/>
      <c r="K339" s="2"/>
      <c r="L339" s="2"/>
      <c r="M339" s="2"/>
      <c r="N339" s="2"/>
      <c r="O339" s="2"/>
      <c r="P339" s="2"/>
      <c r="Q339" s="2"/>
      <c r="R339" s="2"/>
      <c r="S339" s="2"/>
      <c r="T339" s="2"/>
      <c r="U339" s="2"/>
    </row>
    <row r="340" spans="1:21">
      <c r="A340" s="2"/>
      <c r="B340" s="47"/>
      <c r="C340" s="9"/>
      <c r="D340" s="2"/>
      <c r="E340" s="2"/>
      <c r="F340" s="2"/>
      <c r="G340" s="2"/>
      <c r="H340" s="2"/>
      <c r="I340" s="2"/>
      <c r="J340" s="2"/>
      <c r="K340" s="2"/>
      <c r="L340" s="2"/>
      <c r="M340" s="2"/>
      <c r="N340" s="2"/>
      <c r="O340" s="2"/>
      <c r="P340" s="2"/>
      <c r="Q340" s="2"/>
      <c r="R340" s="2"/>
      <c r="S340" s="2"/>
      <c r="T340" s="2"/>
      <c r="U340" s="2"/>
    </row>
    <row r="341" spans="1:21">
      <c r="A341" s="2"/>
      <c r="B341" s="47"/>
      <c r="C341" s="9"/>
      <c r="D341" s="2"/>
      <c r="E341" s="2"/>
      <c r="F341" s="2"/>
      <c r="G341" s="2"/>
      <c r="H341" s="2"/>
      <c r="I341" s="2"/>
      <c r="J341" s="2"/>
      <c r="K341" s="2"/>
      <c r="L341" s="2"/>
      <c r="M341" s="2"/>
      <c r="N341" s="2"/>
      <c r="O341" s="2"/>
      <c r="P341" s="2"/>
      <c r="Q341" s="2"/>
      <c r="R341" s="2"/>
      <c r="S341" s="2"/>
      <c r="T341" s="2"/>
      <c r="U341" s="2"/>
    </row>
    <row r="342" spans="1:21">
      <c r="A342" s="2"/>
      <c r="B342" s="47"/>
      <c r="C342" s="9"/>
      <c r="D342" s="2"/>
      <c r="E342" s="2"/>
      <c r="F342" s="2"/>
      <c r="G342" s="2"/>
      <c r="H342" s="2"/>
      <c r="I342" s="2"/>
      <c r="J342" s="2"/>
      <c r="K342" s="2"/>
      <c r="L342" s="2"/>
      <c r="M342" s="2"/>
      <c r="N342" s="2"/>
      <c r="O342" s="2"/>
      <c r="P342" s="2"/>
      <c r="Q342" s="2"/>
      <c r="R342" s="2"/>
      <c r="S342" s="2"/>
      <c r="T342" s="2"/>
      <c r="U342" s="2"/>
    </row>
    <row r="343" spans="1:21">
      <c r="A343" s="2"/>
      <c r="B343" s="47"/>
      <c r="C343" s="9"/>
      <c r="D343" s="2"/>
      <c r="E343" s="2"/>
      <c r="F343" s="2"/>
      <c r="G343" s="2"/>
      <c r="H343" s="2"/>
      <c r="I343" s="2"/>
      <c r="J343" s="2"/>
      <c r="K343" s="2"/>
      <c r="L343" s="2"/>
      <c r="M343" s="2"/>
      <c r="N343" s="2"/>
      <c r="O343" s="2"/>
      <c r="P343" s="2"/>
      <c r="Q343" s="2"/>
      <c r="R343" s="2"/>
      <c r="S343" s="2"/>
      <c r="T343" s="2"/>
      <c r="U343" s="2"/>
    </row>
    <row r="344" spans="1:21">
      <c r="A344" s="2"/>
      <c r="B344" s="47"/>
      <c r="C344" s="9"/>
      <c r="D344" s="2"/>
      <c r="E344" s="2"/>
      <c r="F344" s="2"/>
      <c r="G344" s="2"/>
      <c r="H344" s="2"/>
      <c r="I344" s="2"/>
      <c r="J344" s="2"/>
      <c r="K344" s="2"/>
      <c r="L344" s="2"/>
      <c r="M344" s="2"/>
      <c r="N344" s="2"/>
      <c r="O344" s="2"/>
      <c r="P344" s="2"/>
      <c r="Q344" s="2"/>
      <c r="R344" s="2"/>
      <c r="S344" s="2"/>
      <c r="T344" s="2"/>
      <c r="U344" s="2"/>
    </row>
    <row r="345" spans="1:21">
      <c r="A345" s="2"/>
      <c r="B345" s="47"/>
      <c r="C345" s="9"/>
      <c r="D345" s="2"/>
      <c r="E345" s="2"/>
      <c r="F345" s="2"/>
      <c r="G345" s="2"/>
      <c r="H345" s="2"/>
      <c r="I345" s="2"/>
      <c r="J345" s="2"/>
      <c r="K345" s="2"/>
      <c r="L345" s="2"/>
      <c r="M345" s="2"/>
      <c r="N345" s="2"/>
      <c r="O345" s="2"/>
      <c r="P345" s="2"/>
      <c r="Q345" s="2"/>
      <c r="R345" s="2"/>
      <c r="S345" s="2"/>
      <c r="T345" s="2"/>
      <c r="U345" s="2"/>
    </row>
    <row r="346" spans="1:21">
      <c r="A346" s="2"/>
      <c r="B346" s="47"/>
      <c r="C346" s="9"/>
      <c r="D346" s="2"/>
      <c r="E346" s="2"/>
      <c r="F346" s="2"/>
      <c r="G346" s="2"/>
      <c r="H346" s="2"/>
      <c r="I346" s="2"/>
      <c r="J346" s="2"/>
      <c r="K346" s="2"/>
      <c r="L346" s="2"/>
      <c r="M346" s="2"/>
      <c r="N346" s="2"/>
      <c r="O346" s="2"/>
      <c r="P346" s="2"/>
      <c r="Q346" s="2"/>
      <c r="R346" s="2"/>
      <c r="S346" s="2"/>
      <c r="T346" s="2"/>
      <c r="U346" s="2"/>
    </row>
    <row r="347" spans="1:21">
      <c r="A347" s="2"/>
      <c r="B347" s="47"/>
      <c r="C347" s="9"/>
      <c r="D347" s="2"/>
      <c r="E347" s="2"/>
      <c r="F347" s="2"/>
      <c r="G347" s="2"/>
      <c r="H347" s="2"/>
      <c r="I347" s="2"/>
      <c r="J347" s="2"/>
      <c r="K347" s="2"/>
      <c r="L347" s="2"/>
      <c r="M347" s="2"/>
      <c r="N347" s="2"/>
      <c r="O347" s="2"/>
      <c r="P347" s="2"/>
      <c r="Q347" s="2"/>
      <c r="R347" s="2"/>
      <c r="S347" s="2"/>
      <c r="T347" s="2"/>
      <c r="U347" s="2"/>
    </row>
    <row r="348" spans="1:21">
      <c r="A348" s="2"/>
      <c r="B348" s="47"/>
      <c r="C348" s="9"/>
      <c r="D348" s="2"/>
      <c r="E348" s="2"/>
      <c r="F348" s="2"/>
      <c r="G348" s="2"/>
      <c r="H348" s="2"/>
      <c r="I348" s="2"/>
      <c r="J348" s="2"/>
      <c r="K348" s="2"/>
      <c r="L348" s="2"/>
      <c r="M348" s="2"/>
      <c r="N348" s="2"/>
      <c r="O348" s="2"/>
      <c r="P348" s="2"/>
      <c r="Q348" s="2"/>
      <c r="R348" s="2"/>
      <c r="S348" s="2"/>
      <c r="T348" s="2"/>
      <c r="U348" s="2"/>
    </row>
    <row r="349" spans="1:21">
      <c r="A349" s="2"/>
      <c r="B349" s="47"/>
      <c r="C349" s="9"/>
      <c r="D349" s="2"/>
      <c r="E349" s="2"/>
      <c r="F349" s="2"/>
      <c r="G349" s="2"/>
      <c r="H349" s="2"/>
      <c r="I349" s="2"/>
      <c r="J349" s="2"/>
      <c r="K349" s="2"/>
      <c r="L349" s="2"/>
      <c r="M349" s="2"/>
      <c r="N349" s="2"/>
      <c r="O349" s="2"/>
      <c r="P349" s="2"/>
      <c r="Q349" s="2"/>
      <c r="R349" s="2"/>
      <c r="S349" s="2"/>
      <c r="T349" s="2"/>
      <c r="U349" s="2"/>
    </row>
    <row r="350" spans="1:21">
      <c r="A350" s="2"/>
      <c r="B350" s="47"/>
      <c r="C350" s="9"/>
      <c r="D350" s="2"/>
      <c r="E350" s="2"/>
      <c r="F350" s="2"/>
      <c r="G350" s="2"/>
      <c r="H350" s="2"/>
      <c r="I350" s="2"/>
      <c r="J350" s="2"/>
      <c r="K350" s="2"/>
      <c r="L350" s="2"/>
      <c r="M350" s="2"/>
      <c r="N350" s="2"/>
      <c r="O350" s="2"/>
      <c r="P350" s="2"/>
      <c r="Q350" s="2"/>
      <c r="R350" s="2"/>
      <c r="S350" s="2"/>
      <c r="T350" s="2"/>
      <c r="U350" s="2"/>
    </row>
    <row r="351" spans="1:21">
      <c r="A351" s="2"/>
      <c r="B351" s="47"/>
      <c r="C351" s="9"/>
      <c r="D351" s="2"/>
      <c r="E351" s="2"/>
      <c r="F351" s="2"/>
      <c r="G351" s="2"/>
      <c r="H351" s="2"/>
      <c r="I351" s="2"/>
      <c r="J351" s="2"/>
      <c r="K351" s="2"/>
      <c r="L351" s="2"/>
      <c r="M351" s="2"/>
      <c r="N351" s="2"/>
      <c r="O351" s="2"/>
      <c r="P351" s="2"/>
      <c r="Q351" s="2"/>
      <c r="R351" s="2"/>
      <c r="S351" s="2"/>
      <c r="T351" s="2"/>
      <c r="U351" s="2"/>
    </row>
    <row r="352" spans="1:21">
      <c r="A352" s="2"/>
      <c r="B352" s="47"/>
      <c r="C352" s="9"/>
      <c r="D352" s="2"/>
      <c r="E352" s="2"/>
      <c r="F352" s="2"/>
      <c r="G352" s="2"/>
      <c r="H352" s="2"/>
      <c r="I352" s="2"/>
      <c r="J352" s="2"/>
      <c r="K352" s="2"/>
      <c r="L352" s="2"/>
      <c r="M352" s="2"/>
      <c r="N352" s="2"/>
      <c r="O352" s="2"/>
      <c r="P352" s="2"/>
      <c r="Q352" s="2"/>
      <c r="R352" s="2"/>
      <c r="S352" s="2"/>
      <c r="T352" s="2"/>
      <c r="U352" s="2"/>
    </row>
    <row r="353" spans="1:21">
      <c r="A353" s="2"/>
      <c r="B353" s="47"/>
      <c r="C353" s="9"/>
      <c r="D353" s="2"/>
      <c r="E353" s="2"/>
      <c r="F353" s="2"/>
      <c r="G353" s="2"/>
      <c r="H353" s="2"/>
      <c r="I353" s="2"/>
      <c r="J353" s="2"/>
      <c r="K353" s="2"/>
      <c r="L353" s="2"/>
      <c r="M353" s="2"/>
      <c r="N353" s="2"/>
      <c r="O353" s="2"/>
      <c r="P353" s="2"/>
      <c r="Q353" s="2"/>
      <c r="R353" s="2"/>
      <c r="S353" s="2"/>
      <c r="T353" s="2"/>
      <c r="U353" s="2"/>
    </row>
    <row r="354" spans="1:21">
      <c r="A354" s="2"/>
      <c r="B354" s="47"/>
      <c r="C354" s="9"/>
      <c r="D354" s="2"/>
      <c r="E354" s="2"/>
      <c r="F354" s="2"/>
      <c r="G354" s="2"/>
      <c r="H354" s="2"/>
      <c r="I354" s="2"/>
      <c r="J354" s="2"/>
      <c r="K354" s="2"/>
      <c r="L354" s="2"/>
      <c r="M354" s="2"/>
      <c r="N354" s="2"/>
      <c r="O354" s="2"/>
      <c r="P354" s="2"/>
      <c r="Q354" s="2"/>
      <c r="R354" s="2"/>
      <c r="S354" s="2"/>
      <c r="T354" s="2"/>
      <c r="U354" s="2"/>
    </row>
    <row r="355" spans="1:21">
      <c r="A355" s="2"/>
      <c r="B355" s="47"/>
      <c r="C355" s="9"/>
      <c r="D355" s="2"/>
      <c r="E355" s="2"/>
      <c r="F355" s="2"/>
      <c r="G355" s="2"/>
      <c r="H355" s="2"/>
      <c r="I355" s="2"/>
      <c r="J355" s="2"/>
      <c r="K355" s="2"/>
      <c r="L355" s="2"/>
      <c r="M355" s="2"/>
      <c r="N355" s="2"/>
      <c r="O355" s="2"/>
      <c r="P355" s="2"/>
      <c r="Q355" s="2"/>
      <c r="R355" s="2"/>
      <c r="S355" s="2"/>
      <c r="T355" s="2"/>
      <c r="U355" s="2"/>
    </row>
    <row r="356" spans="1:21">
      <c r="A356" s="2"/>
      <c r="B356" s="47"/>
      <c r="C356" s="9"/>
      <c r="D356" s="2"/>
      <c r="E356" s="2"/>
      <c r="F356" s="2"/>
      <c r="G356" s="2"/>
      <c r="H356" s="2"/>
      <c r="I356" s="2"/>
      <c r="J356" s="2"/>
      <c r="K356" s="2"/>
      <c r="L356" s="2"/>
      <c r="M356" s="2"/>
      <c r="N356" s="2"/>
      <c r="O356" s="2"/>
      <c r="P356" s="2"/>
      <c r="Q356" s="2"/>
      <c r="R356" s="2"/>
      <c r="S356" s="2"/>
      <c r="T356" s="2"/>
      <c r="U356" s="2"/>
    </row>
    <row r="357" spans="1:21">
      <c r="A357" s="2"/>
      <c r="B357" s="47"/>
      <c r="C357" s="9"/>
      <c r="D357" s="2"/>
      <c r="E357" s="2"/>
      <c r="F357" s="2"/>
      <c r="G357" s="2"/>
      <c r="H357" s="2"/>
      <c r="I357" s="2"/>
      <c r="J357" s="2"/>
      <c r="K357" s="2"/>
      <c r="L357" s="2"/>
      <c r="M357" s="2"/>
      <c r="N357" s="2"/>
      <c r="O357" s="2"/>
      <c r="P357" s="2"/>
      <c r="Q357" s="2"/>
      <c r="R357" s="2"/>
      <c r="S357" s="2"/>
      <c r="T357" s="2"/>
      <c r="U357" s="2"/>
    </row>
    <row r="358" spans="1:21">
      <c r="A358" s="2"/>
      <c r="B358" s="47"/>
      <c r="C358" s="9"/>
      <c r="D358" s="2"/>
      <c r="E358" s="2"/>
      <c r="F358" s="2"/>
      <c r="G358" s="2"/>
      <c r="H358" s="2"/>
      <c r="I358" s="2"/>
      <c r="J358" s="2"/>
      <c r="K358" s="2"/>
      <c r="L358" s="2"/>
      <c r="M358" s="2"/>
      <c r="N358" s="2"/>
      <c r="O358" s="2"/>
      <c r="P358" s="2"/>
      <c r="Q358" s="2"/>
      <c r="R358" s="2"/>
      <c r="S358" s="2"/>
      <c r="T358" s="2"/>
      <c r="U358" s="2"/>
    </row>
    <row r="359" spans="1:21">
      <c r="A359" s="2"/>
      <c r="B359" s="47"/>
      <c r="C359" s="9"/>
      <c r="D359" s="2"/>
      <c r="E359" s="2"/>
      <c r="F359" s="2"/>
      <c r="G359" s="2"/>
      <c r="H359" s="2"/>
      <c r="I359" s="2"/>
      <c r="J359" s="2"/>
      <c r="K359" s="2"/>
      <c r="L359" s="2"/>
      <c r="M359" s="2"/>
      <c r="N359" s="2"/>
      <c r="O359" s="2"/>
      <c r="P359" s="2"/>
      <c r="Q359" s="2"/>
      <c r="R359" s="2"/>
      <c r="S359" s="2"/>
      <c r="T359" s="2"/>
      <c r="U359" s="2"/>
    </row>
    <row r="360" spans="1:21">
      <c r="A360" s="2"/>
      <c r="B360" s="47"/>
      <c r="C360" s="9"/>
      <c r="D360" s="2"/>
      <c r="E360" s="2"/>
      <c r="F360" s="2"/>
      <c r="G360" s="2"/>
      <c r="H360" s="2"/>
      <c r="I360" s="2"/>
      <c r="J360" s="2"/>
      <c r="K360" s="2"/>
      <c r="L360" s="2"/>
      <c r="M360" s="2"/>
      <c r="N360" s="2"/>
      <c r="O360" s="2"/>
      <c r="P360" s="2"/>
      <c r="Q360" s="2"/>
      <c r="R360" s="2"/>
      <c r="S360" s="2"/>
      <c r="T360" s="2"/>
      <c r="U360" s="2"/>
    </row>
    <row r="361" spans="1:21">
      <c r="A361" s="2"/>
      <c r="B361" s="47"/>
      <c r="C361" s="9"/>
      <c r="D361" s="2"/>
      <c r="E361" s="2"/>
      <c r="F361" s="2"/>
      <c r="G361" s="2"/>
      <c r="H361" s="2"/>
      <c r="I361" s="2"/>
      <c r="J361" s="2"/>
      <c r="K361" s="2"/>
      <c r="L361" s="2"/>
      <c r="M361" s="2"/>
      <c r="N361" s="2"/>
      <c r="O361" s="2"/>
      <c r="P361" s="2"/>
      <c r="Q361" s="2"/>
      <c r="R361" s="2"/>
      <c r="S361" s="2"/>
      <c r="T361" s="2"/>
      <c r="U361" s="2"/>
    </row>
    <row r="362" spans="1:21">
      <c r="A362" s="2"/>
      <c r="B362" s="47"/>
      <c r="C362" s="9"/>
      <c r="D362" s="2"/>
      <c r="E362" s="2"/>
      <c r="F362" s="2"/>
      <c r="G362" s="2"/>
      <c r="H362" s="2"/>
      <c r="I362" s="2"/>
      <c r="J362" s="2"/>
      <c r="K362" s="2"/>
      <c r="L362" s="2"/>
      <c r="M362" s="2"/>
      <c r="N362" s="2"/>
      <c r="O362" s="2"/>
      <c r="P362" s="2"/>
      <c r="Q362" s="2"/>
      <c r="R362" s="2"/>
      <c r="S362" s="2"/>
      <c r="T362" s="2"/>
      <c r="U362" s="2"/>
    </row>
    <row r="363" spans="1:21">
      <c r="A363" s="2"/>
      <c r="B363" s="47"/>
      <c r="C363" s="9"/>
      <c r="D363" s="2"/>
      <c r="E363" s="2"/>
      <c r="F363" s="2"/>
      <c r="G363" s="2"/>
      <c r="H363" s="2"/>
      <c r="I363" s="2"/>
      <c r="J363" s="2"/>
      <c r="K363" s="2"/>
      <c r="L363" s="2"/>
      <c r="M363" s="2"/>
      <c r="N363" s="2"/>
      <c r="O363" s="2"/>
      <c r="P363" s="2"/>
      <c r="Q363" s="2"/>
      <c r="R363" s="2"/>
      <c r="S363" s="2"/>
      <c r="T363" s="2"/>
      <c r="U363" s="2"/>
    </row>
    <row r="364" spans="1:21">
      <c r="A364" s="2"/>
      <c r="B364" s="47"/>
      <c r="C364" s="9"/>
      <c r="D364" s="2"/>
      <c r="E364" s="2"/>
      <c r="F364" s="2"/>
      <c r="G364" s="2"/>
      <c r="H364" s="2"/>
      <c r="I364" s="2"/>
      <c r="J364" s="2"/>
      <c r="K364" s="2"/>
      <c r="L364" s="2"/>
      <c r="M364" s="2"/>
      <c r="N364" s="2"/>
      <c r="O364" s="2"/>
      <c r="P364" s="2"/>
      <c r="Q364" s="2"/>
      <c r="R364" s="2"/>
      <c r="S364" s="2"/>
      <c r="T364" s="2"/>
      <c r="U364" s="2"/>
    </row>
    <row r="365" spans="1:21">
      <c r="A365" s="2"/>
      <c r="B365" s="47"/>
      <c r="C365" s="9"/>
      <c r="D365" s="2"/>
      <c r="E365" s="2"/>
      <c r="F365" s="2"/>
      <c r="G365" s="2"/>
      <c r="H365" s="2"/>
      <c r="I365" s="2"/>
      <c r="J365" s="2"/>
      <c r="K365" s="2"/>
      <c r="L365" s="2"/>
      <c r="M365" s="2"/>
      <c r="N365" s="2"/>
      <c r="O365" s="2"/>
      <c r="P365" s="2"/>
      <c r="Q365" s="2"/>
      <c r="R365" s="2"/>
      <c r="S365" s="2"/>
      <c r="T365" s="2"/>
      <c r="U365" s="2"/>
    </row>
    <row r="366" spans="1:21">
      <c r="A366" s="2"/>
      <c r="B366" s="47"/>
      <c r="C366" s="9"/>
      <c r="D366" s="2"/>
      <c r="E366" s="2"/>
      <c r="F366" s="2"/>
      <c r="G366" s="2"/>
      <c r="H366" s="2"/>
      <c r="I366" s="2"/>
      <c r="J366" s="2"/>
      <c r="K366" s="2"/>
      <c r="L366" s="2"/>
      <c r="M366" s="2"/>
      <c r="N366" s="2"/>
      <c r="O366" s="2"/>
      <c r="P366" s="2"/>
      <c r="Q366" s="2"/>
      <c r="R366" s="2"/>
      <c r="S366" s="2"/>
      <c r="T366" s="2"/>
      <c r="U366" s="2"/>
    </row>
  </sheetData>
  <sheetProtection formatCells="0" insertHyperlinks="0" autoFilter="0"/>
  <mergeCells count="23">
    <mergeCell ref="B1:H1"/>
    <mergeCell ref="A3:A7"/>
    <mergeCell ref="A8:A12"/>
    <mergeCell ref="A13:A18"/>
    <mergeCell ref="A19:A22"/>
    <mergeCell ref="A23:A25"/>
    <mergeCell ref="A26:A28"/>
    <mergeCell ref="A29:A31"/>
    <mergeCell ref="A32:A35"/>
    <mergeCell ref="A39:A67"/>
    <mergeCell ref="A68:A98"/>
    <mergeCell ref="A100:A127"/>
    <mergeCell ref="A128:A142"/>
    <mergeCell ref="A144:A164"/>
    <mergeCell ref="A169:A173"/>
    <mergeCell ref="A174:A186"/>
    <mergeCell ref="A187:A203"/>
    <mergeCell ref="A204:A205"/>
    <mergeCell ref="A206:A212"/>
    <mergeCell ref="A213:A214"/>
    <mergeCell ref="A218:A276"/>
    <mergeCell ref="A277:A291"/>
    <mergeCell ref="A292:A31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80"/>
  <sheetViews>
    <sheetView topLeftCell="A20" workbookViewId="0">
      <selection activeCell="A31" sqref="$A27:$XFD31"/>
    </sheetView>
  </sheetViews>
  <sheetFormatPr defaultColWidth="14" defaultRowHeight="13"/>
  <cols>
    <col min="1" max="20" width="27" customWidth="1"/>
  </cols>
  <sheetData>
    <row r="1" ht="46" customHeight="1" spans="1:20">
      <c r="A1" s="1" t="str">
        <f>_xlfn.DISPIMG("ID_0D0BA0BD53574F0790C5AC0E7AF52BC6",1)</f>
        <v>=DISPIMG("ID_0D0BA0BD53574F0790C5AC0E7AF52BC6",1)</v>
      </c>
      <c r="B1" s="1" t="s">
        <v>553</v>
      </c>
      <c r="C1" s="1"/>
      <c r="D1" s="1"/>
      <c r="E1" s="1"/>
      <c r="F1" s="1"/>
      <c r="G1" s="1"/>
      <c r="H1" s="1"/>
      <c r="I1" s="2"/>
      <c r="J1" s="2"/>
      <c r="K1" s="2"/>
      <c r="L1" s="2"/>
      <c r="M1" s="2"/>
      <c r="N1" s="2"/>
      <c r="O1" s="2"/>
      <c r="P1" s="2"/>
      <c r="Q1" s="2"/>
      <c r="R1" s="2"/>
      <c r="S1" s="2"/>
      <c r="T1" s="2"/>
    </row>
    <row r="2" ht="15.5" spans="1:20">
      <c r="A2" s="3" t="s">
        <v>4899</v>
      </c>
      <c r="B2" s="9" t="s">
        <v>4900</v>
      </c>
      <c r="C2" s="2"/>
      <c r="D2" s="2"/>
      <c r="E2" s="2"/>
      <c r="F2" s="2"/>
      <c r="G2" s="2"/>
      <c r="H2" s="2"/>
      <c r="I2" s="2"/>
      <c r="J2" s="2"/>
      <c r="K2" s="2"/>
      <c r="L2" s="2"/>
      <c r="M2" s="2"/>
      <c r="N2" s="2"/>
      <c r="O2" s="2"/>
      <c r="P2" s="2"/>
      <c r="Q2" s="2"/>
      <c r="R2" s="2"/>
      <c r="S2" s="2"/>
      <c r="T2" s="2"/>
    </row>
    <row r="3" ht="15.5" spans="1:20">
      <c r="A3" s="11" t="s">
        <v>46</v>
      </c>
      <c r="B3" s="6" t="s">
        <v>4901</v>
      </c>
      <c r="C3" s="11" t="s">
        <v>4902</v>
      </c>
      <c r="D3" s="11" t="s">
        <v>4903</v>
      </c>
      <c r="E3" s="11" t="s">
        <v>4904</v>
      </c>
      <c r="F3" s="11" t="s">
        <v>4905</v>
      </c>
      <c r="G3" s="11" t="s">
        <v>4906</v>
      </c>
      <c r="H3" s="6" t="s">
        <v>4907</v>
      </c>
      <c r="I3" s="23"/>
      <c r="J3" s="2"/>
      <c r="K3" s="2"/>
      <c r="L3" s="2"/>
      <c r="M3" s="2"/>
      <c r="N3" s="2"/>
      <c r="O3" s="2"/>
      <c r="P3" s="2"/>
      <c r="Q3" s="2"/>
      <c r="R3" s="2"/>
      <c r="S3" s="2"/>
      <c r="T3" s="2"/>
    </row>
    <row r="4" ht="63" customHeight="1" spans="1:20">
      <c r="A4" s="9" t="s">
        <v>633</v>
      </c>
      <c r="B4" s="9" t="s">
        <v>110</v>
      </c>
      <c r="C4" s="9" t="s">
        <v>4908</v>
      </c>
      <c r="D4" s="9" t="s">
        <v>4909</v>
      </c>
      <c r="E4" s="9" t="s">
        <v>4910</v>
      </c>
      <c r="F4" s="9" t="s">
        <v>4911</v>
      </c>
      <c r="G4" s="9" t="s">
        <v>4912</v>
      </c>
      <c r="H4" s="9" t="s">
        <v>4913</v>
      </c>
      <c r="I4" s="2"/>
      <c r="J4" s="2"/>
      <c r="K4" s="2"/>
      <c r="L4" s="2"/>
      <c r="M4" s="2"/>
      <c r="N4" s="2"/>
      <c r="O4" s="2"/>
      <c r="P4" s="2"/>
      <c r="Q4" s="2"/>
      <c r="R4" s="2"/>
      <c r="S4" s="2"/>
      <c r="T4" s="2"/>
    </row>
    <row r="5" ht="63" customHeight="1" spans="1:20">
      <c r="A5" s="9" t="s">
        <v>233</v>
      </c>
      <c r="B5" s="9"/>
      <c r="C5" s="9" t="s">
        <v>4908</v>
      </c>
      <c r="D5" s="9" t="s">
        <v>4914</v>
      </c>
      <c r="E5" s="9" t="s">
        <v>4910</v>
      </c>
      <c r="F5" s="9" t="s">
        <v>4915</v>
      </c>
      <c r="G5" s="9" t="s">
        <v>4912</v>
      </c>
      <c r="H5" s="9" t="s">
        <v>4913</v>
      </c>
    </row>
    <row r="6" ht="63" customHeight="1" spans="1:20">
      <c r="A6" s="9" t="s">
        <v>636</v>
      </c>
      <c r="B6" s="9"/>
      <c r="C6" s="9" t="s">
        <v>4916</v>
      </c>
      <c r="D6" s="9" t="s">
        <v>4914</v>
      </c>
      <c r="E6" s="9" t="s">
        <v>4910</v>
      </c>
      <c r="F6" s="9" t="s">
        <v>4917</v>
      </c>
      <c r="G6" s="9" t="s">
        <v>4918</v>
      </c>
      <c r="H6" s="9" t="s">
        <v>4919</v>
      </c>
    </row>
    <row r="7" ht="63" customHeight="1" spans="1:20">
      <c r="A7" s="9" t="s">
        <v>638</v>
      </c>
      <c r="B7" s="9"/>
      <c r="C7" s="9" t="s">
        <v>4916</v>
      </c>
      <c r="D7" s="9" t="s">
        <v>4909</v>
      </c>
      <c r="E7" s="9" t="s">
        <v>4910</v>
      </c>
      <c r="F7" s="9" t="s">
        <v>4920</v>
      </c>
      <c r="G7" s="9" t="s">
        <v>4918</v>
      </c>
      <c r="H7" s="9" t="s">
        <v>4919</v>
      </c>
    </row>
    <row r="8" ht="63" customHeight="1" spans="1:20">
      <c r="A8" s="9" t="s">
        <v>640</v>
      </c>
      <c r="B8" s="9"/>
      <c r="C8" s="9" t="s">
        <v>4916</v>
      </c>
      <c r="D8" s="9" t="s">
        <v>4921</v>
      </c>
      <c r="E8" s="9" t="s">
        <v>4922</v>
      </c>
      <c r="F8" s="9" t="s">
        <v>4923</v>
      </c>
      <c r="G8" s="9" t="s">
        <v>4924</v>
      </c>
      <c r="H8" s="9" t="s">
        <v>67</v>
      </c>
    </row>
    <row r="9" ht="63" customHeight="1" spans="1:20">
      <c r="A9" s="9" t="s">
        <v>642</v>
      </c>
      <c r="B9" s="9"/>
      <c r="C9" s="9" t="s">
        <v>4925</v>
      </c>
      <c r="D9" s="9" t="s">
        <v>4921</v>
      </c>
      <c r="E9" s="9" t="s">
        <v>4910</v>
      </c>
      <c r="F9" s="9" t="s">
        <v>4926</v>
      </c>
      <c r="G9" s="9" t="s">
        <v>4918</v>
      </c>
      <c r="H9" s="9" t="s">
        <v>4927</v>
      </c>
    </row>
    <row r="10" ht="63" customHeight="1" spans="1:20">
      <c r="A10" s="9" t="s">
        <v>643</v>
      </c>
      <c r="B10" s="9"/>
      <c r="C10" s="9" t="s">
        <v>67</v>
      </c>
      <c r="D10" s="9" t="s">
        <v>4928</v>
      </c>
      <c r="E10" s="9" t="s">
        <v>4910</v>
      </c>
      <c r="F10" s="9" t="s">
        <v>4929</v>
      </c>
      <c r="G10" s="9" t="s">
        <v>4918</v>
      </c>
      <c r="H10" s="9" t="s">
        <v>4927</v>
      </c>
    </row>
    <row r="11" ht="63" customHeight="1" spans="1:20">
      <c r="A11" s="9" t="s">
        <v>645</v>
      </c>
      <c r="B11" s="9"/>
      <c r="C11" s="9" t="s">
        <v>4925</v>
      </c>
      <c r="D11" s="9" t="s">
        <v>4914</v>
      </c>
      <c r="E11" s="9" t="s">
        <v>4910</v>
      </c>
      <c r="F11" s="9" t="s">
        <v>4930</v>
      </c>
      <c r="G11" s="9" t="s">
        <v>4918</v>
      </c>
      <c r="H11" s="9" t="s">
        <v>4919</v>
      </c>
    </row>
    <row r="12" ht="63" customHeight="1" spans="1:20">
      <c r="A12" s="9" t="s">
        <v>208</v>
      </c>
      <c r="B12" s="9"/>
      <c r="C12" s="9" t="s">
        <v>4925</v>
      </c>
      <c r="D12" s="9" t="s">
        <v>4914</v>
      </c>
      <c r="E12" s="9" t="s">
        <v>4910</v>
      </c>
      <c r="F12" s="9" t="s">
        <v>4931</v>
      </c>
      <c r="G12" s="9" t="s">
        <v>4918</v>
      </c>
      <c r="H12" s="9" t="s">
        <v>4927</v>
      </c>
    </row>
    <row r="13" ht="63" customHeight="1" spans="1:20">
      <c r="A13" s="9" t="s">
        <v>685</v>
      </c>
      <c r="B13" s="9"/>
      <c r="C13" s="9" t="s">
        <v>4932</v>
      </c>
      <c r="D13" s="9" t="s">
        <v>4921</v>
      </c>
      <c r="E13" s="9" t="s">
        <v>4922</v>
      </c>
      <c r="F13" s="9" t="s">
        <v>4933</v>
      </c>
      <c r="G13" s="9" t="s">
        <v>4924</v>
      </c>
      <c r="H13" s="9" t="s">
        <v>67</v>
      </c>
    </row>
    <row r="14" ht="63" customHeight="1" spans="1:20">
      <c r="A14" s="9" t="s">
        <v>690</v>
      </c>
      <c r="B14" s="9"/>
      <c r="C14" s="9" t="s">
        <v>4934</v>
      </c>
      <c r="D14" s="9" t="s">
        <v>4928</v>
      </c>
      <c r="E14" s="9" t="s">
        <v>4910</v>
      </c>
      <c r="F14" s="9" t="s">
        <v>4935</v>
      </c>
      <c r="G14" s="9" t="s">
        <v>4918</v>
      </c>
      <c r="H14" s="9" t="s">
        <v>4919</v>
      </c>
    </row>
    <row r="15" ht="63" customHeight="1" spans="1:20">
      <c r="A15" s="9" t="s">
        <v>692</v>
      </c>
      <c r="B15" s="9"/>
      <c r="C15" s="9" t="s">
        <v>4925</v>
      </c>
      <c r="D15" s="9" t="s">
        <v>4909</v>
      </c>
      <c r="E15" s="9" t="s">
        <v>4910</v>
      </c>
      <c r="F15" s="9" t="s">
        <v>4936</v>
      </c>
      <c r="G15" s="9" t="s">
        <v>4918</v>
      </c>
      <c r="H15" s="9" t="s">
        <v>4927</v>
      </c>
    </row>
    <row r="16" ht="63" customHeight="1" spans="1:20">
      <c r="A16" s="9" t="s">
        <v>594</v>
      </c>
      <c r="B16" s="9"/>
      <c r="C16" s="9" t="s">
        <v>4916</v>
      </c>
      <c r="D16" s="9" t="s">
        <v>4928</v>
      </c>
      <c r="E16" s="9" t="s">
        <v>4910</v>
      </c>
      <c r="F16" s="9" t="s">
        <v>4937</v>
      </c>
      <c r="G16" s="9" t="s">
        <v>4918</v>
      </c>
      <c r="H16" s="9" t="s">
        <v>4919</v>
      </c>
    </row>
    <row r="17" ht="63" customHeight="1" spans="1:8">
      <c r="A17" s="9" t="s">
        <v>698</v>
      </c>
      <c r="B17" s="9"/>
      <c r="C17" s="9" t="s">
        <v>4925</v>
      </c>
      <c r="D17" s="9" t="s">
        <v>4909</v>
      </c>
      <c r="E17" s="9" t="s">
        <v>4910</v>
      </c>
      <c r="F17" s="9" t="s">
        <v>4938</v>
      </c>
      <c r="G17" s="9" t="s">
        <v>4939</v>
      </c>
      <c r="H17" s="9" t="s">
        <v>4940</v>
      </c>
    </row>
    <row r="18" ht="63" customHeight="1" spans="1:8">
      <c r="A18" s="9" t="s">
        <v>700</v>
      </c>
      <c r="B18" s="9"/>
      <c r="C18" s="9" t="s">
        <v>4941</v>
      </c>
      <c r="D18" s="9" t="s">
        <v>4942</v>
      </c>
      <c r="E18" s="9" t="s">
        <v>4910</v>
      </c>
      <c r="F18" s="9" t="s">
        <v>4943</v>
      </c>
      <c r="G18" s="9" t="s">
        <v>4944</v>
      </c>
      <c r="H18" s="9" t="s">
        <v>4945</v>
      </c>
    </row>
    <row r="19" ht="63" customHeight="1" spans="1:8">
      <c r="A19" s="9" t="s">
        <v>703</v>
      </c>
      <c r="B19" s="9"/>
      <c r="C19" s="9" t="s">
        <v>4946</v>
      </c>
      <c r="D19" s="9" t="s">
        <v>4942</v>
      </c>
      <c r="E19" s="9" t="s">
        <v>4910</v>
      </c>
      <c r="F19" s="9" t="s">
        <v>4947</v>
      </c>
      <c r="G19" s="9" t="s">
        <v>4944</v>
      </c>
      <c r="H19" s="9" t="s">
        <v>2292</v>
      </c>
    </row>
    <row r="20" ht="63" customHeight="1" spans="1:8">
      <c r="A20" s="9" t="s">
        <v>249</v>
      </c>
      <c r="B20" s="9"/>
      <c r="C20" s="9" t="s">
        <v>4941</v>
      </c>
      <c r="D20" s="9" t="s">
        <v>4948</v>
      </c>
      <c r="E20" s="9" t="s">
        <v>4910</v>
      </c>
      <c r="F20" s="9" t="s">
        <v>4949</v>
      </c>
      <c r="G20" s="9" t="s">
        <v>4944</v>
      </c>
      <c r="H20" s="9" t="s">
        <v>4945</v>
      </c>
    </row>
    <row r="21" ht="63" customHeight="1" spans="1:8">
      <c r="A21" s="9" t="s">
        <v>707</v>
      </c>
      <c r="B21" s="9"/>
      <c r="C21" s="9" t="s">
        <v>4946</v>
      </c>
      <c r="D21" s="9" t="s">
        <v>4950</v>
      </c>
      <c r="E21" s="9" t="s">
        <v>4951</v>
      </c>
      <c r="F21" s="9" t="s">
        <v>4952</v>
      </c>
      <c r="G21" s="9" t="s">
        <v>4953</v>
      </c>
      <c r="H21" s="9" t="s">
        <v>67</v>
      </c>
    </row>
    <row r="22" ht="63" customHeight="1" spans="1:8">
      <c r="A22" s="9" t="s">
        <v>712</v>
      </c>
      <c r="B22" s="9"/>
      <c r="C22" s="9" t="s">
        <v>4941</v>
      </c>
      <c r="D22" s="9" t="s">
        <v>4950</v>
      </c>
      <c r="E22" s="9" t="s">
        <v>4910</v>
      </c>
      <c r="F22" s="9" t="s">
        <v>4954</v>
      </c>
      <c r="G22" s="9" t="s">
        <v>4944</v>
      </c>
      <c r="H22" s="9" t="s">
        <v>4945</v>
      </c>
    </row>
    <row r="23" ht="63" customHeight="1" spans="1:8">
      <c r="A23" s="9" t="s">
        <v>716</v>
      </c>
      <c r="B23" s="9"/>
      <c r="C23" s="9" t="s">
        <v>4941</v>
      </c>
      <c r="D23" s="9" t="s">
        <v>4955</v>
      </c>
      <c r="E23" s="9" t="s">
        <v>4910</v>
      </c>
      <c r="F23" s="9" t="s">
        <v>4956</v>
      </c>
      <c r="G23" s="9" t="s">
        <v>4944</v>
      </c>
      <c r="H23" s="9" t="s">
        <v>4945</v>
      </c>
    </row>
    <row r="24" ht="63" customHeight="1" spans="1:8">
      <c r="A24" s="9" t="s">
        <v>720</v>
      </c>
      <c r="B24" s="9"/>
      <c r="C24" s="9" t="s">
        <v>4946</v>
      </c>
      <c r="D24" s="9" t="s">
        <v>4909</v>
      </c>
      <c r="E24" s="9" t="s">
        <v>4957</v>
      </c>
      <c r="F24" s="9" t="s">
        <v>4958</v>
      </c>
      <c r="G24" s="9" t="s">
        <v>4959</v>
      </c>
      <c r="H24" s="9" t="s">
        <v>2233</v>
      </c>
    </row>
    <row r="25" ht="63" customHeight="1" spans="1:8">
      <c r="A25" s="9" t="s">
        <v>722</v>
      </c>
      <c r="B25" s="9"/>
      <c r="C25" s="9" t="s">
        <v>4941</v>
      </c>
      <c r="D25" s="9" t="s">
        <v>4914</v>
      </c>
      <c r="E25" s="9" t="s">
        <v>4910</v>
      </c>
      <c r="F25" s="9" t="s">
        <v>4960</v>
      </c>
      <c r="G25" s="9" t="s">
        <v>4944</v>
      </c>
      <c r="H25" s="9" t="s">
        <v>4945</v>
      </c>
    </row>
    <row r="26" ht="63" customHeight="1" spans="1:8">
      <c r="A26" s="9" t="s">
        <v>725</v>
      </c>
      <c r="B26" s="9"/>
      <c r="C26" s="9" t="s">
        <v>4946</v>
      </c>
      <c r="D26" s="9" t="s">
        <v>4914</v>
      </c>
      <c r="E26" s="9" t="s">
        <v>4957</v>
      </c>
      <c r="F26" s="9" t="s">
        <v>4961</v>
      </c>
      <c r="G26" s="9" t="s">
        <v>4959</v>
      </c>
      <c r="H26" s="9" t="s">
        <v>4962</v>
      </c>
    </row>
    <row r="27" ht="63" customHeight="1" spans="1:8">
      <c r="A27" s="9" t="s">
        <v>729</v>
      </c>
      <c r="B27" s="9"/>
      <c r="C27" s="9" t="s">
        <v>4941</v>
      </c>
      <c r="D27" s="9" t="s">
        <v>4928</v>
      </c>
      <c r="E27" s="9" t="s">
        <v>4910</v>
      </c>
      <c r="F27" s="9" t="s">
        <v>4963</v>
      </c>
      <c r="G27" s="9" t="s">
        <v>4944</v>
      </c>
      <c r="H27" s="9" t="s">
        <v>4945</v>
      </c>
    </row>
    <row r="28" ht="63" customHeight="1" spans="1:8">
      <c r="A28" s="9" t="s">
        <v>731</v>
      </c>
      <c r="B28" s="9"/>
      <c r="C28" s="9" t="s">
        <v>4941</v>
      </c>
      <c r="D28" s="9" t="s">
        <v>4964</v>
      </c>
      <c r="E28" s="9" t="s">
        <v>4910</v>
      </c>
      <c r="F28" s="9" t="s">
        <v>4965</v>
      </c>
      <c r="G28" s="9" t="s">
        <v>4944</v>
      </c>
      <c r="H28" s="9" t="s">
        <v>4945</v>
      </c>
    </row>
    <row r="29" ht="63" customHeight="1" spans="1:8">
      <c r="A29" s="9" t="s">
        <v>734</v>
      </c>
      <c r="B29" s="9"/>
      <c r="C29" s="9" t="s">
        <v>4946</v>
      </c>
      <c r="D29" s="9" t="s">
        <v>4921</v>
      </c>
      <c r="E29" s="9" t="s">
        <v>4910</v>
      </c>
      <c r="F29" s="9" t="s">
        <v>4966</v>
      </c>
      <c r="G29" s="9" t="s">
        <v>4944</v>
      </c>
      <c r="H29" s="9" t="s">
        <v>4945</v>
      </c>
    </row>
    <row r="30" ht="63" customHeight="1" spans="1:8">
      <c r="A30" s="9" t="s">
        <v>736</v>
      </c>
      <c r="B30" s="9"/>
      <c r="C30" s="9" t="s">
        <v>4946</v>
      </c>
      <c r="D30" s="9" t="s">
        <v>4967</v>
      </c>
      <c r="E30" s="9" t="s">
        <v>4910</v>
      </c>
      <c r="F30" s="9" t="s">
        <v>4968</v>
      </c>
      <c r="G30" s="9" t="s">
        <v>4944</v>
      </c>
      <c r="H30" s="9" t="s">
        <v>1015</v>
      </c>
    </row>
    <row r="31" ht="63" customHeight="1" spans="1:8">
      <c r="A31" s="9" t="s">
        <v>738</v>
      </c>
      <c r="B31" s="9"/>
      <c r="C31" s="9" t="s">
        <v>4941</v>
      </c>
      <c r="D31" s="9" t="s">
        <v>4967</v>
      </c>
      <c r="E31" s="9" t="s">
        <v>4910</v>
      </c>
      <c r="F31" s="9" t="s">
        <v>4969</v>
      </c>
      <c r="G31" s="9" t="s">
        <v>4944</v>
      </c>
      <c r="H31" s="9" t="s">
        <v>4945</v>
      </c>
    </row>
    <row r="32" ht="63" customHeight="1" spans="1:8">
      <c r="A32" s="9" t="s">
        <v>742</v>
      </c>
      <c r="B32" s="9"/>
      <c r="C32" s="9" t="s">
        <v>4941</v>
      </c>
      <c r="D32" s="9" t="s">
        <v>4909</v>
      </c>
      <c r="E32" s="9" t="s">
        <v>4910</v>
      </c>
      <c r="F32" s="9" t="s">
        <v>4970</v>
      </c>
      <c r="G32" s="9" t="s">
        <v>4944</v>
      </c>
      <c r="H32" s="9" t="s">
        <v>4945</v>
      </c>
    </row>
    <row r="33" ht="63" customHeight="1" spans="1:8">
      <c r="A33" s="9" t="s">
        <v>745</v>
      </c>
      <c r="B33" s="9"/>
      <c r="C33" s="9" t="s">
        <v>4941</v>
      </c>
      <c r="D33" s="9" t="s">
        <v>4971</v>
      </c>
      <c r="E33" s="9" t="s">
        <v>4910</v>
      </c>
      <c r="F33" s="9" t="s">
        <v>4972</v>
      </c>
      <c r="G33" s="9" t="s">
        <v>4944</v>
      </c>
      <c r="H33" s="9" t="s">
        <v>4945</v>
      </c>
    </row>
    <row r="34" ht="63" customHeight="1" spans="1:8">
      <c r="A34" s="9" t="s">
        <v>748</v>
      </c>
      <c r="B34" s="9"/>
      <c r="C34" s="9" t="s">
        <v>4973</v>
      </c>
      <c r="D34" s="9" t="s">
        <v>4948</v>
      </c>
      <c r="E34" s="9" t="s">
        <v>4951</v>
      </c>
      <c r="F34" s="9" t="s">
        <v>4974</v>
      </c>
      <c r="G34" s="9" t="s">
        <v>4953</v>
      </c>
      <c r="H34" s="9" t="s">
        <v>67</v>
      </c>
    </row>
    <row r="35" ht="63" customHeight="1" spans="1:8">
      <c r="A35" s="9" t="s">
        <v>750</v>
      </c>
      <c r="B35" s="9"/>
      <c r="C35" s="9" t="s">
        <v>4946</v>
      </c>
      <c r="D35" s="9" t="s">
        <v>4948</v>
      </c>
      <c r="E35" s="9" t="s">
        <v>4910</v>
      </c>
      <c r="F35" s="9" t="s">
        <v>4975</v>
      </c>
      <c r="G35" s="9" t="s">
        <v>4944</v>
      </c>
      <c r="H35" s="9" t="s">
        <v>4945</v>
      </c>
    </row>
    <row r="36" ht="63" customHeight="1" spans="1:8">
      <c r="A36" s="9" t="s">
        <v>755</v>
      </c>
      <c r="B36" s="9"/>
      <c r="C36" s="9" t="s">
        <v>4941</v>
      </c>
      <c r="D36" s="9" t="s">
        <v>4921</v>
      </c>
      <c r="E36" s="9" t="s">
        <v>4910</v>
      </c>
      <c r="F36" s="9" t="s">
        <v>4976</v>
      </c>
      <c r="G36" s="9" t="s">
        <v>4944</v>
      </c>
      <c r="H36" s="9" t="s">
        <v>4945</v>
      </c>
    </row>
    <row r="37" ht="63" customHeight="1" spans="1:8">
      <c r="A37" s="9" t="s">
        <v>646</v>
      </c>
      <c r="B37" s="9"/>
      <c r="C37" s="9" t="s">
        <v>4941</v>
      </c>
      <c r="D37" s="9" t="s">
        <v>4977</v>
      </c>
      <c r="E37" s="9" t="s">
        <v>4910</v>
      </c>
      <c r="F37" s="9" t="s">
        <v>4978</v>
      </c>
      <c r="G37" s="9" t="s">
        <v>4944</v>
      </c>
      <c r="H37" s="9" t="s">
        <v>4945</v>
      </c>
    </row>
    <row r="38" ht="63" customHeight="1" spans="1:8">
      <c r="A38" s="9" t="s">
        <v>762</v>
      </c>
      <c r="B38" s="9"/>
      <c r="C38" s="9" t="s">
        <v>4973</v>
      </c>
      <c r="D38" s="9" t="s">
        <v>4942</v>
      </c>
      <c r="E38" s="9" t="s">
        <v>4910</v>
      </c>
      <c r="F38" s="9" t="s">
        <v>4979</v>
      </c>
      <c r="G38" s="9" t="s">
        <v>4944</v>
      </c>
      <c r="H38" s="9" t="s">
        <v>4980</v>
      </c>
    </row>
    <row r="39" ht="63" customHeight="1" spans="1:8">
      <c r="A39" s="9" t="s">
        <v>768</v>
      </c>
      <c r="B39" s="9"/>
      <c r="C39" s="9" t="s">
        <v>4981</v>
      </c>
      <c r="D39" s="9" t="s">
        <v>4909</v>
      </c>
      <c r="E39" s="9" t="s">
        <v>4951</v>
      </c>
      <c r="F39" s="9" t="s">
        <v>4982</v>
      </c>
      <c r="G39" s="9" t="s">
        <v>4983</v>
      </c>
      <c r="H39" s="9" t="s">
        <v>67</v>
      </c>
    </row>
    <row r="40" ht="63" customHeight="1" spans="1:8">
      <c r="A40" s="9" t="s">
        <v>771</v>
      </c>
      <c r="B40" s="9"/>
      <c r="C40" s="9" t="s">
        <v>4981</v>
      </c>
      <c r="D40" s="9" t="s">
        <v>4977</v>
      </c>
      <c r="E40" s="9" t="s">
        <v>4910</v>
      </c>
      <c r="F40" s="9" t="s">
        <v>4984</v>
      </c>
      <c r="G40" s="9" t="s">
        <v>4985</v>
      </c>
      <c r="H40" s="9" t="s">
        <v>4986</v>
      </c>
    </row>
    <row r="41" ht="63" customHeight="1" spans="1:8">
      <c r="A41" s="9" t="s">
        <v>775</v>
      </c>
      <c r="B41" s="9"/>
      <c r="C41" s="9" t="s">
        <v>4908</v>
      </c>
      <c r="D41" s="9" t="s">
        <v>4948</v>
      </c>
      <c r="E41" s="9" t="s">
        <v>4910</v>
      </c>
      <c r="F41" s="9" t="s">
        <v>4987</v>
      </c>
      <c r="G41" s="9" t="s">
        <v>4985</v>
      </c>
      <c r="H41" s="9" t="s">
        <v>1625</v>
      </c>
    </row>
    <row r="42" ht="63" customHeight="1" spans="1:8">
      <c r="A42" s="9" t="s">
        <v>780</v>
      </c>
      <c r="B42" s="9"/>
      <c r="C42" s="9" t="s">
        <v>4981</v>
      </c>
      <c r="D42" s="9" t="s">
        <v>4948</v>
      </c>
      <c r="E42" s="9" t="s">
        <v>4910</v>
      </c>
      <c r="F42" s="9" t="s">
        <v>4988</v>
      </c>
      <c r="G42" s="9" t="s">
        <v>4985</v>
      </c>
      <c r="H42" s="9" t="s">
        <v>4986</v>
      </c>
    </row>
    <row r="43" ht="63" customHeight="1" spans="1:8">
      <c r="A43" s="9" t="s">
        <v>785</v>
      </c>
      <c r="B43" s="9"/>
      <c r="C43" s="9" t="s">
        <v>4981</v>
      </c>
      <c r="D43" s="9" t="s">
        <v>4909</v>
      </c>
      <c r="E43" s="9" t="s">
        <v>4989</v>
      </c>
      <c r="F43" s="9" t="s">
        <v>4990</v>
      </c>
      <c r="G43" s="9" t="s">
        <v>4991</v>
      </c>
      <c r="H43" s="9" t="s">
        <v>4992</v>
      </c>
    </row>
    <row r="44" ht="63" customHeight="1" spans="1:8">
      <c r="A44" s="9" t="s">
        <v>789</v>
      </c>
      <c r="B44" s="9"/>
      <c r="C44" s="9" t="s">
        <v>4908</v>
      </c>
      <c r="D44" s="9" t="s">
        <v>4948</v>
      </c>
      <c r="E44" s="9" t="s">
        <v>4910</v>
      </c>
      <c r="F44" s="9" t="s">
        <v>4993</v>
      </c>
      <c r="G44" s="9" t="s">
        <v>4994</v>
      </c>
      <c r="H44" s="9" t="s">
        <v>4995</v>
      </c>
    </row>
    <row r="45" ht="63" customHeight="1" spans="1:8">
      <c r="A45" s="9" t="s">
        <v>793</v>
      </c>
      <c r="B45" s="9"/>
      <c r="C45" s="9" t="s">
        <v>4981</v>
      </c>
      <c r="D45" s="9" t="s">
        <v>4977</v>
      </c>
      <c r="E45" s="9" t="s">
        <v>4910</v>
      </c>
      <c r="F45" s="9" t="s">
        <v>4996</v>
      </c>
      <c r="G45" s="9" t="s">
        <v>4994</v>
      </c>
      <c r="H45" s="9" t="s">
        <v>913</v>
      </c>
    </row>
    <row r="46" ht="63" customHeight="1" spans="1:8">
      <c r="A46" s="9" t="s">
        <v>796</v>
      </c>
      <c r="B46" s="9"/>
      <c r="C46" s="9" t="s">
        <v>4981</v>
      </c>
      <c r="D46" s="9" t="s">
        <v>4948</v>
      </c>
      <c r="E46" s="9" t="s">
        <v>4910</v>
      </c>
      <c r="F46" s="9" t="s">
        <v>4997</v>
      </c>
      <c r="G46" s="9" t="s">
        <v>4994</v>
      </c>
      <c r="H46" s="9" t="s">
        <v>4998</v>
      </c>
    </row>
    <row r="47" ht="63" customHeight="1" spans="1:8">
      <c r="A47" s="9" t="s">
        <v>651</v>
      </c>
      <c r="B47" s="9"/>
      <c r="C47" s="9" t="s">
        <v>4981</v>
      </c>
      <c r="D47" s="9" t="s">
        <v>4950</v>
      </c>
      <c r="E47" s="9" t="s">
        <v>4910</v>
      </c>
      <c r="F47" s="9" t="s">
        <v>4999</v>
      </c>
      <c r="G47" s="9" t="s">
        <v>5000</v>
      </c>
      <c r="H47" s="9" t="s">
        <v>1563</v>
      </c>
    </row>
    <row r="48" ht="63" customHeight="1" spans="1:8">
      <c r="A48" s="9" t="s">
        <v>800</v>
      </c>
      <c r="B48" s="9"/>
      <c r="C48" s="9" t="s">
        <v>4981</v>
      </c>
      <c r="D48" s="9" t="s">
        <v>4977</v>
      </c>
      <c r="E48" s="9" t="s">
        <v>4910</v>
      </c>
      <c r="F48" s="9" t="s">
        <v>5001</v>
      </c>
      <c r="G48" s="9" t="s">
        <v>5000</v>
      </c>
      <c r="H48" s="9" t="s">
        <v>5002</v>
      </c>
    </row>
    <row r="49" ht="63" customHeight="1" spans="1:20">
      <c r="A49" s="9" t="s">
        <v>803</v>
      </c>
      <c r="B49" s="9"/>
      <c r="C49" s="9" t="s">
        <v>4908</v>
      </c>
      <c r="D49" s="9" t="s">
        <v>5003</v>
      </c>
      <c r="E49" s="9" t="s">
        <v>4910</v>
      </c>
      <c r="F49" s="9" t="s">
        <v>5004</v>
      </c>
      <c r="G49" s="9" t="s">
        <v>5000</v>
      </c>
      <c r="H49" s="9" t="s">
        <v>1563</v>
      </c>
    </row>
    <row r="50" ht="63" customHeight="1" spans="1:20">
      <c r="A50" s="9" t="s">
        <v>641</v>
      </c>
      <c r="B50" s="9"/>
      <c r="C50" s="9" t="s">
        <v>4908</v>
      </c>
      <c r="D50" s="9" t="s">
        <v>5005</v>
      </c>
      <c r="E50" s="9" t="s">
        <v>4910</v>
      </c>
      <c r="F50" s="9" t="s">
        <v>5006</v>
      </c>
      <c r="G50" s="9" t="s">
        <v>5000</v>
      </c>
      <c r="H50" s="9" t="s">
        <v>1563</v>
      </c>
    </row>
    <row r="51" ht="63" customHeight="1" spans="1:20">
      <c r="A51" s="9" t="s">
        <v>809</v>
      </c>
      <c r="B51" s="9"/>
      <c r="C51" s="9" t="s">
        <v>4981</v>
      </c>
      <c r="D51" s="9" t="s">
        <v>4971</v>
      </c>
      <c r="E51" s="9" t="s">
        <v>4910</v>
      </c>
      <c r="F51" s="9" t="s">
        <v>5007</v>
      </c>
      <c r="G51" s="9" t="s">
        <v>5000</v>
      </c>
      <c r="H51" s="9" t="s">
        <v>1563</v>
      </c>
    </row>
    <row r="52" ht="63" customHeight="1" spans="1:20">
      <c r="A52" s="9" t="s">
        <v>652</v>
      </c>
      <c r="B52" s="9"/>
      <c r="C52" s="9" t="s">
        <v>4981</v>
      </c>
      <c r="D52" s="9" t="s">
        <v>5008</v>
      </c>
      <c r="E52" s="9" t="s">
        <v>4910</v>
      </c>
      <c r="F52" s="9" t="s">
        <v>5009</v>
      </c>
      <c r="G52" s="9" t="s">
        <v>5000</v>
      </c>
      <c r="H52" s="9" t="s">
        <v>1563</v>
      </c>
    </row>
    <row r="53" ht="63" customHeight="1" spans="1:20">
      <c r="A53" s="9" t="s">
        <v>644</v>
      </c>
      <c r="B53" s="9"/>
      <c r="C53" s="9" t="s">
        <v>4908</v>
      </c>
      <c r="D53" s="9" t="s">
        <v>4950</v>
      </c>
      <c r="E53" s="9" t="s">
        <v>4910</v>
      </c>
      <c r="F53" s="9" t="s">
        <v>5010</v>
      </c>
      <c r="G53" s="9" t="s">
        <v>5000</v>
      </c>
      <c r="H53" s="9" t="s">
        <v>1563</v>
      </c>
    </row>
    <row r="54" ht="14.5" spans="1:20">
      <c r="A54" s="24" t="str">
        <f>HYPERLINK("https://www.tianyancha.com/company/441970624","打开天眼查，查看更多[商标信息]")</f>
        <v>打开天眼查，查看更多[商标信息]</v>
      </c>
      <c r="B54" s="9"/>
      <c r="C54" s="9"/>
      <c r="D54" s="9"/>
      <c r="E54" s="9"/>
      <c r="F54" s="9"/>
      <c r="G54" s="9"/>
      <c r="H54" s="9"/>
      <c r="I54" s="2"/>
      <c r="J54" s="2"/>
      <c r="K54" s="2"/>
      <c r="L54" s="2"/>
      <c r="M54" s="2"/>
      <c r="N54" s="2"/>
      <c r="O54" s="2"/>
      <c r="P54" s="2"/>
      <c r="Q54" s="2"/>
      <c r="R54" s="2"/>
      <c r="S54" s="2"/>
      <c r="T54" s="2"/>
    </row>
    <row r="55" spans="1:20">
      <c r="A55" s="2"/>
      <c r="B55" s="2"/>
      <c r="C55" s="2"/>
      <c r="D55" s="2"/>
      <c r="E55" s="2"/>
      <c r="F55" s="2"/>
      <c r="G55" s="2"/>
      <c r="H55" s="2"/>
      <c r="I55" s="2"/>
      <c r="J55" s="2"/>
      <c r="K55" s="2"/>
      <c r="L55" s="2"/>
      <c r="M55" s="2"/>
      <c r="N55" s="2"/>
      <c r="O55" s="2"/>
      <c r="P55" s="2"/>
      <c r="Q55" s="2"/>
      <c r="R55" s="2"/>
      <c r="S55" s="2"/>
      <c r="T55" s="2"/>
    </row>
    <row r="56" ht="15.5" spans="1:20">
      <c r="A56" s="3" t="s">
        <v>5011</v>
      </c>
      <c r="B56" s="9" t="s">
        <v>5012</v>
      </c>
      <c r="C56" s="2"/>
      <c r="D56" s="2"/>
      <c r="E56" s="2"/>
      <c r="F56" s="2"/>
      <c r="G56" s="2"/>
      <c r="H56" s="2"/>
      <c r="I56" s="2"/>
      <c r="J56" s="2"/>
      <c r="K56" s="2"/>
      <c r="L56" s="2"/>
      <c r="M56" s="2"/>
      <c r="N56" s="2"/>
      <c r="O56" s="2"/>
      <c r="P56" s="2"/>
      <c r="Q56" s="2"/>
      <c r="R56" s="2"/>
      <c r="S56" s="2"/>
      <c r="T56" s="2"/>
    </row>
    <row r="57" ht="15.5" spans="1:20">
      <c r="A57" s="11" t="s">
        <v>46</v>
      </c>
      <c r="B57" s="11" t="s">
        <v>5013</v>
      </c>
      <c r="C57" s="11" t="s">
        <v>5014</v>
      </c>
      <c r="D57" s="11" t="s">
        <v>1711</v>
      </c>
      <c r="E57" s="11" t="s">
        <v>5015</v>
      </c>
      <c r="F57" s="11" t="s">
        <v>5016</v>
      </c>
      <c r="G57" s="6" t="s">
        <v>1447</v>
      </c>
      <c r="H57" s="2"/>
      <c r="I57" s="2"/>
      <c r="J57" s="2"/>
      <c r="K57" s="2"/>
      <c r="L57" s="2"/>
      <c r="M57" s="2"/>
      <c r="N57" s="2"/>
      <c r="O57" s="2"/>
      <c r="P57" s="2"/>
      <c r="Q57" s="2"/>
      <c r="R57" s="2"/>
      <c r="S57" s="2"/>
      <c r="T57" s="2"/>
    </row>
    <row r="58" spans="1:20">
      <c r="A58" s="9" t="s">
        <v>633</v>
      </c>
      <c r="B58" s="9" t="s">
        <v>5017</v>
      </c>
      <c r="C58" s="9" t="s">
        <v>5018</v>
      </c>
      <c r="D58" s="9" t="s">
        <v>2</v>
      </c>
      <c r="E58" s="9" t="s">
        <v>67</v>
      </c>
      <c r="F58" s="9" t="s">
        <v>5019</v>
      </c>
      <c r="G58" s="9" t="s">
        <v>5020</v>
      </c>
      <c r="H58" s="2"/>
      <c r="I58" s="2"/>
      <c r="J58" s="2"/>
      <c r="K58" s="2"/>
      <c r="L58" s="2"/>
      <c r="M58" s="2"/>
      <c r="N58" s="2"/>
      <c r="O58" s="2"/>
      <c r="P58" s="2"/>
      <c r="Q58" s="2"/>
      <c r="R58" s="2"/>
      <c r="S58" s="2"/>
      <c r="T58" s="2"/>
    </row>
    <row r="59" spans="1:20">
      <c r="A59" s="9" t="s">
        <v>233</v>
      </c>
      <c r="B59" s="9" t="s">
        <v>5021</v>
      </c>
      <c r="C59" s="9" t="s">
        <v>5022</v>
      </c>
      <c r="D59" s="9" t="s">
        <v>2</v>
      </c>
      <c r="E59" s="9" t="s">
        <v>67</v>
      </c>
      <c r="F59" s="9" t="s">
        <v>5019</v>
      </c>
      <c r="G59" s="9" t="s">
        <v>5020</v>
      </c>
    </row>
    <row r="60" spans="1:20">
      <c r="A60" s="9" t="s">
        <v>636</v>
      </c>
      <c r="B60" s="9" t="s">
        <v>5023</v>
      </c>
      <c r="C60" s="9" t="s">
        <v>5024</v>
      </c>
      <c r="D60" s="9" t="s">
        <v>2</v>
      </c>
      <c r="E60" s="9" t="s">
        <v>67</v>
      </c>
      <c r="F60" s="9" t="s">
        <v>5019</v>
      </c>
      <c r="G60" s="9" t="s">
        <v>5025</v>
      </c>
    </row>
    <row r="61" spans="1:20">
      <c r="A61" s="9" t="s">
        <v>638</v>
      </c>
      <c r="B61" s="9" t="s">
        <v>5026</v>
      </c>
      <c r="C61" s="9" t="s">
        <v>5027</v>
      </c>
      <c r="D61" s="9" t="s">
        <v>2</v>
      </c>
      <c r="E61" s="9" t="s">
        <v>67</v>
      </c>
      <c r="F61" s="9" t="s">
        <v>5019</v>
      </c>
      <c r="G61" s="9" t="s">
        <v>5025</v>
      </c>
    </row>
    <row r="62" spans="1:20">
      <c r="A62" s="9" t="s">
        <v>640</v>
      </c>
      <c r="B62" s="9" t="s">
        <v>5028</v>
      </c>
      <c r="C62" s="9" t="s">
        <v>5029</v>
      </c>
      <c r="D62" s="9" t="s">
        <v>2</v>
      </c>
      <c r="E62" s="9" t="s">
        <v>67</v>
      </c>
      <c r="F62" s="9" t="s">
        <v>5019</v>
      </c>
      <c r="G62" s="9" t="s">
        <v>5030</v>
      </c>
    </row>
    <row r="63" spans="1:20">
      <c r="A63" s="9" t="s">
        <v>642</v>
      </c>
      <c r="B63" s="9" t="s">
        <v>5031</v>
      </c>
      <c r="C63" s="9" t="s">
        <v>5032</v>
      </c>
      <c r="D63" s="9" t="s">
        <v>2</v>
      </c>
      <c r="E63" s="9" t="s">
        <v>67</v>
      </c>
      <c r="F63" s="9" t="s">
        <v>5019</v>
      </c>
      <c r="G63" s="9" t="s">
        <v>5033</v>
      </c>
    </row>
    <row r="64" spans="1:20">
      <c r="A64" s="9" t="s">
        <v>643</v>
      </c>
      <c r="B64" s="9" t="s">
        <v>5034</v>
      </c>
      <c r="C64" s="9" t="s">
        <v>5035</v>
      </c>
      <c r="D64" s="9" t="s">
        <v>2</v>
      </c>
      <c r="E64" s="9" t="s">
        <v>5036</v>
      </c>
      <c r="F64" s="9" t="s">
        <v>5019</v>
      </c>
      <c r="G64" s="9" t="s">
        <v>5037</v>
      </c>
    </row>
    <row r="65" spans="1:20">
      <c r="A65" s="9" t="s">
        <v>645</v>
      </c>
      <c r="B65" s="9" t="s">
        <v>5038</v>
      </c>
      <c r="C65" s="9" t="s">
        <v>5039</v>
      </c>
      <c r="D65" s="9" t="s">
        <v>2</v>
      </c>
      <c r="E65" s="9" t="s">
        <v>67</v>
      </c>
      <c r="F65" s="9" t="s">
        <v>5019</v>
      </c>
      <c r="G65" s="9" t="s">
        <v>5040</v>
      </c>
    </row>
    <row r="66" spans="1:20">
      <c r="A66" s="9" t="s">
        <v>208</v>
      </c>
      <c r="B66" s="9" t="s">
        <v>5041</v>
      </c>
      <c r="C66" s="9" t="s">
        <v>5042</v>
      </c>
      <c r="D66" s="9" t="s">
        <v>2</v>
      </c>
      <c r="E66" s="9" t="s">
        <v>5043</v>
      </c>
      <c r="F66" s="9" t="s">
        <v>5019</v>
      </c>
      <c r="G66" s="9" t="s">
        <v>5044</v>
      </c>
    </row>
    <row r="67" spans="1:20">
      <c r="A67" s="9" t="s">
        <v>685</v>
      </c>
      <c r="B67" s="9" t="s">
        <v>5045</v>
      </c>
      <c r="C67" s="9" t="s">
        <v>5046</v>
      </c>
      <c r="D67" s="9" t="s">
        <v>2</v>
      </c>
      <c r="E67" s="9" t="s">
        <v>67</v>
      </c>
      <c r="F67" s="9" t="s">
        <v>5019</v>
      </c>
      <c r="G67" s="9" t="s">
        <v>5047</v>
      </c>
    </row>
    <row r="68" spans="1:20">
      <c r="A68" s="9" t="s">
        <v>690</v>
      </c>
      <c r="B68" s="9" t="s">
        <v>5048</v>
      </c>
      <c r="C68" s="9" t="s">
        <v>5049</v>
      </c>
      <c r="D68" s="9" t="s">
        <v>2</v>
      </c>
      <c r="E68" s="9" t="s">
        <v>67</v>
      </c>
      <c r="F68" s="9" t="s">
        <v>5019</v>
      </c>
      <c r="G68" s="9" t="s">
        <v>5047</v>
      </c>
    </row>
    <row r="69" spans="1:20">
      <c r="A69" s="9" t="s">
        <v>692</v>
      </c>
      <c r="B69" s="9" t="s">
        <v>5050</v>
      </c>
      <c r="C69" s="9" t="s">
        <v>5051</v>
      </c>
      <c r="D69" s="9" t="s">
        <v>2</v>
      </c>
      <c r="E69" s="9" t="s">
        <v>67</v>
      </c>
      <c r="F69" s="9" t="s">
        <v>5019</v>
      </c>
      <c r="G69" s="9" t="s">
        <v>5052</v>
      </c>
    </row>
    <row r="70" spans="1:20">
      <c r="A70" s="9" t="s">
        <v>594</v>
      </c>
      <c r="B70" s="9" t="s">
        <v>5053</v>
      </c>
      <c r="C70" s="9" t="s">
        <v>5054</v>
      </c>
      <c r="D70" s="9" t="s">
        <v>2</v>
      </c>
      <c r="E70" s="9" t="s">
        <v>67</v>
      </c>
      <c r="F70" s="9" t="s">
        <v>5019</v>
      </c>
      <c r="G70" s="9" t="s">
        <v>5055</v>
      </c>
    </row>
    <row r="71" spans="1:20">
      <c r="A71" s="9" t="s">
        <v>698</v>
      </c>
      <c r="B71" s="9" t="s">
        <v>5056</v>
      </c>
      <c r="C71" s="9" t="s">
        <v>5057</v>
      </c>
      <c r="D71" s="9" t="s">
        <v>2</v>
      </c>
      <c r="E71" s="9" t="s">
        <v>5058</v>
      </c>
      <c r="F71" s="9" t="s">
        <v>5019</v>
      </c>
      <c r="G71" s="9" t="s">
        <v>5059</v>
      </c>
    </row>
    <row r="72" spans="1:20">
      <c r="A72" s="9" t="s">
        <v>700</v>
      </c>
      <c r="B72" s="9" t="s">
        <v>5060</v>
      </c>
      <c r="C72" s="9" t="s">
        <v>5061</v>
      </c>
      <c r="D72" s="9" t="s">
        <v>2</v>
      </c>
      <c r="E72" s="9" t="s">
        <v>5058</v>
      </c>
      <c r="F72" s="9" t="s">
        <v>5019</v>
      </c>
      <c r="G72" s="9" t="s">
        <v>5059</v>
      </c>
    </row>
    <row r="73" spans="1:20">
      <c r="A73" s="9" t="s">
        <v>703</v>
      </c>
      <c r="B73" s="9" t="s">
        <v>5062</v>
      </c>
      <c r="C73" s="9" t="s">
        <v>5063</v>
      </c>
      <c r="D73" s="9" t="s">
        <v>2</v>
      </c>
      <c r="E73" s="9" t="s">
        <v>5064</v>
      </c>
      <c r="F73" s="9" t="s">
        <v>5019</v>
      </c>
      <c r="G73" s="9" t="s">
        <v>5059</v>
      </c>
    </row>
    <row r="74" spans="1:20">
      <c r="A74" s="9" t="s">
        <v>249</v>
      </c>
      <c r="B74" s="9" t="s">
        <v>5065</v>
      </c>
      <c r="C74" s="9" t="s">
        <v>5066</v>
      </c>
      <c r="D74" s="9" t="s">
        <v>2</v>
      </c>
      <c r="E74" s="9" t="s">
        <v>5064</v>
      </c>
      <c r="F74" s="9" t="s">
        <v>5019</v>
      </c>
      <c r="G74" s="9" t="s">
        <v>5059</v>
      </c>
    </row>
    <row r="75" spans="1:20">
      <c r="A75" s="9" t="s">
        <v>707</v>
      </c>
      <c r="B75" s="9" t="s">
        <v>5067</v>
      </c>
      <c r="C75" s="9" t="s">
        <v>5068</v>
      </c>
      <c r="D75" s="9" t="s">
        <v>2</v>
      </c>
      <c r="E75" s="9" t="s">
        <v>5043</v>
      </c>
      <c r="F75" s="9" t="s">
        <v>5019</v>
      </c>
      <c r="G75" s="9" t="s">
        <v>5069</v>
      </c>
    </row>
    <row r="76" spans="1:20">
      <c r="A76" s="9" t="s">
        <v>110</v>
      </c>
      <c r="B76" s="9"/>
      <c r="C76" s="9"/>
      <c r="D76" s="9"/>
      <c r="E76" s="9"/>
      <c r="F76" s="9"/>
      <c r="G76" s="9"/>
      <c r="H76" s="2"/>
      <c r="I76" s="2"/>
      <c r="J76" s="2"/>
      <c r="K76" s="2"/>
      <c r="L76" s="2"/>
      <c r="M76" s="2"/>
      <c r="N76" s="2"/>
      <c r="O76" s="2"/>
      <c r="P76" s="2"/>
      <c r="Q76" s="2"/>
      <c r="R76" s="2"/>
      <c r="S76" s="2"/>
      <c r="T76" s="2"/>
    </row>
    <row r="77" spans="1:20">
      <c r="A77" s="2"/>
      <c r="B77" s="2"/>
      <c r="C77" s="2"/>
      <c r="D77" s="2"/>
      <c r="E77" s="2"/>
      <c r="F77" s="2"/>
      <c r="G77" s="2"/>
      <c r="H77" s="2"/>
      <c r="I77" s="2"/>
      <c r="J77" s="2"/>
      <c r="K77" s="2"/>
      <c r="L77" s="2"/>
      <c r="M77" s="2"/>
      <c r="N77" s="2"/>
      <c r="O77" s="2"/>
      <c r="P77" s="2"/>
      <c r="Q77" s="2"/>
      <c r="R77" s="2"/>
      <c r="S77" s="2"/>
      <c r="T77" s="2"/>
    </row>
    <row r="78" ht="15.5" spans="1:20">
      <c r="A78" s="3" t="s">
        <v>5070</v>
      </c>
      <c r="B78" s="9" t="s">
        <v>5071</v>
      </c>
      <c r="C78" s="2"/>
      <c r="D78" s="2"/>
      <c r="E78" s="2"/>
      <c r="F78" s="2"/>
      <c r="G78" s="2"/>
      <c r="H78" s="2"/>
      <c r="I78" s="2"/>
      <c r="J78" s="2"/>
      <c r="K78" s="2"/>
      <c r="L78" s="2"/>
      <c r="M78" s="2"/>
      <c r="N78" s="2"/>
      <c r="O78" s="2"/>
      <c r="P78" s="2"/>
      <c r="Q78" s="2"/>
      <c r="R78" s="2"/>
      <c r="S78" s="2"/>
      <c r="T78" s="2"/>
    </row>
    <row r="79" ht="15.5" spans="1:20">
      <c r="A79" s="11" t="s">
        <v>46</v>
      </c>
      <c r="B79" s="11" t="s">
        <v>5072</v>
      </c>
      <c r="C79" s="11" t="s">
        <v>5073</v>
      </c>
      <c r="D79" s="11" t="s">
        <v>5074</v>
      </c>
      <c r="E79" s="11" t="s">
        <v>5075</v>
      </c>
      <c r="F79" s="6" t="s">
        <v>4906</v>
      </c>
      <c r="G79" s="11" t="s">
        <v>5076</v>
      </c>
      <c r="H79" s="6" t="s">
        <v>5077</v>
      </c>
      <c r="I79" s="11" t="s">
        <v>5078</v>
      </c>
      <c r="J79" s="2"/>
      <c r="K79" s="2"/>
      <c r="L79" s="2"/>
      <c r="M79" s="2"/>
      <c r="N79" s="2"/>
      <c r="O79" s="2"/>
      <c r="P79" s="2"/>
      <c r="Q79" s="2"/>
      <c r="R79" s="2"/>
      <c r="S79" s="2"/>
      <c r="T79" s="2"/>
    </row>
    <row r="80" spans="1:20">
      <c r="A80" s="9" t="s">
        <v>633</v>
      </c>
      <c r="B80" s="9" t="s">
        <v>5079</v>
      </c>
      <c r="C80" s="9" t="s">
        <v>5080</v>
      </c>
      <c r="D80" s="9" t="s">
        <v>5081</v>
      </c>
      <c r="E80" s="9" t="s">
        <v>5082</v>
      </c>
      <c r="F80" s="9" t="s">
        <v>5083</v>
      </c>
      <c r="G80" s="9" t="s">
        <v>5084</v>
      </c>
      <c r="H80" s="9" t="s">
        <v>2035</v>
      </c>
      <c r="I80" s="9" t="s">
        <v>5085</v>
      </c>
      <c r="J80" s="2"/>
      <c r="K80" s="2"/>
      <c r="L80" s="2"/>
      <c r="M80" s="2"/>
      <c r="N80" s="2"/>
      <c r="O80" s="2"/>
      <c r="P80" s="2"/>
      <c r="Q80" s="2"/>
      <c r="R80" s="2"/>
      <c r="S80" s="2"/>
      <c r="T80" s="2"/>
    </row>
    <row r="81" spans="1:9">
      <c r="A81" s="9" t="s">
        <v>233</v>
      </c>
      <c r="B81" s="9" t="s">
        <v>5086</v>
      </c>
      <c r="C81" s="9" t="s">
        <v>5080</v>
      </c>
      <c r="D81" s="9" t="s">
        <v>5081</v>
      </c>
      <c r="E81" s="9" t="s">
        <v>5087</v>
      </c>
      <c r="F81" s="9" t="s">
        <v>5083</v>
      </c>
      <c r="G81" s="9" t="s">
        <v>5088</v>
      </c>
      <c r="H81" s="9" t="s">
        <v>5089</v>
      </c>
      <c r="I81" s="9" t="s">
        <v>5090</v>
      </c>
    </row>
    <row r="82" spans="1:9">
      <c r="A82" s="9" t="s">
        <v>636</v>
      </c>
      <c r="B82" s="9" t="s">
        <v>5091</v>
      </c>
      <c r="C82" s="9" t="s">
        <v>5080</v>
      </c>
      <c r="D82" s="9" t="s">
        <v>5092</v>
      </c>
      <c r="E82" s="9" t="s">
        <v>5093</v>
      </c>
      <c r="F82" s="9" t="s">
        <v>1581</v>
      </c>
      <c r="G82" s="9" t="s">
        <v>5094</v>
      </c>
      <c r="H82" s="9" t="s">
        <v>2075</v>
      </c>
      <c r="I82" s="9" t="s">
        <v>5095</v>
      </c>
    </row>
    <row r="83" spans="1:9">
      <c r="A83" s="9" t="s">
        <v>638</v>
      </c>
      <c r="B83" s="9" t="s">
        <v>5096</v>
      </c>
      <c r="C83" s="9" t="s">
        <v>5080</v>
      </c>
      <c r="D83" s="9" t="s">
        <v>5081</v>
      </c>
      <c r="E83" s="9" t="s">
        <v>5097</v>
      </c>
      <c r="F83" s="9" t="s">
        <v>5098</v>
      </c>
      <c r="G83" s="9" t="s">
        <v>5099</v>
      </c>
      <c r="H83" s="9" t="s">
        <v>5100</v>
      </c>
      <c r="I83" s="9" t="s">
        <v>5101</v>
      </c>
    </row>
    <row r="84" spans="1:9">
      <c r="A84" s="9" t="s">
        <v>640</v>
      </c>
      <c r="B84" s="9" t="s">
        <v>5102</v>
      </c>
      <c r="C84" s="9" t="s">
        <v>5080</v>
      </c>
      <c r="D84" s="9" t="s">
        <v>5092</v>
      </c>
      <c r="E84" s="9" t="s">
        <v>5103</v>
      </c>
      <c r="F84" s="9" t="s">
        <v>5104</v>
      </c>
      <c r="G84" s="9" t="s">
        <v>5105</v>
      </c>
      <c r="H84" s="9" t="s">
        <v>5106</v>
      </c>
      <c r="I84" s="9" t="s">
        <v>5107</v>
      </c>
    </row>
    <row r="85" spans="1:9">
      <c r="A85" s="9" t="s">
        <v>642</v>
      </c>
      <c r="B85" s="9" t="s">
        <v>5108</v>
      </c>
      <c r="C85" s="9" t="s">
        <v>5080</v>
      </c>
      <c r="D85" s="9" t="s">
        <v>5092</v>
      </c>
      <c r="E85" s="9" t="s">
        <v>5109</v>
      </c>
      <c r="F85" s="9" t="s">
        <v>5110</v>
      </c>
      <c r="G85" s="9" t="s">
        <v>5111</v>
      </c>
      <c r="H85" s="9" t="s">
        <v>5083</v>
      </c>
      <c r="I85" s="9" t="s">
        <v>5112</v>
      </c>
    </row>
    <row r="86" spans="1:9">
      <c r="A86" s="9" t="s">
        <v>643</v>
      </c>
      <c r="B86" s="9" t="s">
        <v>5113</v>
      </c>
      <c r="C86" s="9" t="s">
        <v>5080</v>
      </c>
      <c r="D86" s="9" t="s">
        <v>5092</v>
      </c>
      <c r="E86" s="9" t="s">
        <v>5114</v>
      </c>
      <c r="F86" s="9" t="s">
        <v>5110</v>
      </c>
      <c r="G86" s="9" t="s">
        <v>5115</v>
      </c>
      <c r="H86" s="9" t="s">
        <v>5098</v>
      </c>
      <c r="I86" s="9" t="s">
        <v>5116</v>
      </c>
    </row>
    <row r="87" spans="1:9">
      <c r="A87" s="9" t="s">
        <v>645</v>
      </c>
      <c r="B87" s="9" t="s">
        <v>5117</v>
      </c>
      <c r="C87" s="9" t="s">
        <v>5080</v>
      </c>
      <c r="D87" s="9" t="s">
        <v>5092</v>
      </c>
      <c r="E87" s="9" t="s">
        <v>5118</v>
      </c>
      <c r="F87" s="9" t="s">
        <v>5119</v>
      </c>
      <c r="G87" s="9" t="s">
        <v>5120</v>
      </c>
      <c r="H87" s="9" t="s">
        <v>5121</v>
      </c>
      <c r="I87" s="9" t="s">
        <v>5122</v>
      </c>
    </row>
    <row r="88" spans="1:9">
      <c r="A88" s="9" t="s">
        <v>208</v>
      </c>
      <c r="B88" s="9" t="s">
        <v>5123</v>
      </c>
      <c r="C88" s="9" t="s">
        <v>5080</v>
      </c>
      <c r="D88" s="9" t="s">
        <v>5092</v>
      </c>
      <c r="E88" s="9" t="s">
        <v>5124</v>
      </c>
      <c r="F88" s="9" t="s">
        <v>2242</v>
      </c>
      <c r="G88" s="9" t="s">
        <v>5125</v>
      </c>
      <c r="H88" s="9" t="s">
        <v>5121</v>
      </c>
      <c r="I88" s="9" t="s">
        <v>5126</v>
      </c>
    </row>
    <row r="89" spans="1:9">
      <c r="A89" s="9" t="s">
        <v>685</v>
      </c>
      <c r="B89" s="9" t="s">
        <v>5127</v>
      </c>
      <c r="C89" s="9" t="s">
        <v>5080</v>
      </c>
      <c r="D89" s="9" t="s">
        <v>5092</v>
      </c>
      <c r="E89" s="9" t="s">
        <v>5128</v>
      </c>
      <c r="F89" s="9" t="s">
        <v>5129</v>
      </c>
      <c r="G89" s="9" t="s">
        <v>5130</v>
      </c>
      <c r="H89" s="9" t="s">
        <v>5131</v>
      </c>
      <c r="I89" s="9" t="s">
        <v>5132</v>
      </c>
    </row>
    <row r="90" spans="1:9">
      <c r="A90" s="9" t="s">
        <v>690</v>
      </c>
      <c r="B90" s="9" t="s">
        <v>5133</v>
      </c>
      <c r="C90" s="9" t="s">
        <v>5080</v>
      </c>
      <c r="D90" s="9" t="s">
        <v>5092</v>
      </c>
      <c r="E90" s="9" t="s">
        <v>5134</v>
      </c>
      <c r="F90" s="9" t="s">
        <v>5129</v>
      </c>
      <c r="G90" s="9" t="s">
        <v>5135</v>
      </c>
      <c r="H90" s="9" t="s">
        <v>1924</v>
      </c>
      <c r="I90" s="9" t="s">
        <v>5136</v>
      </c>
    </row>
    <row r="91" spans="1:9">
      <c r="A91" s="9" t="s">
        <v>692</v>
      </c>
      <c r="B91" s="9" t="s">
        <v>5137</v>
      </c>
      <c r="C91" s="9" t="s">
        <v>5080</v>
      </c>
      <c r="D91" s="9" t="s">
        <v>5081</v>
      </c>
      <c r="E91" s="9" t="s">
        <v>5138</v>
      </c>
      <c r="F91" s="9" t="s">
        <v>2250</v>
      </c>
      <c r="G91" s="9" t="s">
        <v>5139</v>
      </c>
      <c r="H91" s="9" t="s">
        <v>1088</v>
      </c>
      <c r="I91" s="9" t="s">
        <v>5140</v>
      </c>
    </row>
    <row r="92" spans="1:9">
      <c r="A92" s="9" t="s">
        <v>594</v>
      </c>
      <c r="B92" s="9" t="s">
        <v>5141</v>
      </c>
      <c r="C92" s="9" t="s">
        <v>5080</v>
      </c>
      <c r="D92" s="9" t="s">
        <v>5081</v>
      </c>
      <c r="E92" s="9" t="s">
        <v>5142</v>
      </c>
      <c r="F92" s="9" t="s">
        <v>2250</v>
      </c>
      <c r="G92" s="9" t="s">
        <v>5143</v>
      </c>
      <c r="H92" s="9" t="s">
        <v>5144</v>
      </c>
      <c r="I92" s="9" t="s">
        <v>5145</v>
      </c>
    </row>
    <row r="93" spans="1:9">
      <c r="A93" s="9" t="s">
        <v>698</v>
      </c>
      <c r="B93" s="9" t="s">
        <v>5146</v>
      </c>
      <c r="C93" s="9" t="s">
        <v>5080</v>
      </c>
      <c r="D93" s="9" t="s">
        <v>5081</v>
      </c>
      <c r="E93" s="9" t="s">
        <v>5147</v>
      </c>
      <c r="F93" s="9" t="s">
        <v>2250</v>
      </c>
      <c r="G93" s="9" t="s">
        <v>5148</v>
      </c>
      <c r="H93" s="9" t="s">
        <v>5144</v>
      </c>
      <c r="I93" s="9" t="s">
        <v>5149</v>
      </c>
    </row>
    <row r="94" spans="1:9">
      <c r="A94" s="9" t="s">
        <v>700</v>
      </c>
      <c r="B94" s="9" t="s">
        <v>5150</v>
      </c>
      <c r="C94" s="9" t="s">
        <v>5080</v>
      </c>
      <c r="D94" s="9" t="s">
        <v>5092</v>
      </c>
      <c r="E94" s="9" t="s">
        <v>5151</v>
      </c>
      <c r="F94" s="9" t="s">
        <v>5152</v>
      </c>
      <c r="G94" s="9" t="s">
        <v>5153</v>
      </c>
      <c r="H94" s="9" t="s">
        <v>1090</v>
      </c>
      <c r="I94" s="9" t="s">
        <v>5154</v>
      </c>
    </row>
    <row r="95" spans="1:9">
      <c r="A95" s="9" t="s">
        <v>703</v>
      </c>
      <c r="B95" s="9" t="s">
        <v>5155</v>
      </c>
      <c r="C95" s="9" t="s">
        <v>5080</v>
      </c>
      <c r="D95" s="9" t="s">
        <v>5092</v>
      </c>
      <c r="E95" s="9" t="s">
        <v>5156</v>
      </c>
      <c r="F95" s="9" t="s">
        <v>5157</v>
      </c>
      <c r="G95" s="9" t="s">
        <v>5158</v>
      </c>
      <c r="H95" s="9" t="s">
        <v>5159</v>
      </c>
      <c r="I95" s="9" t="s">
        <v>5160</v>
      </c>
    </row>
    <row r="96" spans="1:9">
      <c r="A96" s="9" t="s">
        <v>249</v>
      </c>
      <c r="B96" s="9" t="s">
        <v>5161</v>
      </c>
      <c r="C96" s="9" t="s">
        <v>5080</v>
      </c>
      <c r="D96" s="9" t="s">
        <v>5092</v>
      </c>
      <c r="E96" s="9" t="s">
        <v>5162</v>
      </c>
      <c r="F96" s="9" t="s">
        <v>5163</v>
      </c>
      <c r="G96" s="9" t="s">
        <v>5164</v>
      </c>
      <c r="H96" s="9" t="s">
        <v>2266</v>
      </c>
      <c r="I96" s="9" t="s">
        <v>5165</v>
      </c>
    </row>
    <row r="97" spans="1:9">
      <c r="A97" s="9" t="s">
        <v>707</v>
      </c>
      <c r="B97" s="9" t="s">
        <v>5166</v>
      </c>
      <c r="C97" s="9" t="s">
        <v>5080</v>
      </c>
      <c r="D97" s="9" t="s">
        <v>5092</v>
      </c>
      <c r="E97" s="9" t="s">
        <v>5167</v>
      </c>
      <c r="F97" s="9" t="s">
        <v>5168</v>
      </c>
      <c r="G97" s="9" t="s">
        <v>5169</v>
      </c>
      <c r="H97" s="9" t="s">
        <v>5170</v>
      </c>
      <c r="I97" s="9" t="s">
        <v>5171</v>
      </c>
    </row>
    <row r="98" spans="1:9">
      <c r="A98" s="9" t="s">
        <v>712</v>
      </c>
      <c r="B98" s="9" t="s">
        <v>5172</v>
      </c>
      <c r="C98" s="9" t="s">
        <v>5080</v>
      </c>
      <c r="D98" s="9" t="s">
        <v>5092</v>
      </c>
      <c r="E98" s="9" t="s">
        <v>5173</v>
      </c>
      <c r="F98" s="9" t="s">
        <v>5168</v>
      </c>
      <c r="G98" s="9" t="s">
        <v>5174</v>
      </c>
      <c r="H98" s="9" t="s">
        <v>5159</v>
      </c>
      <c r="I98" s="9" t="s">
        <v>5175</v>
      </c>
    </row>
    <row r="99" spans="1:9">
      <c r="A99" s="9" t="s">
        <v>716</v>
      </c>
      <c r="B99" s="9" t="s">
        <v>5176</v>
      </c>
      <c r="C99" s="9" t="s">
        <v>5080</v>
      </c>
      <c r="D99" s="9" t="s">
        <v>5092</v>
      </c>
      <c r="E99" s="9" t="s">
        <v>5177</v>
      </c>
      <c r="F99" s="9" t="s">
        <v>5168</v>
      </c>
      <c r="G99" s="9" t="s">
        <v>5178</v>
      </c>
      <c r="H99" s="9" t="s">
        <v>5159</v>
      </c>
      <c r="I99" s="9" t="s">
        <v>5179</v>
      </c>
    </row>
    <row r="100" spans="1:9">
      <c r="A100" s="9" t="s">
        <v>720</v>
      </c>
      <c r="B100" s="9" t="s">
        <v>5180</v>
      </c>
      <c r="C100" s="9" t="s">
        <v>5080</v>
      </c>
      <c r="D100" s="9" t="s">
        <v>5092</v>
      </c>
      <c r="E100" s="9" t="s">
        <v>5181</v>
      </c>
      <c r="F100" s="9" t="s">
        <v>1759</v>
      </c>
      <c r="G100" s="9" t="s">
        <v>5182</v>
      </c>
      <c r="H100" s="9" t="s">
        <v>2250</v>
      </c>
      <c r="I100" s="9" t="s">
        <v>5183</v>
      </c>
    </row>
    <row r="101" spans="1:9">
      <c r="A101" s="9" t="s">
        <v>722</v>
      </c>
      <c r="B101" s="9" t="s">
        <v>5184</v>
      </c>
      <c r="C101" s="9" t="s">
        <v>5185</v>
      </c>
      <c r="D101" s="9" t="s">
        <v>5186</v>
      </c>
      <c r="E101" s="9" t="s">
        <v>5187</v>
      </c>
      <c r="F101" s="9" t="s">
        <v>5188</v>
      </c>
      <c r="G101" s="9" t="s">
        <v>5189</v>
      </c>
      <c r="H101" s="9" t="s">
        <v>5190</v>
      </c>
      <c r="I101" s="9" t="s">
        <v>5191</v>
      </c>
    </row>
    <row r="102" spans="1:9">
      <c r="A102" s="9" t="s">
        <v>725</v>
      </c>
      <c r="B102" s="9" t="s">
        <v>5192</v>
      </c>
      <c r="C102" s="9" t="s">
        <v>5080</v>
      </c>
      <c r="D102" s="9" t="s">
        <v>5092</v>
      </c>
      <c r="E102" s="9" t="s">
        <v>5193</v>
      </c>
      <c r="F102" s="9" t="s">
        <v>1769</v>
      </c>
      <c r="G102" s="9" t="s">
        <v>5194</v>
      </c>
      <c r="H102" s="9" t="s">
        <v>2269</v>
      </c>
      <c r="I102" s="9" t="s">
        <v>5195</v>
      </c>
    </row>
    <row r="103" spans="1:9">
      <c r="A103" s="9" t="s">
        <v>729</v>
      </c>
      <c r="B103" s="9" t="s">
        <v>5196</v>
      </c>
      <c r="C103" s="9" t="s">
        <v>5185</v>
      </c>
      <c r="D103" s="9" t="s">
        <v>5186</v>
      </c>
      <c r="E103" s="9" t="s">
        <v>5197</v>
      </c>
      <c r="F103" s="9" t="s">
        <v>2297</v>
      </c>
      <c r="G103" s="9" t="s">
        <v>5198</v>
      </c>
      <c r="H103" s="9" t="s">
        <v>2075</v>
      </c>
      <c r="I103" s="9" t="s">
        <v>5199</v>
      </c>
    </row>
    <row r="104" spans="1:9">
      <c r="A104" s="9" t="s">
        <v>731</v>
      </c>
      <c r="B104" s="9" t="s">
        <v>5200</v>
      </c>
      <c r="C104" s="9" t="s">
        <v>5080</v>
      </c>
      <c r="D104" s="9" t="s">
        <v>5092</v>
      </c>
      <c r="E104" s="9" t="s">
        <v>5201</v>
      </c>
      <c r="F104" s="9" t="s">
        <v>2300</v>
      </c>
      <c r="G104" s="9" t="s">
        <v>5202</v>
      </c>
      <c r="H104" s="9" t="s">
        <v>5203</v>
      </c>
      <c r="I104" s="9" t="s">
        <v>5204</v>
      </c>
    </row>
    <row r="105" spans="1:9">
      <c r="A105" s="9" t="s">
        <v>734</v>
      </c>
      <c r="B105" s="9" t="s">
        <v>5205</v>
      </c>
      <c r="C105" s="9" t="s">
        <v>5080</v>
      </c>
      <c r="D105" s="9" t="s">
        <v>5092</v>
      </c>
      <c r="E105" s="9" t="s">
        <v>5206</v>
      </c>
      <c r="F105" s="9" t="s">
        <v>5207</v>
      </c>
      <c r="G105" s="9" t="s">
        <v>5208</v>
      </c>
      <c r="H105" s="9" t="s">
        <v>1114</v>
      </c>
      <c r="I105" s="9" t="s">
        <v>5209</v>
      </c>
    </row>
    <row r="106" spans="1:9">
      <c r="A106" s="9" t="s">
        <v>736</v>
      </c>
      <c r="B106" s="9" t="s">
        <v>5210</v>
      </c>
      <c r="C106" s="9" t="s">
        <v>5185</v>
      </c>
      <c r="D106" s="9" t="s">
        <v>5186</v>
      </c>
      <c r="E106" s="9" t="s">
        <v>5211</v>
      </c>
      <c r="F106" s="9" t="s">
        <v>1189</v>
      </c>
      <c r="G106" s="9" t="s">
        <v>5212</v>
      </c>
      <c r="H106" s="9" t="s">
        <v>5213</v>
      </c>
      <c r="I106" s="9" t="s">
        <v>5214</v>
      </c>
    </row>
    <row r="107" spans="1:9">
      <c r="A107" s="9" t="s">
        <v>738</v>
      </c>
      <c r="B107" s="9" t="s">
        <v>5215</v>
      </c>
      <c r="C107" s="9" t="s">
        <v>5185</v>
      </c>
      <c r="D107" s="9" t="s">
        <v>5186</v>
      </c>
      <c r="E107" s="9" t="s">
        <v>5216</v>
      </c>
      <c r="F107" s="9" t="s">
        <v>5217</v>
      </c>
      <c r="G107" s="9" t="s">
        <v>5218</v>
      </c>
      <c r="H107" s="9" t="s">
        <v>5219</v>
      </c>
      <c r="I107" s="9" t="s">
        <v>5220</v>
      </c>
    </row>
    <row r="108" spans="1:9">
      <c r="A108" s="9" t="s">
        <v>742</v>
      </c>
      <c r="B108" s="9" t="s">
        <v>5221</v>
      </c>
      <c r="C108" s="9" t="s">
        <v>5185</v>
      </c>
      <c r="D108" s="9" t="s">
        <v>5186</v>
      </c>
      <c r="E108" s="9" t="s">
        <v>5222</v>
      </c>
      <c r="F108" s="9" t="s">
        <v>5223</v>
      </c>
      <c r="G108" s="9" t="s">
        <v>5224</v>
      </c>
      <c r="H108" s="9" t="s">
        <v>5225</v>
      </c>
      <c r="I108" s="9" t="s">
        <v>5226</v>
      </c>
    </row>
    <row r="109" spans="1:9">
      <c r="A109" s="9" t="s">
        <v>745</v>
      </c>
      <c r="B109" s="9" t="s">
        <v>5227</v>
      </c>
      <c r="C109" s="9" t="s">
        <v>5185</v>
      </c>
      <c r="D109" s="9" t="s">
        <v>5186</v>
      </c>
      <c r="E109" s="9" t="s">
        <v>5228</v>
      </c>
      <c r="F109" s="9" t="s">
        <v>5229</v>
      </c>
      <c r="G109" s="9" t="s">
        <v>5230</v>
      </c>
      <c r="H109" s="9" t="s">
        <v>1842</v>
      </c>
      <c r="I109" s="9" t="s">
        <v>5231</v>
      </c>
    </row>
    <row r="110" spans="1:9">
      <c r="A110" s="9" t="s">
        <v>748</v>
      </c>
      <c r="B110" s="9" t="s">
        <v>5232</v>
      </c>
      <c r="C110" s="9" t="s">
        <v>5185</v>
      </c>
      <c r="D110" s="9" t="s">
        <v>5186</v>
      </c>
      <c r="E110" s="9" t="s">
        <v>5233</v>
      </c>
      <c r="F110" s="9" t="s">
        <v>5229</v>
      </c>
      <c r="G110" s="9" t="s">
        <v>5234</v>
      </c>
      <c r="H110" s="9" t="s">
        <v>1842</v>
      </c>
      <c r="I110" s="9" t="s">
        <v>5235</v>
      </c>
    </row>
    <row r="111" spans="1:9">
      <c r="A111" s="9" t="s">
        <v>750</v>
      </c>
      <c r="B111" s="9" t="s">
        <v>5236</v>
      </c>
      <c r="C111" s="9" t="s">
        <v>5185</v>
      </c>
      <c r="D111" s="9" t="s">
        <v>5186</v>
      </c>
      <c r="E111" s="9" t="s">
        <v>5237</v>
      </c>
      <c r="F111" s="9" t="s">
        <v>5238</v>
      </c>
      <c r="G111" s="9" t="s">
        <v>5239</v>
      </c>
      <c r="H111" s="9" t="s">
        <v>5144</v>
      </c>
      <c r="I111" s="9" t="s">
        <v>5240</v>
      </c>
    </row>
    <row r="112" spans="1:9">
      <c r="A112" s="9" t="s">
        <v>755</v>
      </c>
      <c r="B112" s="9" t="s">
        <v>5241</v>
      </c>
      <c r="C112" s="9" t="s">
        <v>5080</v>
      </c>
      <c r="D112" s="9" t="s">
        <v>5092</v>
      </c>
      <c r="E112" s="9" t="s">
        <v>5242</v>
      </c>
      <c r="F112" s="9" t="s">
        <v>5243</v>
      </c>
      <c r="G112" s="9" t="s">
        <v>5244</v>
      </c>
      <c r="H112" s="9" t="s">
        <v>5245</v>
      </c>
      <c r="I112" s="9" t="s">
        <v>5246</v>
      </c>
    </row>
    <row r="113" spans="1:9">
      <c r="A113" s="9" t="s">
        <v>646</v>
      </c>
      <c r="B113" s="9" t="s">
        <v>5247</v>
      </c>
      <c r="C113" s="9" t="s">
        <v>5185</v>
      </c>
      <c r="D113" s="9" t="s">
        <v>5186</v>
      </c>
      <c r="E113" s="9" t="s">
        <v>5248</v>
      </c>
      <c r="F113" s="9" t="s">
        <v>1194</v>
      </c>
      <c r="G113" s="9" t="s">
        <v>5249</v>
      </c>
      <c r="H113" s="9" t="s">
        <v>5213</v>
      </c>
      <c r="I113" s="9" t="s">
        <v>5250</v>
      </c>
    </row>
    <row r="114" spans="1:9">
      <c r="A114" s="9" t="s">
        <v>762</v>
      </c>
      <c r="B114" s="9" t="s">
        <v>5251</v>
      </c>
      <c r="C114" s="9" t="s">
        <v>5080</v>
      </c>
      <c r="D114" s="9" t="s">
        <v>5092</v>
      </c>
      <c r="E114" s="9" t="s">
        <v>5252</v>
      </c>
      <c r="F114" s="9" t="s">
        <v>5253</v>
      </c>
      <c r="G114" s="9" t="s">
        <v>5254</v>
      </c>
      <c r="H114" s="9" t="s">
        <v>1980</v>
      </c>
      <c r="I114" s="9" t="s">
        <v>5255</v>
      </c>
    </row>
    <row r="115" spans="1:9">
      <c r="A115" s="9" t="s">
        <v>768</v>
      </c>
      <c r="B115" s="9" t="s">
        <v>5256</v>
      </c>
      <c r="C115" s="9" t="s">
        <v>5080</v>
      </c>
      <c r="D115" s="9" t="s">
        <v>5092</v>
      </c>
      <c r="E115" s="9" t="s">
        <v>5257</v>
      </c>
      <c r="F115" s="9" t="s">
        <v>5258</v>
      </c>
      <c r="G115" s="9" t="s">
        <v>5259</v>
      </c>
      <c r="H115" s="9" t="s">
        <v>1980</v>
      </c>
      <c r="I115" s="9" t="s">
        <v>5260</v>
      </c>
    </row>
    <row r="116" spans="1:9">
      <c r="A116" s="9" t="s">
        <v>771</v>
      </c>
      <c r="B116" s="9" t="s">
        <v>5261</v>
      </c>
      <c r="C116" s="9" t="s">
        <v>5185</v>
      </c>
      <c r="D116" s="9" t="s">
        <v>5186</v>
      </c>
      <c r="E116" s="9" t="s">
        <v>5262</v>
      </c>
      <c r="F116" s="9" t="s">
        <v>5263</v>
      </c>
      <c r="G116" s="9" t="s">
        <v>5264</v>
      </c>
      <c r="H116" s="9" t="s">
        <v>5265</v>
      </c>
      <c r="I116" s="9" t="s">
        <v>5266</v>
      </c>
    </row>
    <row r="117" spans="1:9">
      <c r="A117" s="9" t="s">
        <v>775</v>
      </c>
      <c r="B117" s="9" t="s">
        <v>5267</v>
      </c>
      <c r="C117" s="9" t="s">
        <v>5080</v>
      </c>
      <c r="D117" s="9" t="s">
        <v>5092</v>
      </c>
      <c r="E117" s="9" t="s">
        <v>5268</v>
      </c>
      <c r="F117" s="9" t="s">
        <v>5263</v>
      </c>
      <c r="G117" s="9" t="s">
        <v>5269</v>
      </c>
      <c r="H117" s="9" t="s">
        <v>5270</v>
      </c>
      <c r="I117" s="9" t="s">
        <v>5271</v>
      </c>
    </row>
    <row r="118" spans="1:9">
      <c r="A118" s="9" t="s">
        <v>780</v>
      </c>
      <c r="B118" s="9" t="s">
        <v>5272</v>
      </c>
      <c r="C118" s="9" t="s">
        <v>5080</v>
      </c>
      <c r="D118" s="9" t="s">
        <v>5092</v>
      </c>
      <c r="E118" s="9" t="s">
        <v>5273</v>
      </c>
      <c r="F118" s="9" t="s">
        <v>5274</v>
      </c>
      <c r="G118" s="9" t="s">
        <v>5275</v>
      </c>
      <c r="H118" s="9" t="s">
        <v>5276</v>
      </c>
      <c r="I118" s="9" t="s">
        <v>5277</v>
      </c>
    </row>
    <row r="119" spans="1:9">
      <c r="A119" s="9" t="s">
        <v>785</v>
      </c>
      <c r="B119" s="9" t="s">
        <v>5278</v>
      </c>
      <c r="C119" s="9" t="s">
        <v>5080</v>
      </c>
      <c r="D119" s="9" t="s">
        <v>5092</v>
      </c>
      <c r="E119" s="9" t="s">
        <v>5279</v>
      </c>
      <c r="F119" s="9" t="s">
        <v>5274</v>
      </c>
      <c r="G119" s="9" t="s">
        <v>5280</v>
      </c>
      <c r="H119" s="9" t="s">
        <v>5281</v>
      </c>
      <c r="I119" s="9" t="s">
        <v>5282</v>
      </c>
    </row>
    <row r="120" spans="1:9">
      <c r="A120" s="9" t="s">
        <v>789</v>
      </c>
      <c r="B120" s="9" t="s">
        <v>5283</v>
      </c>
      <c r="C120" s="9" t="s">
        <v>5284</v>
      </c>
      <c r="D120" s="9" t="s">
        <v>5186</v>
      </c>
      <c r="E120" s="9" t="s">
        <v>5285</v>
      </c>
      <c r="F120" s="9" t="s">
        <v>5286</v>
      </c>
      <c r="G120" s="9" t="s">
        <v>5287</v>
      </c>
      <c r="H120" s="9" t="s">
        <v>5288</v>
      </c>
      <c r="I120" s="9" t="s">
        <v>5289</v>
      </c>
    </row>
    <row r="121" spans="1:9">
      <c r="A121" s="9" t="s">
        <v>793</v>
      </c>
      <c r="B121" s="9" t="s">
        <v>5290</v>
      </c>
      <c r="C121" s="9" t="s">
        <v>5185</v>
      </c>
      <c r="D121" s="9" t="s">
        <v>5186</v>
      </c>
      <c r="E121" s="9" t="s">
        <v>5291</v>
      </c>
      <c r="F121" s="9" t="s">
        <v>5292</v>
      </c>
      <c r="G121" s="9" t="s">
        <v>5293</v>
      </c>
      <c r="H121" s="9" t="s">
        <v>5170</v>
      </c>
      <c r="I121" s="9" t="s">
        <v>5294</v>
      </c>
    </row>
    <row r="122" spans="1:9">
      <c r="A122" s="9" t="s">
        <v>796</v>
      </c>
      <c r="B122" s="9" t="s">
        <v>5295</v>
      </c>
      <c r="C122" s="9" t="s">
        <v>5080</v>
      </c>
      <c r="D122" s="9" t="s">
        <v>5092</v>
      </c>
      <c r="E122" s="9" t="s">
        <v>5296</v>
      </c>
      <c r="F122" s="9" t="s">
        <v>5292</v>
      </c>
      <c r="G122" s="9" t="s">
        <v>5297</v>
      </c>
      <c r="H122" s="9" t="s">
        <v>5298</v>
      </c>
      <c r="I122" s="9" t="s">
        <v>5299</v>
      </c>
    </row>
    <row r="123" spans="1:9">
      <c r="A123" s="9" t="s">
        <v>651</v>
      </c>
      <c r="B123" s="9" t="s">
        <v>5300</v>
      </c>
      <c r="C123" s="9" t="s">
        <v>5080</v>
      </c>
      <c r="D123" s="9" t="s">
        <v>5092</v>
      </c>
      <c r="E123" s="9" t="s">
        <v>5301</v>
      </c>
      <c r="F123" s="9" t="s">
        <v>5292</v>
      </c>
      <c r="G123" s="9" t="s">
        <v>5302</v>
      </c>
      <c r="H123" s="9" t="s">
        <v>5303</v>
      </c>
      <c r="I123" s="9" t="s">
        <v>5304</v>
      </c>
    </row>
    <row r="124" spans="1:9">
      <c r="A124" s="9" t="s">
        <v>800</v>
      </c>
      <c r="B124" s="9" t="s">
        <v>5305</v>
      </c>
      <c r="C124" s="9" t="s">
        <v>5080</v>
      </c>
      <c r="D124" s="9" t="s">
        <v>5092</v>
      </c>
      <c r="E124" s="9" t="s">
        <v>5306</v>
      </c>
      <c r="F124" s="9" t="s">
        <v>5307</v>
      </c>
      <c r="G124" s="9" t="s">
        <v>5308</v>
      </c>
      <c r="H124" s="9" t="s">
        <v>5309</v>
      </c>
      <c r="I124" s="9" t="s">
        <v>5310</v>
      </c>
    </row>
    <row r="125" spans="1:9">
      <c r="A125" s="9" t="s">
        <v>803</v>
      </c>
      <c r="B125" s="9" t="s">
        <v>5311</v>
      </c>
      <c r="C125" s="9" t="s">
        <v>5080</v>
      </c>
      <c r="D125" s="9" t="s">
        <v>5092</v>
      </c>
      <c r="E125" s="9" t="s">
        <v>5312</v>
      </c>
      <c r="F125" s="9" t="s">
        <v>5313</v>
      </c>
      <c r="G125" s="9" t="s">
        <v>5314</v>
      </c>
      <c r="H125" s="9" t="s">
        <v>5315</v>
      </c>
      <c r="I125" s="9" t="s">
        <v>5316</v>
      </c>
    </row>
    <row r="126" spans="1:9">
      <c r="A126" s="9" t="s">
        <v>641</v>
      </c>
      <c r="B126" s="9" t="s">
        <v>5317</v>
      </c>
      <c r="C126" s="9" t="s">
        <v>5080</v>
      </c>
      <c r="D126" s="9" t="s">
        <v>5092</v>
      </c>
      <c r="E126" s="9" t="s">
        <v>5318</v>
      </c>
      <c r="F126" s="9" t="s">
        <v>5313</v>
      </c>
      <c r="G126" s="9" t="s">
        <v>5319</v>
      </c>
      <c r="H126" s="9" t="s">
        <v>5320</v>
      </c>
      <c r="I126" s="9" t="s">
        <v>5321</v>
      </c>
    </row>
    <row r="127" spans="1:9">
      <c r="A127" s="9" t="s">
        <v>809</v>
      </c>
      <c r="B127" s="9" t="s">
        <v>5322</v>
      </c>
      <c r="C127" s="9" t="s">
        <v>5185</v>
      </c>
      <c r="D127" s="9" t="s">
        <v>5186</v>
      </c>
      <c r="E127" s="9" t="s">
        <v>5323</v>
      </c>
      <c r="F127" s="9" t="s">
        <v>5324</v>
      </c>
      <c r="G127" s="9" t="s">
        <v>5325</v>
      </c>
      <c r="H127" s="9" t="s">
        <v>5326</v>
      </c>
      <c r="I127" s="9" t="s">
        <v>5327</v>
      </c>
    </row>
    <row r="128" spans="1:9">
      <c r="A128" s="9" t="s">
        <v>652</v>
      </c>
      <c r="B128" s="9" t="s">
        <v>5328</v>
      </c>
      <c r="C128" s="9" t="s">
        <v>5329</v>
      </c>
      <c r="D128" s="9" t="s">
        <v>5186</v>
      </c>
      <c r="E128" s="9" t="s">
        <v>5330</v>
      </c>
      <c r="F128" s="9" t="s">
        <v>5331</v>
      </c>
      <c r="G128" s="9" t="s">
        <v>5332</v>
      </c>
      <c r="H128" s="9" t="s">
        <v>1118</v>
      </c>
      <c r="I128" s="9" t="s">
        <v>5333</v>
      </c>
    </row>
    <row r="129" spans="1:20">
      <c r="A129" s="9" t="s">
        <v>644</v>
      </c>
      <c r="B129" s="9" t="s">
        <v>5334</v>
      </c>
      <c r="C129" s="9" t="s">
        <v>5080</v>
      </c>
      <c r="D129" s="9" t="s">
        <v>5092</v>
      </c>
      <c r="E129" s="9" t="s">
        <v>5335</v>
      </c>
      <c r="F129" s="9" t="s">
        <v>5336</v>
      </c>
      <c r="G129" s="9" t="s">
        <v>5337</v>
      </c>
      <c r="H129" s="9" t="s">
        <v>5338</v>
      </c>
      <c r="I129" s="9" t="s">
        <v>5339</v>
      </c>
    </row>
    <row r="130" ht="14.5" spans="1:20">
      <c r="A130" s="24" t="str">
        <f>HYPERLINK("https://www.tianyancha.com/company/441970624","打开天眼查，查看更多[专利信息]")</f>
        <v>打开天眼查，查看更多[专利信息]</v>
      </c>
      <c r="B130" s="9"/>
      <c r="C130" s="9"/>
      <c r="D130" s="9"/>
      <c r="E130" s="9"/>
      <c r="F130" s="9"/>
      <c r="G130" s="9"/>
      <c r="H130" s="9"/>
      <c r="I130" s="9"/>
      <c r="J130" s="2"/>
      <c r="K130" s="2"/>
      <c r="L130" s="2"/>
      <c r="M130" s="2"/>
      <c r="N130" s="2"/>
      <c r="O130" s="2"/>
      <c r="P130" s="2"/>
      <c r="Q130" s="2"/>
      <c r="R130" s="2"/>
      <c r="S130" s="2"/>
      <c r="T130" s="2"/>
    </row>
    <row r="131" spans="1:20">
      <c r="A131" s="9"/>
      <c r="B131" s="9"/>
      <c r="C131" s="9"/>
      <c r="D131" s="9"/>
      <c r="E131" s="9"/>
      <c r="F131" s="9"/>
      <c r="G131" s="9"/>
      <c r="H131" s="9"/>
      <c r="I131" s="9"/>
      <c r="J131" s="2"/>
      <c r="K131" s="2"/>
      <c r="L131" s="2"/>
      <c r="M131" s="2"/>
      <c r="N131" s="2"/>
      <c r="O131" s="2"/>
      <c r="P131" s="2"/>
      <c r="Q131" s="2"/>
      <c r="R131" s="2"/>
      <c r="S131" s="2"/>
      <c r="T131" s="2"/>
    </row>
    <row r="132" ht="15.5" spans="1:20">
      <c r="A132" s="3" t="s">
        <v>5340</v>
      </c>
      <c r="B132" s="9" t="s">
        <v>110</v>
      </c>
      <c r="C132" s="2"/>
      <c r="D132" s="2"/>
      <c r="E132" s="2"/>
      <c r="F132" s="2"/>
      <c r="G132" s="2"/>
      <c r="H132" s="9"/>
      <c r="I132" s="9"/>
      <c r="J132" s="2"/>
      <c r="K132" s="2"/>
      <c r="L132" s="2"/>
      <c r="M132" s="2"/>
      <c r="N132" s="2"/>
      <c r="O132" s="2"/>
      <c r="P132" s="2"/>
      <c r="Q132" s="2"/>
      <c r="R132" s="2"/>
      <c r="S132" s="2"/>
      <c r="T132" s="2"/>
    </row>
    <row r="133" spans="1:20">
      <c r="A133" s="9" t="s">
        <v>110</v>
      </c>
      <c r="B133" s="9"/>
      <c r="C133" s="9"/>
      <c r="D133" s="9"/>
      <c r="E133" s="9"/>
      <c r="F133" s="9"/>
      <c r="G133" s="9"/>
      <c r="H133" s="9"/>
      <c r="I133" s="9"/>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ht="15.5" spans="1:20">
      <c r="A135" s="3" t="s">
        <v>5341</v>
      </c>
      <c r="B135" s="9" t="s">
        <v>5342</v>
      </c>
      <c r="C135" s="2"/>
      <c r="D135" s="2"/>
      <c r="E135" s="2"/>
      <c r="F135" s="2"/>
      <c r="G135" s="2"/>
      <c r="H135" s="2"/>
      <c r="I135" s="2"/>
      <c r="J135" s="2"/>
      <c r="K135" s="2"/>
      <c r="L135" s="2"/>
      <c r="M135" s="2"/>
      <c r="N135" s="2"/>
      <c r="O135" s="2"/>
      <c r="P135" s="2"/>
      <c r="Q135" s="2"/>
      <c r="R135" s="2"/>
      <c r="S135" s="2"/>
      <c r="T135" s="2"/>
    </row>
    <row r="136" ht="15.5" spans="1:20">
      <c r="A136" s="11" t="s">
        <v>46</v>
      </c>
      <c r="B136" s="6" t="s">
        <v>5343</v>
      </c>
      <c r="C136" s="11" t="s">
        <v>5344</v>
      </c>
      <c r="D136" s="11" t="s">
        <v>5345</v>
      </c>
      <c r="E136" s="11" t="s">
        <v>5346</v>
      </c>
      <c r="F136" s="11" t="s">
        <v>5347</v>
      </c>
      <c r="G136" s="11" t="s">
        <v>5348</v>
      </c>
      <c r="H136" s="11" t="s">
        <v>5349</v>
      </c>
      <c r="I136" s="2"/>
      <c r="J136" s="2"/>
      <c r="K136" s="2"/>
      <c r="L136" s="2"/>
      <c r="M136" s="2"/>
      <c r="N136" s="2"/>
      <c r="O136" s="2"/>
      <c r="P136" s="2"/>
      <c r="Q136" s="2"/>
      <c r="R136" s="2"/>
      <c r="S136" s="2"/>
      <c r="T136" s="2"/>
    </row>
    <row r="137" spans="1:20">
      <c r="A137" s="9" t="s">
        <v>633</v>
      </c>
      <c r="B137" s="9" t="s">
        <v>5106</v>
      </c>
      <c r="C137" s="9" t="s">
        <v>5350</v>
      </c>
      <c r="D137" s="9" t="s">
        <v>5351</v>
      </c>
      <c r="E137" s="9" t="s">
        <v>5352</v>
      </c>
      <c r="F137" s="9" t="s">
        <v>67</v>
      </c>
      <c r="G137" s="9" t="s">
        <v>5353</v>
      </c>
      <c r="H137" s="9" t="s">
        <v>67</v>
      </c>
      <c r="I137" s="2"/>
      <c r="J137" s="2"/>
      <c r="K137" s="2"/>
      <c r="L137" s="2"/>
      <c r="M137" s="2"/>
      <c r="N137" s="2"/>
      <c r="O137" s="2"/>
      <c r="P137" s="2"/>
      <c r="Q137" s="2"/>
      <c r="R137" s="2"/>
      <c r="S137" s="2"/>
      <c r="T137" s="2"/>
    </row>
    <row r="138" spans="1:20">
      <c r="A138" s="9" t="s">
        <v>233</v>
      </c>
      <c r="B138" s="9" t="s">
        <v>5354</v>
      </c>
      <c r="C138" s="9" t="s">
        <v>5355</v>
      </c>
      <c r="D138" s="9" t="s">
        <v>5356</v>
      </c>
      <c r="E138" s="9" t="s">
        <v>5357</v>
      </c>
      <c r="F138" s="9" t="s">
        <v>67</v>
      </c>
      <c r="G138" s="9" t="s">
        <v>5358</v>
      </c>
      <c r="H138" s="9" t="s">
        <v>67</v>
      </c>
    </row>
    <row r="139" spans="1:20">
      <c r="A139" s="9" t="s">
        <v>636</v>
      </c>
      <c r="B139" s="9" t="s">
        <v>5359</v>
      </c>
      <c r="C139" s="9" t="s">
        <v>5360</v>
      </c>
      <c r="D139" s="9" t="s">
        <v>5361</v>
      </c>
      <c r="E139" s="9" t="s">
        <v>5362</v>
      </c>
      <c r="F139" s="9" t="s">
        <v>67</v>
      </c>
      <c r="G139" s="9" t="s">
        <v>5363</v>
      </c>
      <c r="H139" s="9" t="s">
        <v>67</v>
      </c>
    </row>
    <row r="140" spans="1:20">
      <c r="A140" s="9" t="s">
        <v>638</v>
      </c>
      <c r="B140" s="9" t="s">
        <v>5364</v>
      </c>
      <c r="C140" s="9" t="s">
        <v>5365</v>
      </c>
      <c r="D140" s="9" t="s">
        <v>5366</v>
      </c>
      <c r="E140" s="9" t="s">
        <v>5367</v>
      </c>
      <c r="F140" s="9" t="s">
        <v>67</v>
      </c>
      <c r="G140" s="9" t="s">
        <v>5368</v>
      </c>
      <c r="H140" s="9" t="s">
        <v>67</v>
      </c>
    </row>
    <row r="141" spans="1:20">
      <c r="A141" s="9" t="s">
        <v>640</v>
      </c>
      <c r="B141" s="9" t="s">
        <v>277</v>
      </c>
      <c r="C141" s="9" t="s">
        <v>5369</v>
      </c>
      <c r="D141" s="9" t="s">
        <v>5370</v>
      </c>
      <c r="E141" s="9" t="s">
        <v>5371</v>
      </c>
      <c r="F141" s="9" t="s">
        <v>67</v>
      </c>
      <c r="G141" s="9" t="s">
        <v>5363</v>
      </c>
      <c r="H141" s="9" t="s">
        <v>67</v>
      </c>
    </row>
    <row r="142" spans="1:20">
      <c r="A142" s="9" t="s">
        <v>642</v>
      </c>
      <c r="B142" s="9" t="s">
        <v>5372</v>
      </c>
      <c r="C142" s="9" t="s">
        <v>5373</v>
      </c>
      <c r="D142" s="9" t="s">
        <v>5374</v>
      </c>
      <c r="E142" s="9" t="s">
        <v>5375</v>
      </c>
      <c r="F142" s="9" t="s">
        <v>67</v>
      </c>
      <c r="G142" s="9" t="s">
        <v>5353</v>
      </c>
      <c r="H142" s="9" t="s">
        <v>67</v>
      </c>
    </row>
    <row r="143" spans="1:20">
      <c r="A143" s="9" t="s">
        <v>643</v>
      </c>
      <c r="B143" s="9" t="s">
        <v>5376</v>
      </c>
      <c r="C143" s="9" t="s">
        <v>5377</v>
      </c>
      <c r="D143" s="9" t="s">
        <v>5378</v>
      </c>
      <c r="E143" s="9" t="s">
        <v>5379</v>
      </c>
      <c r="F143" s="9" t="s">
        <v>67</v>
      </c>
      <c r="G143" s="9" t="s">
        <v>5358</v>
      </c>
      <c r="H143" s="9" t="s">
        <v>67</v>
      </c>
    </row>
    <row r="144" spans="1:20">
      <c r="A144" s="9" t="s">
        <v>645</v>
      </c>
      <c r="B144" s="9" t="s">
        <v>5376</v>
      </c>
      <c r="C144" s="9" t="s">
        <v>5380</v>
      </c>
      <c r="D144" s="9" t="s">
        <v>5381</v>
      </c>
      <c r="E144" s="9" t="s">
        <v>5382</v>
      </c>
      <c r="F144" s="9" t="s">
        <v>67</v>
      </c>
      <c r="G144" s="9" t="s">
        <v>5358</v>
      </c>
      <c r="H144" s="9" t="s">
        <v>67</v>
      </c>
    </row>
    <row r="145" spans="1:8">
      <c r="A145" s="9" t="s">
        <v>208</v>
      </c>
      <c r="B145" s="9" t="s">
        <v>5376</v>
      </c>
      <c r="C145" s="9" t="s">
        <v>5383</v>
      </c>
      <c r="D145" s="9" t="s">
        <v>5384</v>
      </c>
      <c r="E145" s="9" t="s">
        <v>5385</v>
      </c>
      <c r="F145" s="9" t="s">
        <v>67</v>
      </c>
      <c r="G145" s="9" t="s">
        <v>5358</v>
      </c>
      <c r="H145" s="9" t="s">
        <v>67</v>
      </c>
    </row>
    <row r="146" spans="1:8">
      <c r="A146" s="9" t="s">
        <v>685</v>
      </c>
      <c r="B146" s="9" t="s">
        <v>543</v>
      </c>
      <c r="C146" s="9" t="s">
        <v>5386</v>
      </c>
      <c r="D146" s="9" t="s">
        <v>5387</v>
      </c>
      <c r="E146" s="9" t="s">
        <v>5388</v>
      </c>
      <c r="F146" s="9" t="s">
        <v>67</v>
      </c>
      <c r="G146" s="9" t="s">
        <v>5363</v>
      </c>
      <c r="H146" s="9" t="s">
        <v>67</v>
      </c>
    </row>
    <row r="147" spans="1:8">
      <c r="A147" s="9" t="s">
        <v>690</v>
      </c>
      <c r="B147" s="9" t="s">
        <v>1982</v>
      </c>
      <c r="C147" s="9" t="s">
        <v>5389</v>
      </c>
      <c r="D147" s="9" t="s">
        <v>5390</v>
      </c>
      <c r="E147" s="9" t="s">
        <v>5391</v>
      </c>
      <c r="F147" s="9" t="s">
        <v>67</v>
      </c>
      <c r="G147" s="9" t="s">
        <v>5363</v>
      </c>
      <c r="H147" s="9" t="s">
        <v>5292</v>
      </c>
    </row>
    <row r="148" spans="1:8">
      <c r="A148" s="9" t="s">
        <v>692</v>
      </c>
      <c r="B148" s="9" t="s">
        <v>1539</v>
      </c>
      <c r="C148" s="9" t="s">
        <v>5392</v>
      </c>
      <c r="D148" s="9" t="s">
        <v>5393</v>
      </c>
      <c r="E148" s="9" t="s">
        <v>5394</v>
      </c>
      <c r="F148" s="9" t="s">
        <v>67</v>
      </c>
      <c r="G148" s="9" t="s">
        <v>5353</v>
      </c>
      <c r="H148" s="9" t="s">
        <v>5395</v>
      </c>
    </row>
    <row r="149" spans="1:8">
      <c r="A149" s="9" t="s">
        <v>594</v>
      </c>
      <c r="B149" s="9" t="s">
        <v>890</v>
      </c>
      <c r="C149" s="9" t="s">
        <v>5396</v>
      </c>
      <c r="D149" s="9" t="s">
        <v>5397</v>
      </c>
      <c r="E149" s="9" t="s">
        <v>5398</v>
      </c>
      <c r="F149" s="9" t="s">
        <v>67</v>
      </c>
      <c r="G149" s="9" t="s">
        <v>5353</v>
      </c>
      <c r="H149" s="9" t="s">
        <v>5399</v>
      </c>
    </row>
    <row r="150" spans="1:8">
      <c r="A150" s="9" t="s">
        <v>698</v>
      </c>
      <c r="B150" s="9" t="s">
        <v>892</v>
      </c>
      <c r="C150" s="9" t="s">
        <v>5386</v>
      </c>
      <c r="D150" s="9" t="s">
        <v>5387</v>
      </c>
      <c r="E150" s="9" t="s">
        <v>5400</v>
      </c>
      <c r="F150" s="9" t="s">
        <v>67</v>
      </c>
      <c r="G150" s="9" t="s">
        <v>5353</v>
      </c>
      <c r="H150" s="9" t="s">
        <v>5401</v>
      </c>
    </row>
    <row r="151" spans="1:8">
      <c r="A151" s="9" t="s">
        <v>700</v>
      </c>
      <c r="B151" s="9" t="s">
        <v>2004</v>
      </c>
      <c r="C151" s="9" t="s">
        <v>5402</v>
      </c>
      <c r="D151" s="9" t="s">
        <v>5403</v>
      </c>
      <c r="E151" s="9" t="s">
        <v>5404</v>
      </c>
      <c r="F151" s="9" t="s">
        <v>67</v>
      </c>
      <c r="G151" s="9" t="s">
        <v>5353</v>
      </c>
      <c r="H151" s="9" t="s">
        <v>5405</v>
      </c>
    </row>
    <row r="152" spans="1:8">
      <c r="A152" s="9" t="s">
        <v>703</v>
      </c>
      <c r="B152" s="9" t="s">
        <v>2004</v>
      </c>
      <c r="C152" s="9" t="s">
        <v>5406</v>
      </c>
      <c r="D152" s="9" t="s">
        <v>5407</v>
      </c>
      <c r="E152" s="9" t="s">
        <v>5408</v>
      </c>
      <c r="F152" s="9" t="s">
        <v>67</v>
      </c>
      <c r="G152" s="9" t="s">
        <v>5353</v>
      </c>
      <c r="H152" s="9" t="s">
        <v>5409</v>
      </c>
    </row>
    <row r="153" spans="1:8">
      <c r="A153" s="9" t="s">
        <v>249</v>
      </c>
      <c r="B153" s="9" t="s">
        <v>5410</v>
      </c>
      <c r="C153" s="9" t="s">
        <v>5411</v>
      </c>
      <c r="D153" s="9" t="s">
        <v>5412</v>
      </c>
      <c r="E153" s="9" t="s">
        <v>5413</v>
      </c>
      <c r="F153" s="9" t="s">
        <v>67</v>
      </c>
      <c r="G153" s="9" t="s">
        <v>5353</v>
      </c>
      <c r="H153" s="9" t="s">
        <v>5414</v>
      </c>
    </row>
    <row r="154" spans="1:8">
      <c r="A154" s="9" t="s">
        <v>707</v>
      </c>
      <c r="B154" s="9" t="s">
        <v>5410</v>
      </c>
      <c r="C154" s="9" t="s">
        <v>5415</v>
      </c>
      <c r="D154" s="9" t="s">
        <v>5416</v>
      </c>
      <c r="E154" s="9" t="s">
        <v>5417</v>
      </c>
      <c r="F154" s="9" t="s">
        <v>67</v>
      </c>
      <c r="G154" s="9" t="s">
        <v>5363</v>
      </c>
      <c r="H154" s="9" t="s">
        <v>5418</v>
      </c>
    </row>
    <row r="155" spans="1:8">
      <c r="A155" s="9" t="s">
        <v>712</v>
      </c>
      <c r="B155" s="9" t="s">
        <v>5410</v>
      </c>
      <c r="C155" s="9" t="s">
        <v>5419</v>
      </c>
      <c r="D155" s="9" t="s">
        <v>5420</v>
      </c>
      <c r="E155" s="9" t="s">
        <v>5421</v>
      </c>
      <c r="F155" s="9" t="s">
        <v>67</v>
      </c>
      <c r="G155" s="9" t="s">
        <v>5353</v>
      </c>
      <c r="H155" s="9" t="s">
        <v>5422</v>
      </c>
    </row>
    <row r="156" spans="1:8">
      <c r="A156" s="9" t="s">
        <v>716</v>
      </c>
      <c r="B156" s="9" t="s">
        <v>5410</v>
      </c>
      <c r="C156" s="9" t="s">
        <v>5423</v>
      </c>
      <c r="D156" s="9" t="s">
        <v>5424</v>
      </c>
      <c r="E156" s="9" t="s">
        <v>5425</v>
      </c>
      <c r="F156" s="9" t="s">
        <v>67</v>
      </c>
      <c r="G156" s="9" t="s">
        <v>5426</v>
      </c>
      <c r="H156" s="9" t="s">
        <v>5427</v>
      </c>
    </row>
    <row r="157" spans="1:8">
      <c r="A157" s="9" t="s">
        <v>720</v>
      </c>
      <c r="B157" s="9" t="s">
        <v>5428</v>
      </c>
      <c r="C157" s="9" t="s">
        <v>5429</v>
      </c>
      <c r="D157" s="9" t="s">
        <v>5430</v>
      </c>
      <c r="E157" s="9" t="s">
        <v>5431</v>
      </c>
      <c r="F157" s="9" t="s">
        <v>67</v>
      </c>
      <c r="G157" s="9" t="s">
        <v>5353</v>
      </c>
      <c r="H157" s="9" t="s">
        <v>5432</v>
      </c>
    </row>
    <row r="158" spans="1:8">
      <c r="A158" s="9" t="s">
        <v>722</v>
      </c>
      <c r="B158" s="9" t="s">
        <v>5428</v>
      </c>
      <c r="C158" s="9" t="s">
        <v>5433</v>
      </c>
      <c r="D158" s="9" t="s">
        <v>5434</v>
      </c>
      <c r="E158" s="9" t="s">
        <v>5435</v>
      </c>
      <c r="F158" s="9" t="s">
        <v>67</v>
      </c>
      <c r="G158" s="9" t="s">
        <v>5353</v>
      </c>
      <c r="H158" s="9" t="s">
        <v>5436</v>
      </c>
    </row>
    <row r="159" spans="1:8">
      <c r="A159" s="9" t="s">
        <v>725</v>
      </c>
      <c r="B159" s="9" t="s">
        <v>5437</v>
      </c>
      <c r="C159" s="9" t="s">
        <v>5438</v>
      </c>
      <c r="D159" s="9" t="s">
        <v>5439</v>
      </c>
      <c r="E159" s="9" t="s">
        <v>5440</v>
      </c>
      <c r="F159" s="9" t="s">
        <v>67</v>
      </c>
      <c r="G159" s="9" t="s">
        <v>5363</v>
      </c>
      <c r="H159" s="9" t="s">
        <v>5441</v>
      </c>
    </row>
    <row r="160" spans="1:8">
      <c r="A160" s="9" t="s">
        <v>729</v>
      </c>
      <c r="B160" s="9" t="s">
        <v>5437</v>
      </c>
      <c r="C160" s="9" t="s">
        <v>5442</v>
      </c>
      <c r="D160" s="9" t="s">
        <v>5443</v>
      </c>
      <c r="E160" s="9" t="s">
        <v>5444</v>
      </c>
      <c r="F160" s="9" t="s">
        <v>67</v>
      </c>
      <c r="G160" s="9" t="s">
        <v>5363</v>
      </c>
      <c r="H160" s="9" t="s">
        <v>457</v>
      </c>
    </row>
    <row r="161" spans="1:8">
      <c r="A161" s="9" t="s">
        <v>731</v>
      </c>
      <c r="B161" s="9" t="s">
        <v>5437</v>
      </c>
      <c r="C161" s="9" t="s">
        <v>5445</v>
      </c>
      <c r="D161" s="9" t="s">
        <v>5446</v>
      </c>
      <c r="E161" s="9" t="s">
        <v>5447</v>
      </c>
      <c r="F161" s="9" t="s">
        <v>67</v>
      </c>
      <c r="G161" s="9" t="s">
        <v>5363</v>
      </c>
      <c r="H161" s="9" t="s">
        <v>5448</v>
      </c>
    </row>
    <row r="162" spans="1:8">
      <c r="A162" s="9" t="s">
        <v>734</v>
      </c>
      <c r="B162" s="9" t="s">
        <v>1467</v>
      </c>
      <c r="C162" s="9" t="s">
        <v>5449</v>
      </c>
      <c r="D162" s="9" t="s">
        <v>5450</v>
      </c>
      <c r="E162" s="9" t="s">
        <v>5451</v>
      </c>
      <c r="F162" s="9" t="s">
        <v>67</v>
      </c>
      <c r="G162" s="9" t="s">
        <v>5363</v>
      </c>
      <c r="H162" s="9" t="s">
        <v>5432</v>
      </c>
    </row>
    <row r="163" spans="1:8">
      <c r="A163" s="9" t="s">
        <v>736</v>
      </c>
      <c r="B163" s="9" t="s">
        <v>5452</v>
      </c>
      <c r="C163" s="9" t="s">
        <v>5453</v>
      </c>
      <c r="D163" s="9" t="s">
        <v>5454</v>
      </c>
      <c r="E163" s="9" t="s">
        <v>5455</v>
      </c>
      <c r="F163" s="9" t="s">
        <v>67</v>
      </c>
      <c r="G163" s="9" t="s">
        <v>5363</v>
      </c>
      <c r="H163" s="9" t="s">
        <v>5432</v>
      </c>
    </row>
    <row r="164" spans="1:8">
      <c r="A164" s="9" t="s">
        <v>738</v>
      </c>
      <c r="B164" s="9" t="s">
        <v>5456</v>
      </c>
      <c r="C164" s="9" t="s">
        <v>5457</v>
      </c>
      <c r="D164" s="9" t="s">
        <v>5458</v>
      </c>
      <c r="E164" s="9" t="s">
        <v>5459</v>
      </c>
      <c r="F164" s="9" t="s">
        <v>67</v>
      </c>
      <c r="G164" s="9" t="s">
        <v>5358</v>
      </c>
      <c r="H164" s="9" t="s">
        <v>5432</v>
      </c>
    </row>
    <row r="165" spans="1:8">
      <c r="A165" s="9" t="s">
        <v>742</v>
      </c>
      <c r="B165" s="9" t="s">
        <v>5460</v>
      </c>
      <c r="C165" s="9" t="s">
        <v>5461</v>
      </c>
      <c r="D165" s="9" t="s">
        <v>5462</v>
      </c>
      <c r="E165" s="9" t="s">
        <v>5463</v>
      </c>
      <c r="F165" s="9" t="s">
        <v>67</v>
      </c>
      <c r="G165" s="9" t="s">
        <v>5358</v>
      </c>
      <c r="H165" s="9" t="s">
        <v>5464</v>
      </c>
    </row>
    <row r="166" spans="1:8">
      <c r="A166" s="9" t="s">
        <v>745</v>
      </c>
      <c r="B166" s="9" t="s">
        <v>5465</v>
      </c>
      <c r="C166" s="9" t="s">
        <v>5466</v>
      </c>
      <c r="D166" s="9" t="s">
        <v>5467</v>
      </c>
      <c r="E166" s="9" t="s">
        <v>5468</v>
      </c>
      <c r="F166" s="9" t="s">
        <v>67</v>
      </c>
      <c r="G166" s="9" t="s">
        <v>5469</v>
      </c>
      <c r="H166" s="9" t="s">
        <v>5470</v>
      </c>
    </row>
    <row r="167" spans="1:8">
      <c r="A167" s="9" t="s">
        <v>748</v>
      </c>
      <c r="B167" s="9" t="s">
        <v>5465</v>
      </c>
      <c r="C167" s="9" t="s">
        <v>5471</v>
      </c>
      <c r="D167" s="9" t="s">
        <v>5472</v>
      </c>
      <c r="E167" s="9" t="s">
        <v>5473</v>
      </c>
      <c r="F167" s="9" t="s">
        <v>67</v>
      </c>
      <c r="G167" s="9" t="s">
        <v>5353</v>
      </c>
      <c r="H167" s="9" t="s">
        <v>5474</v>
      </c>
    </row>
    <row r="168" spans="1:8">
      <c r="A168" s="9" t="s">
        <v>750</v>
      </c>
      <c r="B168" s="9" t="s">
        <v>5475</v>
      </c>
      <c r="C168" s="9" t="s">
        <v>5476</v>
      </c>
      <c r="D168" s="9" t="s">
        <v>5477</v>
      </c>
      <c r="E168" s="9" t="s">
        <v>5478</v>
      </c>
      <c r="F168" s="9" t="s">
        <v>67</v>
      </c>
      <c r="G168" s="9" t="s">
        <v>5479</v>
      </c>
      <c r="H168" s="9" t="s">
        <v>1518</v>
      </c>
    </row>
    <row r="169" spans="1:8">
      <c r="A169" s="9" t="s">
        <v>755</v>
      </c>
      <c r="B169" s="9" t="s">
        <v>5480</v>
      </c>
      <c r="C169" s="9" t="s">
        <v>5481</v>
      </c>
      <c r="D169" s="9" t="s">
        <v>5482</v>
      </c>
      <c r="E169" s="9" t="s">
        <v>5483</v>
      </c>
      <c r="F169" s="9" t="s">
        <v>67</v>
      </c>
      <c r="G169" s="9" t="s">
        <v>5353</v>
      </c>
      <c r="H169" s="9" t="s">
        <v>5484</v>
      </c>
    </row>
    <row r="170" spans="1:8">
      <c r="A170" s="9" t="s">
        <v>646</v>
      </c>
      <c r="B170" s="9" t="s">
        <v>5480</v>
      </c>
      <c r="C170" s="9" t="s">
        <v>5485</v>
      </c>
      <c r="D170" s="9" t="s">
        <v>5486</v>
      </c>
      <c r="E170" s="9" t="s">
        <v>5487</v>
      </c>
      <c r="F170" s="9" t="s">
        <v>67</v>
      </c>
      <c r="G170" s="9" t="s">
        <v>5353</v>
      </c>
      <c r="H170" s="9" t="s">
        <v>5488</v>
      </c>
    </row>
    <row r="171" spans="1:8">
      <c r="A171" s="9" t="s">
        <v>762</v>
      </c>
      <c r="B171" s="9" t="s">
        <v>5489</v>
      </c>
      <c r="C171" s="9" t="s">
        <v>5490</v>
      </c>
      <c r="D171" s="9" t="s">
        <v>5491</v>
      </c>
      <c r="E171" s="9" t="s">
        <v>5492</v>
      </c>
      <c r="F171" s="9" t="s">
        <v>67</v>
      </c>
      <c r="G171" s="9" t="s">
        <v>5353</v>
      </c>
      <c r="H171" s="9" t="s">
        <v>5493</v>
      </c>
    </row>
    <row r="172" spans="1:8">
      <c r="A172" s="9" t="s">
        <v>768</v>
      </c>
      <c r="B172" s="9" t="s">
        <v>5494</v>
      </c>
      <c r="C172" s="9" t="s">
        <v>5495</v>
      </c>
      <c r="D172" s="9" t="s">
        <v>5424</v>
      </c>
      <c r="E172" s="9" t="s">
        <v>5496</v>
      </c>
      <c r="F172" s="9" t="s">
        <v>67</v>
      </c>
      <c r="G172" s="9" t="s">
        <v>5353</v>
      </c>
      <c r="H172" s="9" t="s">
        <v>5497</v>
      </c>
    </row>
    <row r="173" spans="1:8">
      <c r="A173" s="9" t="s">
        <v>771</v>
      </c>
      <c r="B173" s="9" t="s">
        <v>1490</v>
      </c>
      <c r="C173" s="9" t="s">
        <v>5498</v>
      </c>
      <c r="D173" s="9" t="s">
        <v>5499</v>
      </c>
      <c r="E173" s="9" t="s">
        <v>5500</v>
      </c>
      <c r="F173" s="9" t="s">
        <v>67</v>
      </c>
      <c r="G173" s="9" t="s">
        <v>5358</v>
      </c>
      <c r="H173" s="9" t="s">
        <v>5501</v>
      </c>
    </row>
    <row r="174" spans="1:8">
      <c r="A174" s="9" t="s">
        <v>775</v>
      </c>
      <c r="B174" s="9" t="s">
        <v>5502</v>
      </c>
      <c r="C174" s="9" t="s">
        <v>5503</v>
      </c>
      <c r="D174" s="9" t="s">
        <v>5504</v>
      </c>
      <c r="E174" s="9" t="s">
        <v>5505</v>
      </c>
      <c r="F174" s="9" t="s">
        <v>67</v>
      </c>
      <c r="G174" s="9" t="s">
        <v>5353</v>
      </c>
      <c r="H174" s="9" t="s">
        <v>204</v>
      </c>
    </row>
    <row r="175" spans="1:8">
      <c r="A175" s="9" t="s">
        <v>780</v>
      </c>
      <c r="B175" s="9" t="s">
        <v>1292</v>
      </c>
      <c r="C175" s="9" t="s">
        <v>5506</v>
      </c>
      <c r="D175" s="9" t="s">
        <v>5507</v>
      </c>
      <c r="E175" s="9" t="s">
        <v>5508</v>
      </c>
      <c r="F175" s="9" t="s">
        <v>67</v>
      </c>
      <c r="G175" s="9" t="s">
        <v>5509</v>
      </c>
      <c r="H175" s="9" t="s">
        <v>5510</v>
      </c>
    </row>
    <row r="176" spans="1:8">
      <c r="A176" s="9" t="s">
        <v>785</v>
      </c>
      <c r="B176" s="9" t="s">
        <v>5511</v>
      </c>
      <c r="C176" s="9" t="s">
        <v>5512</v>
      </c>
      <c r="D176" s="9" t="s">
        <v>5513</v>
      </c>
      <c r="E176" s="9" t="s">
        <v>5514</v>
      </c>
      <c r="F176" s="9" t="s">
        <v>67</v>
      </c>
      <c r="G176" s="9" t="s">
        <v>5363</v>
      </c>
      <c r="H176" s="9" t="s">
        <v>5515</v>
      </c>
    </row>
    <row r="177" spans="1:20">
      <c r="A177" s="9" t="s">
        <v>789</v>
      </c>
      <c r="B177" s="9" t="s">
        <v>5516</v>
      </c>
      <c r="C177" s="9" t="s">
        <v>5517</v>
      </c>
      <c r="D177" s="9" t="s">
        <v>5518</v>
      </c>
      <c r="E177" s="9" t="s">
        <v>5519</v>
      </c>
      <c r="F177" s="9" t="s">
        <v>67</v>
      </c>
      <c r="G177" s="9" t="s">
        <v>5520</v>
      </c>
      <c r="H177" s="9" t="s">
        <v>5515</v>
      </c>
    </row>
    <row r="178" spans="1:20">
      <c r="A178" s="9" t="s">
        <v>793</v>
      </c>
      <c r="B178" s="9" t="s">
        <v>5521</v>
      </c>
      <c r="C178" s="9" t="s">
        <v>5522</v>
      </c>
      <c r="D178" s="9" t="s">
        <v>5523</v>
      </c>
      <c r="E178" s="9" t="s">
        <v>5524</v>
      </c>
      <c r="F178" s="9" t="s">
        <v>67</v>
      </c>
      <c r="G178" s="9" t="s">
        <v>5358</v>
      </c>
      <c r="H178" s="9" t="s">
        <v>970</v>
      </c>
    </row>
    <row r="179" spans="1:20">
      <c r="A179" s="9" t="s">
        <v>796</v>
      </c>
      <c r="B179" s="9" t="s">
        <v>5525</v>
      </c>
      <c r="C179" s="9" t="s">
        <v>5526</v>
      </c>
      <c r="D179" s="9" t="s">
        <v>5527</v>
      </c>
      <c r="E179" s="9" t="s">
        <v>5528</v>
      </c>
      <c r="F179" s="9" t="s">
        <v>67</v>
      </c>
      <c r="G179" s="9" t="s">
        <v>5363</v>
      </c>
      <c r="H179" s="9" t="s">
        <v>5529</v>
      </c>
    </row>
    <row r="180" spans="1:20">
      <c r="A180" s="9" t="s">
        <v>651</v>
      </c>
      <c r="B180" s="9" t="s">
        <v>5525</v>
      </c>
      <c r="C180" s="9" t="s">
        <v>5530</v>
      </c>
      <c r="D180" s="9" t="s">
        <v>5531</v>
      </c>
      <c r="E180" s="9" t="s">
        <v>5532</v>
      </c>
      <c r="F180" s="9" t="s">
        <v>67</v>
      </c>
      <c r="G180" s="9" t="s">
        <v>5358</v>
      </c>
      <c r="H180" s="9" t="s">
        <v>5533</v>
      </c>
    </row>
    <row r="181" spans="1:20">
      <c r="A181" s="9" t="s">
        <v>800</v>
      </c>
      <c r="B181" s="9" t="s">
        <v>5534</v>
      </c>
      <c r="C181" s="9" t="s">
        <v>5517</v>
      </c>
      <c r="D181" s="9" t="s">
        <v>5518</v>
      </c>
      <c r="E181" s="9" t="s">
        <v>5535</v>
      </c>
      <c r="F181" s="9" t="s">
        <v>67</v>
      </c>
      <c r="G181" s="9" t="s">
        <v>5426</v>
      </c>
      <c r="H181" s="9" t="s">
        <v>2175</v>
      </c>
    </row>
    <row r="182" spans="1:20">
      <c r="A182" s="9" t="s">
        <v>803</v>
      </c>
      <c r="B182" s="9" t="s">
        <v>5536</v>
      </c>
      <c r="C182" s="9" t="s">
        <v>5537</v>
      </c>
      <c r="D182" s="9" t="s">
        <v>5538</v>
      </c>
      <c r="E182" s="9" t="s">
        <v>5539</v>
      </c>
      <c r="F182" s="9" t="s">
        <v>67</v>
      </c>
      <c r="G182" s="9" t="s">
        <v>5363</v>
      </c>
      <c r="H182" s="9" t="s">
        <v>5540</v>
      </c>
    </row>
    <row r="183" spans="1:20">
      <c r="A183" s="9" t="s">
        <v>641</v>
      </c>
      <c r="B183" s="9" t="s">
        <v>5536</v>
      </c>
      <c r="C183" s="9" t="s">
        <v>5541</v>
      </c>
      <c r="D183" s="9" t="s">
        <v>5542</v>
      </c>
      <c r="E183" s="9" t="s">
        <v>5543</v>
      </c>
      <c r="F183" s="9" t="s">
        <v>67</v>
      </c>
      <c r="G183" s="9" t="s">
        <v>5363</v>
      </c>
      <c r="H183" s="9" t="s">
        <v>5544</v>
      </c>
    </row>
    <row r="184" spans="1:20">
      <c r="A184" s="9" t="s">
        <v>809</v>
      </c>
      <c r="B184" s="9" t="s">
        <v>5536</v>
      </c>
      <c r="C184" s="9" t="s">
        <v>5545</v>
      </c>
      <c r="D184" s="9" t="s">
        <v>5546</v>
      </c>
      <c r="E184" s="9" t="s">
        <v>5547</v>
      </c>
      <c r="F184" s="9" t="s">
        <v>67</v>
      </c>
      <c r="G184" s="9" t="s">
        <v>5363</v>
      </c>
      <c r="H184" s="9" t="s">
        <v>5548</v>
      </c>
    </row>
    <row r="185" spans="1:20">
      <c r="A185" s="9" t="s">
        <v>652</v>
      </c>
      <c r="B185" s="9" t="s">
        <v>5549</v>
      </c>
      <c r="C185" s="9" t="s">
        <v>5550</v>
      </c>
      <c r="D185" s="9" t="s">
        <v>5551</v>
      </c>
      <c r="E185" s="9" t="s">
        <v>5552</v>
      </c>
      <c r="F185" s="9" t="s">
        <v>67</v>
      </c>
      <c r="G185" s="9" t="s">
        <v>5353</v>
      </c>
      <c r="H185" s="9" t="s">
        <v>5553</v>
      </c>
    </row>
    <row r="186" spans="1:20">
      <c r="A186" s="9" t="s">
        <v>644</v>
      </c>
      <c r="B186" s="9" t="s">
        <v>5554</v>
      </c>
      <c r="C186" s="9" t="s">
        <v>5506</v>
      </c>
      <c r="D186" s="9" t="s">
        <v>5507</v>
      </c>
      <c r="E186" s="9" t="s">
        <v>5555</v>
      </c>
      <c r="F186" s="9" t="s">
        <v>67</v>
      </c>
      <c r="G186" s="9" t="s">
        <v>5358</v>
      </c>
      <c r="H186" s="9" t="s">
        <v>5556</v>
      </c>
    </row>
    <row r="187" ht="14.5" spans="1:20">
      <c r="A187" s="24" t="str">
        <f>HYPERLINK("https://www.tianyancha.com/company/441970624","打开天眼查，查看更多[软件著作权]")</f>
        <v>打开天眼查，查看更多[软件著作权]</v>
      </c>
      <c r="B187" s="9"/>
      <c r="C187" s="9"/>
      <c r="D187" s="9"/>
      <c r="E187" s="9"/>
      <c r="F187" s="9"/>
      <c r="G187" s="9"/>
      <c r="H187" s="9"/>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ht="15.5" spans="1:20">
      <c r="A189" s="3" t="s">
        <v>5557</v>
      </c>
      <c r="B189" s="9" t="s">
        <v>5558</v>
      </c>
      <c r="C189" s="2"/>
      <c r="D189" s="2"/>
      <c r="E189" s="2"/>
      <c r="F189" s="2"/>
      <c r="G189" s="2"/>
      <c r="H189" s="2"/>
      <c r="I189" s="2"/>
      <c r="J189" s="2"/>
      <c r="K189" s="2"/>
      <c r="L189" s="2"/>
      <c r="M189" s="2"/>
      <c r="N189" s="2"/>
      <c r="O189" s="2"/>
      <c r="P189" s="2"/>
      <c r="Q189" s="2"/>
      <c r="R189" s="2"/>
      <c r="S189" s="2"/>
      <c r="T189" s="2"/>
    </row>
    <row r="190" ht="15.5" spans="1:20">
      <c r="A190" s="11" t="s">
        <v>46</v>
      </c>
      <c r="B190" s="11" t="s">
        <v>5559</v>
      </c>
      <c r="C190" s="11" t="s">
        <v>5560</v>
      </c>
      <c r="D190" s="11" t="s">
        <v>5561</v>
      </c>
      <c r="E190" s="11" t="s">
        <v>5562</v>
      </c>
      <c r="F190" s="11" t="s">
        <v>5563</v>
      </c>
      <c r="G190" s="6" t="s">
        <v>1447</v>
      </c>
      <c r="H190" s="6" t="s">
        <v>1003</v>
      </c>
      <c r="I190" s="2"/>
      <c r="J190" s="2"/>
      <c r="K190" s="2"/>
      <c r="L190" s="2"/>
      <c r="M190" s="2"/>
      <c r="N190" s="2"/>
      <c r="O190" s="2"/>
      <c r="P190" s="2"/>
      <c r="Q190" s="2"/>
      <c r="R190" s="2"/>
      <c r="S190" s="2"/>
      <c r="T190" s="2"/>
    </row>
    <row r="191" spans="1:20">
      <c r="A191" s="9">
        <v>1</v>
      </c>
      <c r="B191" s="9" t="s">
        <v>5564</v>
      </c>
      <c r="C191" s="9" t="s">
        <v>5565</v>
      </c>
      <c r="D191" s="9" t="s">
        <v>5566</v>
      </c>
      <c r="E191" s="9" t="s">
        <v>5567</v>
      </c>
      <c r="F191" s="9" t="s">
        <v>5568</v>
      </c>
      <c r="G191" s="9" t="s">
        <v>2041</v>
      </c>
      <c r="H191" s="9" t="s">
        <v>1853</v>
      </c>
      <c r="I191" s="2"/>
      <c r="J191" s="2"/>
      <c r="K191" s="2"/>
      <c r="L191" s="2"/>
      <c r="M191" s="2"/>
      <c r="N191" s="2"/>
      <c r="O191" s="2"/>
      <c r="P191" s="2"/>
      <c r="Q191" s="2"/>
      <c r="R191" s="2"/>
      <c r="S191" s="2"/>
      <c r="T191" s="2"/>
    </row>
    <row r="192" spans="1:20">
      <c r="A192" s="9">
        <v>2</v>
      </c>
      <c r="B192" s="9" t="s">
        <v>5569</v>
      </c>
      <c r="C192" s="9" t="s">
        <v>5570</v>
      </c>
      <c r="D192" s="9" t="s">
        <v>5571</v>
      </c>
      <c r="E192" s="9" t="s">
        <v>5572</v>
      </c>
      <c r="F192" s="9" t="s">
        <v>67</v>
      </c>
      <c r="G192" s="9" t="s">
        <v>886</v>
      </c>
      <c r="H192" s="9" t="s">
        <v>5573</v>
      </c>
    </row>
    <row r="193" spans="1:20">
      <c r="A193" s="9">
        <v>3</v>
      </c>
      <c r="B193" s="9" t="s">
        <v>5574</v>
      </c>
      <c r="C193" s="9" t="s">
        <v>5575</v>
      </c>
      <c r="D193" s="9" t="s">
        <v>5566</v>
      </c>
      <c r="E193" s="9" t="s">
        <v>5572</v>
      </c>
      <c r="F193" s="9" t="s">
        <v>5568</v>
      </c>
      <c r="G193" s="9" t="s">
        <v>5576</v>
      </c>
      <c r="H193" s="9" t="s">
        <v>5576</v>
      </c>
    </row>
    <row r="194" spans="1:20">
      <c r="A194" s="9">
        <v>4</v>
      </c>
      <c r="B194" s="9" t="s">
        <v>5577</v>
      </c>
      <c r="C194" s="9" t="s">
        <v>5578</v>
      </c>
      <c r="D194" s="9" t="s">
        <v>5571</v>
      </c>
      <c r="E194" s="9" t="s">
        <v>5572</v>
      </c>
      <c r="F194" s="9" t="s">
        <v>67</v>
      </c>
      <c r="G194" s="9" t="s">
        <v>5579</v>
      </c>
      <c r="H194" s="9" t="s">
        <v>5579</v>
      </c>
    </row>
    <row r="195" spans="1:20">
      <c r="A195" s="9">
        <v>5</v>
      </c>
      <c r="B195" s="9" t="s">
        <v>5580</v>
      </c>
      <c r="C195" s="9" t="s">
        <v>5581</v>
      </c>
      <c r="D195" s="9" t="s">
        <v>5571</v>
      </c>
      <c r="E195" s="9" t="s">
        <v>5572</v>
      </c>
      <c r="F195" s="9" t="s">
        <v>67</v>
      </c>
      <c r="G195" s="9" t="s">
        <v>901</v>
      </c>
      <c r="H195" s="9" t="s">
        <v>901</v>
      </c>
    </row>
    <row r="196" spans="1:20">
      <c r="A196" s="9">
        <v>6</v>
      </c>
      <c r="B196" s="9" t="s">
        <v>5582</v>
      </c>
      <c r="C196" s="9" t="s">
        <v>5583</v>
      </c>
      <c r="D196" s="9" t="s">
        <v>5571</v>
      </c>
      <c r="E196" s="9" t="s">
        <v>5572</v>
      </c>
      <c r="F196" s="9" t="s">
        <v>67</v>
      </c>
      <c r="G196" s="9" t="s">
        <v>5584</v>
      </c>
      <c r="H196" s="9" t="s">
        <v>1242</v>
      </c>
    </row>
    <row r="197" spans="1:20">
      <c r="A197" s="9">
        <v>7</v>
      </c>
      <c r="B197" s="9" t="s">
        <v>5585</v>
      </c>
      <c r="C197" s="9" t="s">
        <v>5586</v>
      </c>
      <c r="D197" s="9" t="s">
        <v>5571</v>
      </c>
      <c r="E197" s="9" t="s">
        <v>5572</v>
      </c>
      <c r="F197" s="9" t="s">
        <v>67</v>
      </c>
      <c r="G197" s="9" t="s">
        <v>5587</v>
      </c>
      <c r="H197" s="9" t="s">
        <v>5588</v>
      </c>
    </row>
    <row r="198" spans="1:20">
      <c r="A198" s="9">
        <v>8</v>
      </c>
      <c r="B198" s="9" t="s">
        <v>5589</v>
      </c>
      <c r="C198" s="9" t="s">
        <v>5590</v>
      </c>
      <c r="D198" s="9" t="s">
        <v>5591</v>
      </c>
      <c r="E198" s="9" t="s">
        <v>5572</v>
      </c>
      <c r="F198" s="9" t="s">
        <v>67</v>
      </c>
      <c r="G198" s="9" t="s">
        <v>1019</v>
      </c>
      <c r="H198" s="9" t="s">
        <v>67</v>
      </c>
    </row>
    <row r="199" spans="1:20">
      <c r="A199" s="9">
        <v>9</v>
      </c>
      <c r="B199" s="9" t="s">
        <v>5592</v>
      </c>
      <c r="C199" s="9" t="s">
        <v>5593</v>
      </c>
      <c r="D199" s="9" t="s">
        <v>5571</v>
      </c>
      <c r="E199" s="9" t="s">
        <v>5572</v>
      </c>
      <c r="F199" s="9" t="s">
        <v>67</v>
      </c>
      <c r="G199" s="9" t="s">
        <v>5040</v>
      </c>
      <c r="H199" s="9" t="s">
        <v>5594</v>
      </c>
    </row>
    <row r="200" spans="1:20">
      <c r="A200" s="9">
        <v>10</v>
      </c>
      <c r="B200" s="9" t="s">
        <v>5595</v>
      </c>
      <c r="C200" s="9" t="s">
        <v>5596</v>
      </c>
      <c r="D200" s="9" t="s">
        <v>5571</v>
      </c>
      <c r="E200" s="9" t="s">
        <v>5572</v>
      </c>
      <c r="F200" s="9" t="s">
        <v>67</v>
      </c>
      <c r="G200" s="9" t="s">
        <v>5597</v>
      </c>
      <c r="H200" s="9" t="s">
        <v>5598</v>
      </c>
    </row>
    <row r="201" spans="1:20">
      <c r="A201" s="9">
        <v>11</v>
      </c>
      <c r="B201" s="9" t="s">
        <v>5599</v>
      </c>
      <c r="C201" s="9" t="s">
        <v>5600</v>
      </c>
      <c r="D201" s="9" t="s">
        <v>5601</v>
      </c>
      <c r="E201" s="9" t="s">
        <v>5572</v>
      </c>
      <c r="F201" s="9" t="s">
        <v>67</v>
      </c>
      <c r="G201" s="9" t="s">
        <v>1062</v>
      </c>
      <c r="H201" s="9" t="s">
        <v>5602</v>
      </c>
    </row>
    <row r="202" spans="1:20">
      <c r="A202" s="9">
        <v>12</v>
      </c>
      <c r="B202" s="9" t="s">
        <v>5603</v>
      </c>
      <c r="C202" s="9" t="s">
        <v>5604</v>
      </c>
      <c r="D202" s="9" t="s">
        <v>5601</v>
      </c>
      <c r="E202" s="9" t="s">
        <v>5572</v>
      </c>
      <c r="F202" s="9" t="s">
        <v>67</v>
      </c>
      <c r="G202" s="9" t="s">
        <v>1062</v>
      </c>
      <c r="H202" s="9" t="s">
        <v>5602</v>
      </c>
    </row>
    <row r="203" spans="1:20">
      <c r="A203" s="9">
        <v>13</v>
      </c>
      <c r="B203" s="9" t="s">
        <v>5605</v>
      </c>
      <c r="C203" s="9" t="s">
        <v>5606</v>
      </c>
      <c r="D203" s="9" t="s">
        <v>5601</v>
      </c>
      <c r="E203" s="9" t="s">
        <v>5572</v>
      </c>
      <c r="F203" s="9" t="s">
        <v>67</v>
      </c>
      <c r="G203" s="9" t="s">
        <v>5607</v>
      </c>
      <c r="H203" s="9" t="s">
        <v>5608</v>
      </c>
    </row>
    <row r="204" spans="1:20">
      <c r="A204" s="9">
        <v>14</v>
      </c>
      <c r="B204" s="9" t="s">
        <v>5609</v>
      </c>
      <c r="C204" s="9" t="s">
        <v>5610</v>
      </c>
      <c r="D204" s="9" t="s">
        <v>5601</v>
      </c>
      <c r="E204" s="9" t="s">
        <v>5572</v>
      </c>
      <c r="F204" s="9" t="s">
        <v>67</v>
      </c>
      <c r="G204" s="9" t="s">
        <v>5611</v>
      </c>
      <c r="H204" s="9" t="s">
        <v>5612</v>
      </c>
    </row>
    <row r="205" spans="1:20">
      <c r="A205" s="9" t="s">
        <v>110</v>
      </c>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ht="15.5" spans="1:20">
      <c r="A207" s="3" t="s">
        <v>5613</v>
      </c>
      <c r="B207" s="9" t="s">
        <v>1572</v>
      </c>
      <c r="C207" s="2"/>
      <c r="D207" s="2"/>
      <c r="E207" s="2"/>
      <c r="F207" s="2"/>
      <c r="G207" s="2"/>
      <c r="H207" s="2"/>
      <c r="I207" s="2"/>
      <c r="J207" s="2"/>
      <c r="K207" s="2"/>
      <c r="L207" s="2"/>
      <c r="M207" s="2"/>
      <c r="N207" s="2"/>
      <c r="O207" s="2"/>
      <c r="P207" s="2"/>
      <c r="Q207" s="2"/>
      <c r="R207" s="2"/>
      <c r="S207" s="2"/>
      <c r="T207" s="2"/>
    </row>
    <row r="208" ht="15.5" spans="1:20">
      <c r="A208" s="11" t="s">
        <v>46</v>
      </c>
      <c r="B208" s="11" t="s">
        <v>5614</v>
      </c>
      <c r="C208" s="11" t="s">
        <v>5615</v>
      </c>
      <c r="D208" s="11" t="s">
        <v>5616</v>
      </c>
      <c r="E208" s="11" t="s">
        <v>5617</v>
      </c>
      <c r="F208" s="2"/>
      <c r="G208" s="2"/>
      <c r="H208" s="2"/>
      <c r="I208" s="2"/>
      <c r="J208" s="2"/>
      <c r="K208" s="2"/>
      <c r="L208" s="2"/>
      <c r="M208" s="2"/>
      <c r="N208" s="2"/>
      <c r="O208" s="2"/>
      <c r="P208" s="2"/>
      <c r="Q208" s="2"/>
      <c r="R208" s="2"/>
      <c r="S208" s="2"/>
      <c r="T208" s="2"/>
    </row>
    <row r="209" spans="1:20">
      <c r="A209" s="9">
        <v>1</v>
      </c>
      <c r="B209" s="9" t="s">
        <v>5618</v>
      </c>
      <c r="C209" s="9" t="s">
        <v>5618</v>
      </c>
      <c r="D209" s="9" t="s">
        <v>5619</v>
      </c>
      <c r="E209" s="9" t="s">
        <v>5620</v>
      </c>
      <c r="F209" s="2"/>
      <c r="G209" s="2"/>
      <c r="H209" s="2"/>
      <c r="I209" s="2"/>
      <c r="J209" s="2"/>
      <c r="K209" s="2"/>
      <c r="L209" s="2"/>
      <c r="M209" s="2"/>
      <c r="N209" s="2"/>
      <c r="O209" s="2"/>
      <c r="P209" s="2"/>
      <c r="Q209" s="2"/>
      <c r="R209" s="2"/>
      <c r="S209" s="2"/>
      <c r="T209" s="2"/>
    </row>
    <row r="210" spans="1:20">
      <c r="A210" s="9">
        <v>2</v>
      </c>
      <c r="B210" s="9" t="s">
        <v>5621</v>
      </c>
      <c r="C210" s="9" t="s">
        <v>5621</v>
      </c>
      <c r="D210" s="9" t="s">
        <v>5619</v>
      </c>
      <c r="E210" s="9" t="s">
        <v>5620</v>
      </c>
    </row>
    <row r="211" spans="1:20">
      <c r="A211" s="9" t="s">
        <v>110</v>
      </c>
      <c r="B211" s="9"/>
      <c r="C211" s="9"/>
      <c r="D211" s="9"/>
      <c r="E211" s="9"/>
      <c r="F211" s="2"/>
      <c r="G211" s="2"/>
      <c r="H211" s="2"/>
      <c r="I211" s="2"/>
      <c r="J211" s="2"/>
      <c r="K211" s="2"/>
      <c r="L211" s="2"/>
      <c r="M211" s="2"/>
      <c r="N211" s="2"/>
      <c r="O211" s="2"/>
      <c r="P211" s="2"/>
      <c r="Q211" s="2"/>
      <c r="R211" s="2"/>
      <c r="S211" s="2"/>
      <c r="T211" s="2"/>
    </row>
    <row r="212" spans="1:20">
      <c r="A212" s="9"/>
      <c r="B212" s="9"/>
      <c r="C212" s="9"/>
      <c r="D212" s="9"/>
      <c r="E212" s="9"/>
      <c r="F212" s="2"/>
      <c r="G212" s="2"/>
      <c r="H212" s="2"/>
      <c r="I212" s="2"/>
      <c r="J212" s="2"/>
      <c r="K212" s="2"/>
      <c r="L212" s="2"/>
      <c r="M212" s="2"/>
      <c r="N212" s="2"/>
      <c r="O212" s="2"/>
      <c r="P212" s="2"/>
      <c r="Q212" s="2"/>
      <c r="R212" s="2"/>
      <c r="S212" s="2"/>
      <c r="T212" s="2"/>
    </row>
    <row r="213" ht="15.5" spans="1:20">
      <c r="A213" s="3" t="s">
        <v>5622</v>
      </c>
      <c r="B213" s="9" t="s">
        <v>451</v>
      </c>
      <c r="C213" s="2"/>
      <c r="D213" s="2"/>
      <c r="E213" s="2"/>
      <c r="F213" s="2"/>
      <c r="G213" s="2"/>
      <c r="H213" s="2"/>
      <c r="I213" s="2"/>
      <c r="J213" s="2"/>
      <c r="K213" s="2"/>
      <c r="L213" s="2"/>
      <c r="M213" s="2"/>
      <c r="N213" s="2"/>
      <c r="O213" s="2"/>
      <c r="P213" s="2"/>
      <c r="Q213" s="2"/>
      <c r="R213" s="2"/>
      <c r="S213" s="2"/>
      <c r="T213" s="2"/>
    </row>
    <row r="214" ht="15.5" spans="1:20">
      <c r="A214" s="11" t="s">
        <v>46</v>
      </c>
      <c r="B214" s="6" t="s">
        <v>5623</v>
      </c>
      <c r="C214" s="11" t="s">
        <v>5624</v>
      </c>
      <c r="D214" s="11" t="s">
        <v>5625</v>
      </c>
      <c r="E214" s="11" t="s">
        <v>5626</v>
      </c>
      <c r="F214" s="11" t="s">
        <v>5627</v>
      </c>
      <c r="G214" s="11" t="s">
        <v>5628</v>
      </c>
      <c r="H214" s="11" t="s">
        <v>5629</v>
      </c>
      <c r="I214" s="11" t="s">
        <v>5630</v>
      </c>
      <c r="J214" s="11" t="s">
        <v>5631</v>
      </c>
      <c r="K214" s="2"/>
      <c r="L214" s="2"/>
      <c r="M214" s="2"/>
      <c r="N214" s="2"/>
      <c r="O214" s="2"/>
      <c r="P214" s="2"/>
      <c r="Q214" s="2"/>
      <c r="R214" s="2"/>
      <c r="S214" s="2"/>
      <c r="T214" s="2"/>
    </row>
    <row r="215" spans="1:20">
      <c r="A215" s="9" t="s">
        <v>633</v>
      </c>
      <c r="B215" s="9" t="s">
        <v>1782</v>
      </c>
      <c r="C215" s="9" t="s">
        <v>67</v>
      </c>
      <c r="D215" s="9" t="s">
        <v>67</v>
      </c>
      <c r="E215" s="9" t="s">
        <v>5632</v>
      </c>
      <c r="F215" s="9" t="s">
        <v>5633</v>
      </c>
      <c r="G215" s="9" t="s">
        <v>67</v>
      </c>
      <c r="H215" s="9" t="s">
        <v>67</v>
      </c>
      <c r="I215" s="9" t="s">
        <v>67</v>
      </c>
      <c r="J215" s="9" t="s">
        <v>67</v>
      </c>
      <c r="K215" s="2"/>
      <c r="L215" s="2"/>
      <c r="M215" s="2"/>
      <c r="N215" s="2"/>
      <c r="O215" s="2"/>
      <c r="P215" s="2"/>
      <c r="Q215" s="2"/>
      <c r="R215" s="2"/>
      <c r="S215" s="2"/>
      <c r="T215" s="2"/>
    </row>
    <row r="216" spans="1:20">
      <c r="A216" s="9" t="s">
        <v>233</v>
      </c>
      <c r="B216" s="9" t="s">
        <v>5634</v>
      </c>
      <c r="C216" s="9" t="s">
        <v>67</v>
      </c>
      <c r="D216" s="9" t="s">
        <v>625</v>
      </c>
      <c r="E216" s="9" t="s">
        <v>5635</v>
      </c>
      <c r="F216" s="9" t="s">
        <v>5636</v>
      </c>
      <c r="G216" s="9" t="s">
        <v>5637</v>
      </c>
      <c r="H216" s="9" t="s">
        <v>5638</v>
      </c>
      <c r="I216" s="9" t="s">
        <v>5639</v>
      </c>
      <c r="J216" s="9" t="s">
        <v>5640</v>
      </c>
    </row>
    <row r="217" spans="1:20">
      <c r="A217" s="9" t="s">
        <v>636</v>
      </c>
      <c r="B217" s="9" t="s">
        <v>5641</v>
      </c>
      <c r="C217" s="9" t="s">
        <v>67</v>
      </c>
      <c r="D217" s="9" t="s">
        <v>5642</v>
      </c>
      <c r="E217" s="9" t="s">
        <v>5643</v>
      </c>
      <c r="F217" s="9" t="s">
        <v>5644</v>
      </c>
      <c r="G217" s="9" t="s">
        <v>67</v>
      </c>
      <c r="H217" s="9" t="s">
        <v>67</v>
      </c>
      <c r="I217" s="9" t="s">
        <v>67</v>
      </c>
      <c r="J217" s="9" t="s">
        <v>67</v>
      </c>
    </row>
    <row r="218" spans="1:20">
      <c r="A218" s="9" t="s">
        <v>110</v>
      </c>
      <c r="B218" s="9"/>
      <c r="C218" s="9"/>
      <c r="D218" s="9"/>
      <c r="E218" s="9"/>
      <c r="F218" s="9"/>
      <c r="G218" s="2"/>
      <c r="H218" s="2"/>
      <c r="I218" s="2"/>
      <c r="J218" s="2"/>
      <c r="K218" s="2"/>
      <c r="L218" s="2"/>
      <c r="M218" s="2"/>
      <c r="N218" s="2"/>
      <c r="O218" s="2"/>
      <c r="P218" s="2"/>
      <c r="Q218" s="2"/>
      <c r="R218" s="2"/>
      <c r="S218" s="2"/>
      <c r="T218" s="2"/>
    </row>
    <row r="219" spans="1:20">
      <c r="A219" s="9"/>
      <c r="B219" s="9"/>
      <c r="C219" s="9"/>
      <c r="D219" s="9"/>
      <c r="E219" s="9"/>
      <c r="F219" s="2"/>
      <c r="G219" s="2"/>
      <c r="H219" s="2"/>
      <c r="I219" s="2"/>
      <c r="J219" s="2"/>
      <c r="K219" s="2"/>
      <c r="L219" s="2"/>
      <c r="M219" s="2"/>
      <c r="N219" s="2"/>
      <c r="O219" s="2"/>
      <c r="P219" s="2"/>
      <c r="Q219" s="2"/>
      <c r="R219" s="2"/>
      <c r="S219" s="2"/>
      <c r="T219" s="2"/>
    </row>
    <row r="220" ht="15.5" spans="1:20">
      <c r="A220" s="3" t="s">
        <v>5645</v>
      </c>
      <c r="B220" s="9" t="s">
        <v>110</v>
      </c>
      <c r="C220" s="2"/>
      <c r="D220" s="2"/>
      <c r="E220" s="9"/>
      <c r="F220" s="2"/>
      <c r="G220" s="2"/>
      <c r="H220" s="2"/>
      <c r="I220" s="2"/>
      <c r="J220" s="2"/>
      <c r="K220" s="2"/>
      <c r="L220" s="2"/>
      <c r="M220" s="2"/>
      <c r="N220" s="2"/>
      <c r="O220" s="2"/>
      <c r="P220" s="2"/>
      <c r="Q220" s="2"/>
      <c r="R220" s="2"/>
      <c r="S220" s="2"/>
      <c r="T220" s="2"/>
    </row>
    <row r="221" spans="1:20">
      <c r="A221" s="9" t="s">
        <v>110</v>
      </c>
      <c r="B221" s="9"/>
      <c r="C221" s="9"/>
      <c r="D221" s="9"/>
      <c r="E221" s="9"/>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ht="15.5" spans="1:20">
      <c r="A223" s="3" t="s">
        <v>5646</v>
      </c>
      <c r="B223" s="9" t="s">
        <v>110</v>
      </c>
      <c r="C223" s="2"/>
      <c r="D223" s="2"/>
      <c r="E223" s="2"/>
      <c r="F223" s="2"/>
      <c r="G223" s="2"/>
      <c r="H223" s="2"/>
      <c r="I223" s="2"/>
      <c r="J223" s="2"/>
      <c r="K223" s="2"/>
      <c r="L223" s="2"/>
      <c r="M223" s="2"/>
      <c r="N223" s="2"/>
      <c r="O223" s="2"/>
      <c r="P223" s="2"/>
      <c r="Q223" s="2"/>
      <c r="R223" s="2"/>
      <c r="S223" s="2"/>
      <c r="T223" s="2"/>
    </row>
    <row r="224" spans="1:20">
      <c r="A224" s="9" t="s">
        <v>110</v>
      </c>
      <c r="B224" s="9"/>
      <c r="C224" s="9"/>
      <c r="D224" s="9"/>
      <c r="E224" s="9"/>
      <c r="F224" s="9"/>
      <c r="G224" s="9"/>
      <c r="H224" s="9"/>
      <c r="I224" s="9"/>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row r="234" spans="1:20">
      <c r="A234" s="2"/>
      <c r="B234" s="2"/>
      <c r="C234" s="2"/>
      <c r="D234" s="2"/>
      <c r="E234" s="2"/>
      <c r="F234" s="2"/>
      <c r="G234" s="2"/>
      <c r="H234" s="2"/>
      <c r="I234" s="2"/>
      <c r="J234" s="2"/>
      <c r="K234" s="2"/>
      <c r="L234" s="2"/>
      <c r="M234" s="2"/>
      <c r="N234" s="2"/>
      <c r="O234" s="2"/>
      <c r="P234" s="2"/>
      <c r="Q234" s="2"/>
      <c r="R234" s="2"/>
      <c r="S234" s="2"/>
      <c r="T234" s="2"/>
    </row>
    <row r="235" spans="1:20">
      <c r="A235" s="2"/>
      <c r="B235" s="2"/>
      <c r="C235" s="2"/>
      <c r="D235" s="2"/>
      <c r="E235" s="2"/>
      <c r="F235" s="2"/>
      <c r="G235" s="2"/>
      <c r="H235" s="2"/>
      <c r="I235" s="2"/>
      <c r="J235" s="2"/>
      <c r="K235" s="2"/>
      <c r="L235" s="2"/>
      <c r="M235" s="2"/>
      <c r="N235" s="2"/>
      <c r="O235" s="2"/>
      <c r="P235" s="2"/>
      <c r="Q235" s="2"/>
      <c r="R235" s="2"/>
      <c r="S235" s="2"/>
      <c r="T235" s="2"/>
    </row>
    <row r="236" spans="1:20">
      <c r="A236" s="2"/>
      <c r="B236" s="2"/>
      <c r="C236" s="2"/>
      <c r="D236" s="2"/>
      <c r="E236" s="2"/>
      <c r="F236" s="2"/>
      <c r="G236" s="2"/>
      <c r="H236" s="2"/>
      <c r="I236" s="2"/>
      <c r="J236" s="2"/>
      <c r="K236" s="2"/>
      <c r="L236" s="2"/>
      <c r="M236" s="2"/>
      <c r="N236" s="2"/>
      <c r="O236" s="2"/>
      <c r="P236" s="2"/>
      <c r="Q236" s="2"/>
      <c r="R236" s="2"/>
      <c r="S236" s="2"/>
      <c r="T236" s="2"/>
    </row>
    <row r="237" spans="1:20">
      <c r="A237" s="2"/>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spans="1:20">
      <c r="A239" s="2"/>
      <c r="B239" s="2"/>
      <c r="C239" s="2"/>
      <c r="D239" s="2"/>
      <c r="E239" s="2"/>
      <c r="F239" s="2"/>
      <c r="G239" s="2"/>
      <c r="H239" s="2"/>
      <c r="I239" s="2"/>
      <c r="J239" s="2"/>
      <c r="K239" s="2"/>
      <c r="L239" s="2"/>
      <c r="M239" s="2"/>
      <c r="N239" s="2"/>
      <c r="O239" s="2"/>
      <c r="P239" s="2"/>
      <c r="Q239" s="2"/>
      <c r="R239" s="2"/>
      <c r="S239" s="2"/>
      <c r="T239" s="2"/>
    </row>
    <row r="240" spans="1:20">
      <c r="A240" s="2"/>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spans="1:20">
      <c r="A242" s="2"/>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spans="1:20">
      <c r="A245" s="2"/>
      <c r="B245" s="2"/>
      <c r="C245" s="2"/>
      <c r="D245" s="2"/>
      <c r="E245" s="2"/>
      <c r="F245" s="2"/>
      <c r="G245" s="2"/>
      <c r="H245" s="2"/>
      <c r="I245" s="2"/>
      <c r="J245" s="2"/>
      <c r="K245" s="2"/>
      <c r="L245" s="2"/>
      <c r="M245" s="2"/>
      <c r="N245" s="2"/>
      <c r="O245" s="2"/>
      <c r="P245" s="2"/>
      <c r="Q245" s="2"/>
      <c r="R245" s="2"/>
      <c r="S245" s="2"/>
      <c r="T245" s="2"/>
    </row>
    <row r="246" spans="1:20">
      <c r="A246" s="2"/>
      <c r="B246" s="2"/>
      <c r="C246" s="2"/>
      <c r="D246" s="2"/>
      <c r="E246" s="2"/>
      <c r="F246" s="2"/>
      <c r="G246" s="2"/>
      <c r="H246" s="2"/>
      <c r="I246" s="2"/>
      <c r="J246" s="2"/>
      <c r="K246" s="2"/>
      <c r="L246" s="2"/>
      <c r="M246" s="2"/>
      <c r="N246" s="2"/>
      <c r="O246" s="2"/>
      <c r="P246" s="2"/>
      <c r="Q246" s="2"/>
      <c r="R246" s="2"/>
      <c r="S246" s="2"/>
      <c r="T246" s="2"/>
    </row>
    <row r="247" spans="1:20">
      <c r="A247" s="2"/>
      <c r="B247" s="2"/>
      <c r="C247" s="2"/>
      <c r="D247" s="2"/>
      <c r="E247" s="2"/>
      <c r="F247" s="2"/>
      <c r="G247" s="2"/>
      <c r="H247" s="2"/>
      <c r="I247" s="2"/>
      <c r="J247" s="2"/>
      <c r="K247" s="2"/>
      <c r="L247" s="2"/>
      <c r="M247" s="2"/>
      <c r="N247" s="2"/>
      <c r="O247" s="2"/>
      <c r="P247" s="2"/>
      <c r="Q247" s="2"/>
      <c r="R247" s="2"/>
      <c r="S247" s="2"/>
      <c r="T247" s="2"/>
    </row>
    <row r="248" spans="1:20">
      <c r="A248" s="2"/>
      <c r="B248" s="2"/>
      <c r="C248" s="2"/>
      <c r="D248" s="2"/>
      <c r="E248" s="2"/>
      <c r="F248" s="2"/>
      <c r="G248" s="2"/>
      <c r="H248" s="2"/>
      <c r="I248" s="2"/>
      <c r="J248" s="2"/>
      <c r="K248" s="2"/>
      <c r="L248" s="2"/>
      <c r="M248" s="2"/>
      <c r="N248" s="2"/>
      <c r="O248" s="2"/>
      <c r="P248" s="2"/>
      <c r="Q248" s="2"/>
      <c r="R248" s="2"/>
      <c r="S248" s="2"/>
      <c r="T248" s="2"/>
    </row>
    <row r="249" spans="1:20">
      <c r="A249" s="2"/>
      <c r="B249" s="2"/>
      <c r="C249" s="2"/>
      <c r="D249" s="2"/>
      <c r="E249" s="2"/>
      <c r="F249" s="2"/>
      <c r="G249" s="2"/>
      <c r="H249" s="2"/>
      <c r="I249" s="2"/>
      <c r="J249" s="2"/>
      <c r="K249" s="2"/>
      <c r="L249" s="2"/>
      <c r="M249" s="2"/>
      <c r="N249" s="2"/>
      <c r="O249" s="2"/>
      <c r="P249" s="2"/>
      <c r="Q249" s="2"/>
      <c r="R249" s="2"/>
      <c r="S249" s="2"/>
      <c r="T249" s="2"/>
    </row>
    <row r="250" spans="1:20">
      <c r="A250" s="2"/>
      <c r="B250" s="2"/>
      <c r="C250" s="2"/>
      <c r="D250" s="2"/>
      <c r="E250" s="2"/>
      <c r="F250" s="2"/>
      <c r="G250" s="2"/>
      <c r="H250" s="2"/>
      <c r="I250" s="2"/>
      <c r="J250" s="2"/>
      <c r="K250" s="2"/>
      <c r="L250" s="2"/>
      <c r="M250" s="2"/>
      <c r="N250" s="2"/>
      <c r="O250" s="2"/>
      <c r="P250" s="2"/>
      <c r="Q250" s="2"/>
      <c r="R250" s="2"/>
      <c r="S250" s="2"/>
      <c r="T250" s="2"/>
    </row>
    <row r="251" spans="1:20">
      <c r="A251" s="2"/>
      <c r="B251" s="2"/>
      <c r="C251" s="2"/>
      <c r="D251" s="2"/>
      <c r="E251" s="2"/>
      <c r="F251" s="2"/>
      <c r="G251" s="2"/>
      <c r="H251" s="2"/>
      <c r="I251" s="2"/>
      <c r="J251" s="2"/>
      <c r="K251" s="2"/>
      <c r="L251" s="2"/>
      <c r="M251" s="2"/>
      <c r="N251" s="2"/>
      <c r="O251" s="2"/>
      <c r="P251" s="2"/>
      <c r="Q251" s="2"/>
      <c r="R251" s="2"/>
      <c r="S251" s="2"/>
      <c r="T251" s="2"/>
    </row>
    <row r="252" spans="1:20">
      <c r="A252" s="2"/>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spans="1:20">
      <c r="A254" s="2"/>
      <c r="B254" s="2"/>
      <c r="C254" s="2"/>
      <c r="D254" s="2"/>
      <c r="E254" s="2"/>
      <c r="F254" s="2"/>
      <c r="G254" s="2"/>
      <c r="H254" s="2"/>
      <c r="I254" s="2"/>
      <c r="J254" s="2"/>
      <c r="K254" s="2"/>
      <c r="L254" s="2"/>
      <c r="M254" s="2"/>
      <c r="N254" s="2"/>
      <c r="O254" s="2"/>
      <c r="P254" s="2"/>
      <c r="Q254" s="2"/>
      <c r="R254" s="2"/>
      <c r="S254" s="2"/>
      <c r="T254" s="2"/>
    </row>
    <row r="255" spans="1:20">
      <c r="A255" s="2"/>
      <c r="B255" s="2"/>
      <c r="C255" s="2"/>
      <c r="D255" s="2"/>
      <c r="E255" s="2"/>
      <c r="F255" s="2"/>
      <c r="G255" s="2"/>
      <c r="H255" s="2"/>
      <c r="I255" s="2"/>
      <c r="J255" s="2"/>
      <c r="K255" s="2"/>
      <c r="L255" s="2"/>
      <c r="M255" s="2"/>
      <c r="N255" s="2"/>
      <c r="O255" s="2"/>
      <c r="P255" s="2"/>
      <c r="Q255" s="2"/>
      <c r="R255" s="2"/>
      <c r="S255" s="2"/>
      <c r="T255" s="2"/>
    </row>
    <row r="256" spans="1:20">
      <c r="A256" s="2"/>
      <c r="B256" s="2"/>
      <c r="C256" s="2"/>
      <c r="D256" s="2"/>
      <c r="E256" s="2"/>
      <c r="F256" s="2"/>
      <c r="G256" s="2"/>
      <c r="H256" s="2"/>
      <c r="I256" s="2"/>
      <c r="J256" s="2"/>
      <c r="K256" s="2"/>
      <c r="L256" s="2"/>
      <c r="M256" s="2"/>
      <c r="N256" s="2"/>
      <c r="O256" s="2"/>
      <c r="P256" s="2"/>
      <c r="Q256" s="2"/>
      <c r="R256" s="2"/>
      <c r="S256" s="2"/>
      <c r="T256" s="2"/>
    </row>
    <row r="257" spans="1:20">
      <c r="A257" s="2"/>
      <c r="B257" s="2"/>
      <c r="C257" s="2"/>
      <c r="D257" s="2"/>
      <c r="E257" s="2"/>
      <c r="F257" s="2"/>
      <c r="G257" s="2"/>
      <c r="H257" s="2"/>
      <c r="I257" s="2"/>
      <c r="J257" s="2"/>
      <c r="K257" s="2"/>
      <c r="L257" s="2"/>
      <c r="M257" s="2"/>
      <c r="N257" s="2"/>
      <c r="O257" s="2"/>
      <c r="P257" s="2"/>
      <c r="Q257" s="2"/>
      <c r="R257" s="2"/>
      <c r="S257" s="2"/>
      <c r="T257" s="2"/>
    </row>
    <row r="258" spans="1:20">
      <c r="A258" s="2"/>
      <c r="B258" s="2"/>
      <c r="C258" s="2"/>
      <c r="D258" s="2"/>
      <c r="E258" s="2"/>
      <c r="F258" s="2"/>
      <c r="G258" s="2"/>
      <c r="H258" s="2"/>
      <c r="I258" s="2"/>
      <c r="J258" s="2"/>
      <c r="K258" s="2"/>
      <c r="L258" s="2"/>
      <c r="M258" s="2"/>
      <c r="N258" s="2"/>
      <c r="O258" s="2"/>
      <c r="P258" s="2"/>
      <c r="Q258" s="2"/>
      <c r="R258" s="2"/>
      <c r="S258" s="2"/>
      <c r="T258" s="2"/>
    </row>
    <row r="259" spans="1:20">
      <c r="A259" s="2"/>
      <c r="B259" s="2"/>
      <c r="C259" s="2"/>
      <c r="D259" s="2"/>
      <c r="E259" s="2"/>
      <c r="F259" s="2"/>
      <c r="G259" s="2"/>
      <c r="H259" s="2"/>
      <c r="I259" s="2"/>
      <c r="J259" s="2"/>
      <c r="K259" s="2"/>
      <c r="L259" s="2"/>
      <c r="M259" s="2"/>
      <c r="N259" s="2"/>
      <c r="O259" s="2"/>
      <c r="P259" s="2"/>
      <c r="Q259" s="2"/>
      <c r="R259" s="2"/>
      <c r="S259" s="2"/>
      <c r="T259" s="2"/>
    </row>
    <row r="260" spans="1:20">
      <c r="A260" s="2"/>
      <c r="B260" s="2"/>
      <c r="C260" s="2"/>
      <c r="D260" s="2"/>
      <c r="E260" s="2"/>
      <c r="F260" s="2"/>
      <c r="G260" s="2"/>
      <c r="H260" s="2"/>
      <c r="I260" s="2"/>
      <c r="J260" s="2"/>
      <c r="K260" s="2"/>
      <c r="L260" s="2"/>
      <c r="M260" s="2"/>
      <c r="N260" s="2"/>
      <c r="O260" s="2"/>
      <c r="P260" s="2"/>
      <c r="Q260" s="2"/>
      <c r="R260" s="2"/>
      <c r="S260" s="2"/>
      <c r="T260" s="2"/>
    </row>
    <row r="261" spans="1:20">
      <c r="A261" s="2"/>
      <c r="B261" s="2"/>
      <c r="C261" s="2"/>
      <c r="D261" s="2"/>
      <c r="E261" s="2"/>
      <c r="F261" s="2"/>
      <c r="G261" s="2"/>
      <c r="H261" s="2"/>
      <c r="I261" s="2"/>
      <c r="J261" s="2"/>
      <c r="K261" s="2"/>
      <c r="L261" s="2"/>
      <c r="M261" s="2"/>
      <c r="N261" s="2"/>
      <c r="O261" s="2"/>
      <c r="P261" s="2"/>
      <c r="Q261" s="2"/>
      <c r="R261" s="2"/>
      <c r="S261" s="2"/>
      <c r="T261" s="2"/>
    </row>
    <row r="262" spans="1:20">
      <c r="A262" s="2"/>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row r="264" spans="1:20">
      <c r="A264" s="2"/>
      <c r="B264" s="2"/>
      <c r="C264" s="2"/>
      <c r="D264" s="2"/>
      <c r="E264" s="2"/>
      <c r="F264" s="2"/>
      <c r="G264" s="2"/>
      <c r="H264" s="2"/>
      <c r="I264" s="2"/>
      <c r="J264" s="2"/>
      <c r="K264" s="2"/>
      <c r="L264" s="2"/>
      <c r="M264" s="2"/>
      <c r="N264" s="2"/>
      <c r="O264" s="2"/>
      <c r="P264" s="2"/>
      <c r="Q264" s="2"/>
      <c r="R264" s="2"/>
      <c r="S264" s="2"/>
      <c r="T264" s="2"/>
    </row>
    <row r="265" spans="1:20">
      <c r="A265" s="2"/>
      <c r="B265" s="2"/>
      <c r="C265" s="2"/>
      <c r="D265" s="2"/>
      <c r="E265" s="2"/>
      <c r="F265" s="2"/>
      <c r="G265" s="2"/>
      <c r="H265" s="2"/>
      <c r="I265" s="2"/>
      <c r="J265" s="2"/>
      <c r="K265" s="2"/>
      <c r="L265" s="2"/>
      <c r="M265" s="2"/>
      <c r="N265" s="2"/>
      <c r="O265" s="2"/>
      <c r="P265" s="2"/>
      <c r="Q265" s="2"/>
      <c r="R265" s="2"/>
      <c r="S265" s="2"/>
      <c r="T265" s="2"/>
    </row>
    <row r="266" spans="1:20">
      <c r="A266" s="2"/>
      <c r="B266" s="2"/>
      <c r="C266" s="2"/>
      <c r="D266" s="2"/>
      <c r="E266" s="2"/>
      <c r="F266" s="2"/>
      <c r="G266" s="2"/>
      <c r="H266" s="2"/>
      <c r="I266" s="2"/>
      <c r="J266" s="2"/>
      <c r="K266" s="2"/>
      <c r="L266" s="2"/>
      <c r="M266" s="2"/>
      <c r="N266" s="2"/>
      <c r="O266" s="2"/>
      <c r="P266" s="2"/>
      <c r="Q266" s="2"/>
      <c r="R266" s="2"/>
      <c r="S266" s="2"/>
      <c r="T266" s="2"/>
    </row>
    <row r="267" spans="1:20">
      <c r="A267" s="2"/>
      <c r="B267" s="2"/>
      <c r="C267" s="2"/>
      <c r="D267" s="2"/>
      <c r="E267" s="2"/>
      <c r="F267" s="2"/>
      <c r="G267" s="2"/>
      <c r="H267" s="2"/>
      <c r="I267" s="2"/>
      <c r="J267" s="2"/>
      <c r="K267" s="2"/>
      <c r="L267" s="2"/>
      <c r="M267" s="2"/>
      <c r="N267" s="2"/>
      <c r="O267" s="2"/>
      <c r="P267" s="2"/>
      <c r="Q267" s="2"/>
      <c r="R267" s="2"/>
      <c r="S267" s="2"/>
      <c r="T267" s="2"/>
    </row>
    <row r="268" spans="1:20">
      <c r="A268" s="2"/>
      <c r="B268" s="2"/>
      <c r="C268" s="2"/>
      <c r="D268" s="2"/>
      <c r="E268" s="2"/>
      <c r="F268" s="2"/>
      <c r="G268" s="2"/>
      <c r="H268" s="2"/>
      <c r="I268" s="2"/>
      <c r="J268" s="2"/>
      <c r="K268" s="2"/>
      <c r="L268" s="2"/>
      <c r="M268" s="2"/>
      <c r="N268" s="2"/>
      <c r="O268" s="2"/>
      <c r="P268" s="2"/>
      <c r="Q268" s="2"/>
      <c r="R268" s="2"/>
      <c r="S268" s="2"/>
      <c r="T268" s="2"/>
    </row>
    <row r="269" spans="1:20">
      <c r="A269" s="2"/>
      <c r="B269" s="2"/>
      <c r="C269" s="2"/>
      <c r="D269" s="2"/>
      <c r="E269" s="2"/>
      <c r="F269" s="2"/>
      <c r="G269" s="2"/>
      <c r="H269" s="2"/>
      <c r="I269" s="2"/>
      <c r="J269" s="2"/>
      <c r="K269" s="2"/>
      <c r="L269" s="2"/>
      <c r="M269" s="2"/>
      <c r="N269" s="2"/>
      <c r="O269" s="2"/>
      <c r="P269" s="2"/>
      <c r="Q269" s="2"/>
      <c r="R269" s="2"/>
      <c r="S269" s="2"/>
      <c r="T269" s="2"/>
    </row>
    <row r="270" spans="1:20">
      <c r="A270" s="2"/>
      <c r="B270" s="2"/>
      <c r="C270" s="2"/>
      <c r="D270" s="2"/>
      <c r="E270" s="2"/>
      <c r="F270" s="2"/>
      <c r="G270" s="2"/>
      <c r="H270" s="2"/>
      <c r="I270" s="2"/>
      <c r="J270" s="2"/>
      <c r="K270" s="2"/>
      <c r="L270" s="2"/>
      <c r="M270" s="2"/>
      <c r="N270" s="2"/>
      <c r="O270" s="2"/>
      <c r="P270" s="2"/>
      <c r="Q270" s="2"/>
      <c r="R270" s="2"/>
      <c r="S270" s="2"/>
      <c r="T270" s="2"/>
    </row>
    <row r="271" spans="1:20">
      <c r="A271" s="2"/>
      <c r="B271" s="2"/>
      <c r="C271" s="2"/>
      <c r="D271" s="2"/>
      <c r="E271" s="2"/>
      <c r="F271" s="2"/>
      <c r="G271" s="2"/>
      <c r="H271" s="2"/>
      <c r="I271" s="2"/>
      <c r="J271" s="2"/>
      <c r="K271" s="2"/>
      <c r="L271" s="2"/>
      <c r="M271" s="2"/>
      <c r="N271" s="2"/>
      <c r="O271" s="2"/>
      <c r="P271" s="2"/>
      <c r="Q271" s="2"/>
      <c r="R271" s="2"/>
      <c r="S271" s="2"/>
      <c r="T271" s="2"/>
    </row>
    <row r="272" spans="1:20">
      <c r="A272" s="2"/>
      <c r="B272" s="2"/>
      <c r="C272" s="2"/>
      <c r="D272" s="2"/>
      <c r="E272" s="2"/>
      <c r="F272" s="2"/>
      <c r="G272" s="2"/>
      <c r="H272" s="2"/>
      <c r="I272" s="2"/>
      <c r="J272" s="2"/>
      <c r="K272" s="2"/>
      <c r="L272" s="2"/>
      <c r="M272" s="2"/>
      <c r="N272" s="2"/>
      <c r="O272" s="2"/>
      <c r="P272" s="2"/>
      <c r="Q272" s="2"/>
      <c r="R272" s="2"/>
      <c r="S272" s="2"/>
      <c r="T272" s="2"/>
    </row>
    <row r="273" spans="1:20">
      <c r="A273" s="2"/>
      <c r="B273" s="2"/>
      <c r="C273" s="2"/>
      <c r="D273" s="2"/>
      <c r="E273" s="2"/>
      <c r="F273" s="2"/>
      <c r="G273" s="2"/>
      <c r="H273" s="2"/>
      <c r="I273" s="2"/>
      <c r="J273" s="2"/>
      <c r="K273" s="2"/>
      <c r="L273" s="2"/>
      <c r="M273" s="2"/>
      <c r="N273" s="2"/>
      <c r="O273" s="2"/>
      <c r="P273" s="2"/>
      <c r="Q273" s="2"/>
      <c r="R273" s="2"/>
      <c r="S273" s="2"/>
      <c r="T273" s="2"/>
    </row>
    <row r="274" spans="1:20">
      <c r="A274" s="2"/>
      <c r="B274" s="2"/>
      <c r="C274" s="2"/>
      <c r="D274" s="2"/>
      <c r="E274" s="2"/>
      <c r="F274" s="2"/>
      <c r="G274" s="2"/>
      <c r="H274" s="2"/>
      <c r="I274" s="2"/>
      <c r="J274" s="2"/>
      <c r="K274" s="2"/>
      <c r="L274" s="2"/>
      <c r="M274" s="2"/>
      <c r="N274" s="2"/>
      <c r="O274" s="2"/>
      <c r="P274" s="2"/>
      <c r="Q274" s="2"/>
      <c r="R274" s="2"/>
      <c r="S274" s="2"/>
      <c r="T274" s="2"/>
    </row>
    <row r="275" spans="1:20">
      <c r="A275" s="2"/>
      <c r="B275" s="2"/>
      <c r="C275" s="2"/>
      <c r="D275" s="2"/>
      <c r="E275" s="2"/>
      <c r="F275" s="2"/>
      <c r="G275" s="2"/>
      <c r="H275" s="2"/>
      <c r="I275" s="2"/>
      <c r="J275" s="2"/>
      <c r="K275" s="2"/>
      <c r="L275" s="2"/>
      <c r="M275" s="2"/>
      <c r="N275" s="2"/>
      <c r="O275" s="2"/>
      <c r="P275" s="2"/>
      <c r="Q275" s="2"/>
      <c r="R275" s="2"/>
      <c r="S275" s="2"/>
      <c r="T275" s="2"/>
    </row>
    <row r="276" spans="1:20">
      <c r="A276" s="2"/>
      <c r="B276" s="2"/>
      <c r="C276" s="2"/>
      <c r="D276" s="2"/>
      <c r="E276" s="2"/>
      <c r="F276" s="2"/>
      <c r="G276" s="2"/>
      <c r="H276" s="2"/>
      <c r="I276" s="2"/>
      <c r="J276" s="2"/>
      <c r="K276" s="2"/>
      <c r="L276" s="2"/>
      <c r="M276" s="2"/>
      <c r="N276" s="2"/>
      <c r="O276" s="2"/>
      <c r="P276" s="2"/>
      <c r="Q276" s="2"/>
      <c r="R276" s="2"/>
      <c r="S276" s="2"/>
      <c r="T276" s="2"/>
    </row>
    <row r="277" spans="1:20">
      <c r="A277" s="2"/>
      <c r="B277" s="2"/>
      <c r="C277" s="2"/>
      <c r="D277" s="2"/>
      <c r="E277" s="2"/>
      <c r="F277" s="2"/>
      <c r="G277" s="2"/>
      <c r="H277" s="2"/>
      <c r="I277" s="2"/>
      <c r="J277" s="2"/>
      <c r="K277" s="2"/>
      <c r="L277" s="2"/>
      <c r="M277" s="2"/>
      <c r="N277" s="2"/>
      <c r="O277" s="2"/>
      <c r="P277" s="2"/>
      <c r="Q277" s="2"/>
      <c r="R277" s="2"/>
      <c r="S277" s="2"/>
      <c r="T277" s="2"/>
    </row>
    <row r="278" spans="1:20">
      <c r="A278" s="2"/>
      <c r="B278" s="2"/>
      <c r="C278" s="2"/>
      <c r="D278" s="2"/>
      <c r="E278" s="2"/>
      <c r="F278" s="2"/>
      <c r="G278" s="2"/>
      <c r="H278" s="2"/>
      <c r="I278" s="2"/>
      <c r="J278" s="2"/>
      <c r="K278" s="2"/>
      <c r="L278" s="2"/>
      <c r="M278" s="2"/>
      <c r="N278" s="2"/>
      <c r="O278" s="2"/>
      <c r="P278" s="2"/>
      <c r="Q278" s="2"/>
      <c r="R278" s="2"/>
      <c r="S278" s="2"/>
      <c r="T278" s="2"/>
    </row>
    <row r="279" spans="1:20">
      <c r="A279" s="2"/>
      <c r="B279" s="2"/>
      <c r="C279" s="2"/>
      <c r="D279" s="2"/>
      <c r="E279" s="2"/>
      <c r="F279" s="2"/>
      <c r="G279" s="2"/>
      <c r="H279" s="2"/>
      <c r="I279" s="2"/>
      <c r="J279" s="2"/>
      <c r="K279" s="2"/>
      <c r="L279" s="2"/>
      <c r="M279" s="2"/>
      <c r="N279" s="2"/>
      <c r="O279" s="2"/>
      <c r="P279" s="2"/>
      <c r="Q279" s="2"/>
      <c r="R279" s="2"/>
      <c r="S279" s="2"/>
      <c r="T279" s="2"/>
    </row>
    <row r="280" spans="1:20">
      <c r="A280" s="2"/>
      <c r="B280" s="2"/>
      <c r="C280" s="2"/>
      <c r="D280" s="2"/>
      <c r="E280" s="2"/>
      <c r="F280" s="2"/>
      <c r="G280" s="2"/>
      <c r="H280" s="2"/>
      <c r="I280" s="2"/>
      <c r="J280" s="2"/>
      <c r="K280" s="2"/>
      <c r="L280" s="2"/>
      <c r="M280" s="2"/>
      <c r="N280" s="2"/>
      <c r="O280" s="2"/>
      <c r="P280" s="2"/>
      <c r="Q280" s="2"/>
      <c r="R280" s="2"/>
      <c r="S280" s="2"/>
      <c r="T280" s="2"/>
    </row>
    <row r="281" spans="1:20">
      <c r="A281" s="2"/>
      <c r="B281" s="2"/>
      <c r="C281" s="2"/>
      <c r="D281" s="2"/>
      <c r="E281" s="2"/>
      <c r="F281" s="2"/>
      <c r="G281" s="2"/>
      <c r="H281" s="2"/>
      <c r="I281" s="2"/>
      <c r="J281" s="2"/>
      <c r="K281" s="2"/>
      <c r="L281" s="2"/>
      <c r="M281" s="2"/>
      <c r="N281" s="2"/>
      <c r="O281" s="2"/>
      <c r="P281" s="2"/>
      <c r="Q281" s="2"/>
      <c r="R281" s="2"/>
      <c r="S281" s="2"/>
      <c r="T281" s="2"/>
    </row>
    <row r="282" spans="1:20">
      <c r="A282" s="2"/>
      <c r="B282" s="2"/>
      <c r="C282" s="2"/>
      <c r="D282" s="2"/>
      <c r="E282" s="2"/>
      <c r="F282" s="2"/>
      <c r="G282" s="2"/>
      <c r="H282" s="2"/>
      <c r="I282" s="2"/>
      <c r="J282" s="2"/>
      <c r="K282" s="2"/>
      <c r="L282" s="2"/>
      <c r="M282" s="2"/>
      <c r="N282" s="2"/>
      <c r="O282" s="2"/>
      <c r="P282" s="2"/>
      <c r="Q282" s="2"/>
      <c r="R282" s="2"/>
      <c r="S282" s="2"/>
      <c r="T282" s="2"/>
    </row>
    <row r="283" spans="1:20">
      <c r="A283" s="2"/>
      <c r="B283" s="2"/>
      <c r="C283" s="2"/>
      <c r="D283" s="2"/>
      <c r="E283" s="2"/>
      <c r="F283" s="2"/>
      <c r="G283" s="2"/>
      <c r="H283" s="2"/>
      <c r="I283" s="2"/>
      <c r="J283" s="2"/>
      <c r="K283" s="2"/>
      <c r="L283" s="2"/>
      <c r="M283" s="2"/>
      <c r="N283" s="2"/>
      <c r="O283" s="2"/>
      <c r="P283" s="2"/>
      <c r="Q283" s="2"/>
      <c r="R283" s="2"/>
      <c r="S283" s="2"/>
      <c r="T283" s="2"/>
    </row>
    <row r="284" spans="1:20">
      <c r="A284" s="2"/>
      <c r="B284" s="2"/>
      <c r="C284" s="2"/>
      <c r="D284" s="2"/>
      <c r="E284" s="2"/>
      <c r="F284" s="2"/>
      <c r="G284" s="2"/>
      <c r="H284" s="2"/>
      <c r="I284" s="2"/>
      <c r="J284" s="2"/>
      <c r="K284" s="2"/>
      <c r="L284" s="2"/>
      <c r="M284" s="2"/>
      <c r="N284" s="2"/>
      <c r="O284" s="2"/>
      <c r="P284" s="2"/>
      <c r="Q284" s="2"/>
      <c r="R284" s="2"/>
      <c r="S284" s="2"/>
      <c r="T284" s="2"/>
    </row>
    <row r="285" spans="1:20">
      <c r="A285" s="2"/>
      <c r="B285" s="2"/>
      <c r="C285" s="2"/>
      <c r="D285" s="2"/>
      <c r="E285" s="2"/>
      <c r="F285" s="2"/>
      <c r="G285" s="2"/>
      <c r="H285" s="2"/>
      <c r="I285" s="2"/>
      <c r="J285" s="2"/>
      <c r="K285" s="2"/>
      <c r="L285" s="2"/>
      <c r="M285" s="2"/>
      <c r="N285" s="2"/>
      <c r="O285" s="2"/>
      <c r="P285" s="2"/>
      <c r="Q285" s="2"/>
      <c r="R285" s="2"/>
      <c r="S285" s="2"/>
      <c r="T285" s="2"/>
    </row>
    <row r="286" spans="1:20">
      <c r="A286" s="2"/>
      <c r="B286" s="2"/>
      <c r="C286" s="2"/>
      <c r="D286" s="2"/>
      <c r="E286" s="2"/>
      <c r="F286" s="2"/>
      <c r="G286" s="2"/>
      <c r="H286" s="2"/>
      <c r="I286" s="2"/>
      <c r="J286" s="2"/>
      <c r="K286" s="2"/>
      <c r="L286" s="2"/>
      <c r="M286" s="2"/>
      <c r="N286" s="2"/>
      <c r="O286" s="2"/>
      <c r="P286" s="2"/>
      <c r="Q286" s="2"/>
      <c r="R286" s="2"/>
      <c r="S286" s="2"/>
      <c r="T286" s="2"/>
    </row>
    <row r="287" spans="1:20">
      <c r="A287" s="2"/>
      <c r="B287" s="2"/>
      <c r="C287" s="2"/>
      <c r="D287" s="2"/>
      <c r="E287" s="2"/>
      <c r="F287" s="2"/>
      <c r="G287" s="2"/>
      <c r="H287" s="2"/>
      <c r="I287" s="2"/>
      <c r="J287" s="2"/>
      <c r="K287" s="2"/>
      <c r="L287" s="2"/>
      <c r="M287" s="2"/>
      <c r="N287" s="2"/>
      <c r="O287" s="2"/>
      <c r="P287" s="2"/>
      <c r="Q287" s="2"/>
      <c r="R287" s="2"/>
      <c r="S287" s="2"/>
      <c r="T287" s="2"/>
    </row>
    <row r="288" spans="1:20">
      <c r="A288" s="2"/>
      <c r="B288" s="2"/>
      <c r="C288" s="2"/>
      <c r="D288" s="2"/>
      <c r="E288" s="2"/>
      <c r="F288" s="2"/>
      <c r="G288" s="2"/>
      <c r="H288" s="2"/>
      <c r="I288" s="2"/>
      <c r="J288" s="2"/>
      <c r="K288" s="2"/>
      <c r="L288" s="2"/>
      <c r="M288" s="2"/>
      <c r="N288" s="2"/>
      <c r="O288" s="2"/>
      <c r="P288" s="2"/>
      <c r="Q288" s="2"/>
      <c r="R288" s="2"/>
      <c r="S288" s="2"/>
      <c r="T288" s="2"/>
    </row>
    <row r="289" spans="1:20">
      <c r="A289" s="2"/>
      <c r="B289" s="2"/>
      <c r="C289" s="2"/>
      <c r="D289" s="2"/>
      <c r="E289" s="2"/>
      <c r="F289" s="2"/>
      <c r="G289" s="2"/>
      <c r="H289" s="2"/>
      <c r="I289" s="2"/>
      <c r="J289" s="2"/>
      <c r="K289" s="2"/>
      <c r="L289" s="2"/>
      <c r="M289" s="2"/>
      <c r="N289" s="2"/>
      <c r="O289" s="2"/>
      <c r="P289" s="2"/>
      <c r="Q289" s="2"/>
      <c r="R289" s="2"/>
      <c r="S289" s="2"/>
      <c r="T289" s="2"/>
    </row>
    <row r="290" spans="1:20">
      <c r="A290" s="2"/>
      <c r="B290" s="2"/>
      <c r="C290" s="2"/>
      <c r="D290" s="2"/>
      <c r="E290" s="2"/>
      <c r="F290" s="2"/>
      <c r="G290" s="2"/>
      <c r="H290" s="2"/>
      <c r="I290" s="2"/>
      <c r="J290" s="2"/>
      <c r="K290" s="2"/>
      <c r="L290" s="2"/>
      <c r="M290" s="2"/>
      <c r="N290" s="2"/>
      <c r="O290" s="2"/>
      <c r="P290" s="2"/>
      <c r="Q290" s="2"/>
      <c r="R290" s="2"/>
      <c r="S290" s="2"/>
      <c r="T290" s="2"/>
    </row>
    <row r="291" spans="1:20">
      <c r="A291" s="2"/>
      <c r="B291" s="2"/>
      <c r="C291" s="2"/>
      <c r="D291" s="2"/>
      <c r="E291" s="2"/>
      <c r="F291" s="2"/>
      <c r="G291" s="2"/>
      <c r="H291" s="2"/>
      <c r="I291" s="2"/>
      <c r="J291" s="2"/>
      <c r="K291" s="2"/>
      <c r="L291" s="2"/>
      <c r="M291" s="2"/>
      <c r="N291" s="2"/>
      <c r="O291" s="2"/>
      <c r="P291" s="2"/>
      <c r="Q291" s="2"/>
      <c r="R291" s="2"/>
      <c r="S291" s="2"/>
      <c r="T291" s="2"/>
    </row>
    <row r="292" spans="1:20">
      <c r="A292" s="2"/>
      <c r="B292" s="2"/>
      <c r="C292" s="2"/>
      <c r="D292" s="2"/>
      <c r="E292" s="2"/>
      <c r="F292" s="2"/>
      <c r="G292" s="2"/>
      <c r="H292" s="2"/>
      <c r="I292" s="2"/>
      <c r="J292" s="2"/>
      <c r="K292" s="2"/>
      <c r="L292" s="2"/>
      <c r="M292" s="2"/>
      <c r="N292" s="2"/>
      <c r="O292" s="2"/>
      <c r="P292" s="2"/>
      <c r="Q292" s="2"/>
      <c r="R292" s="2"/>
      <c r="S292" s="2"/>
      <c r="T292" s="2"/>
    </row>
    <row r="293" spans="1:20">
      <c r="A293" s="2"/>
      <c r="B293" s="2"/>
      <c r="C293" s="2"/>
      <c r="D293" s="2"/>
      <c r="E293" s="2"/>
      <c r="F293" s="2"/>
      <c r="G293" s="2"/>
      <c r="H293" s="2"/>
      <c r="I293" s="2"/>
      <c r="J293" s="2"/>
      <c r="K293" s="2"/>
      <c r="L293" s="2"/>
      <c r="M293" s="2"/>
      <c r="N293" s="2"/>
      <c r="O293" s="2"/>
      <c r="P293" s="2"/>
      <c r="Q293" s="2"/>
      <c r="R293" s="2"/>
      <c r="S293" s="2"/>
      <c r="T293" s="2"/>
    </row>
    <row r="294" spans="1:20">
      <c r="A294" s="2"/>
      <c r="B294" s="2"/>
      <c r="C294" s="2"/>
      <c r="D294" s="2"/>
      <c r="E294" s="2"/>
      <c r="F294" s="2"/>
      <c r="G294" s="2"/>
      <c r="H294" s="2"/>
      <c r="I294" s="2"/>
      <c r="J294" s="2"/>
      <c r="K294" s="2"/>
      <c r="L294" s="2"/>
      <c r="M294" s="2"/>
      <c r="N294" s="2"/>
      <c r="O294" s="2"/>
      <c r="P294" s="2"/>
      <c r="Q294" s="2"/>
      <c r="R294" s="2"/>
      <c r="S294" s="2"/>
      <c r="T294" s="2"/>
    </row>
    <row r="295" spans="1:20">
      <c r="A295" s="2"/>
      <c r="B295" s="2"/>
      <c r="C295" s="2"/>
      <c r="D295" s="2"/>
      <c r="E295" s="2"/>
      <c r="F295" s="2"/>
      <c r="G295" s="2"/>
      <c r="H295" s="2"/>
      <c r="I295" s="2"/>
      <c r="J295" s="2"/>
      <c r="K295" s="2"/>
      <c r="L295" s="2"/>
      <c r="M295" s="2"/>
      <c r="N295" s="2"/>
      <c r="O295" s="2"/>
      <c r="P295" s="2"/>
      <c r="Q295" s="2"/>
      <c r="R295" s="2"/>
      <c r="S295" s="2"/>
      <c r="T295" s="2"/>
    </row>
    <row r="296" spans="1:20">
      <c r="A296" s="2"/>
      <c r="B296" s="2"/>
      <c r="C296" s="2"/>
      <c r="D296" s="2"/>
      <c r="E296" s="2"/>
      <c r="F296" s="2"/>
      <c r="G296" s="2"/>
      <c r="H296" s="2"/>
      <c r="I296" s="2"/>
      <c r="J296" s="2"/>
      <c r="K296" s="2"/>
      <c r="L296" s="2"/>
      <c r="M296" s="2"/>
      <c r="N296" s="2"/>
      <c r="O296" s="2"/>
      <c r="P296" s="2"/>
      <c r="Q296" s="2"/>
      <c r="R296" s="2"/>
      <c r="S296" s="2"/>
      <c r="T296" s="2"/>
    </row>
    <row r="297" spans="1:20">
      <c r="A297" s="2"/>
      <c r="B297" s="2"/>
      <c r="C297" s="2"/>
      <c r="D297" s="2"/>
      <c r="E297" s="2"/>
      <c r="F297" s="2"/>
      <c r="G297" s="2"/>
      <c r="H297" s="2"/>
      <c r="I297" s="2"/>
      <c r="J297" s="2"/>
      <c r="K297" s="2"/>
      <c r="L297" s="2"/>
      <c r="M297" s="2"/>
      <c r="N297" s="2"/>
      <c r="O297" s="2"/>
      <c r="P297" s="2"/>
      <c r="Q297" s="2"/>
      <c r="R297" s="2"/>
      <c r="S297" s="2"/>
      <c r="T297" s="2"/>
    </row>
    <row r="298" spans="1:20">
      <c r="A298" s="2"/>
      <c r="B298" s="2"/>
      <c r="C298" s="2"/>
      <c r="D298" s="2"/>
      <c r="E298" s="2"/>
      <c r="F298" s="2"/>
      <c r="G298" s="2"/>
      <c r="H298" s="2"/>
      <c r="I298" s="2"/>
      <c r="J298" s="2"/>
      <c r="K298" s="2"/>
      <c r="L298" s="2"/>
      <c r="M298" s="2"/>
      <c r="N298" s="2"/>
      <c r="O298" s="2"/>
      <c r="P298" s="2"/>
      <c r="Q298" s="2"/>
      <c r="R298" s="2"/>
      <c r="S298" s="2"/>
      <c r="T298" s="2"/>
    </row>
    <row r="299" spans="1:20">
      <c r="A299" s="2"/>
      <c r="B299" s="2"/>
      <c r="C299" s="2"/>
      <c r="D299" s="2"/>
      <c r="E299" s="2"/>
      <c r="F299" s="2"/>
      <c r="G299" s="2"/>
      <c r="H299" s="2"/>
      <c r="I299" s="2"/>
      <c r="J299" s="2"/>
      <c r="K299" s="2"/>
      <c r="L299" s="2"/>
      <c r="M299" s="2"/>
      <c r="N299" s="2"/>
      <c r="O299" s="2"/>
      <c r="P299" s="2"/>
      <c r="Q299" s="2"/>
      <c r="R299" s="2"/>
      <c r="S299" s="2"/>
      <c r="T299" s="2"/>
    </row>
    <row r="300" spans="1:20">
      <c r="A300" s="2"/>
      <c r="B300" s="2"/>
      <c r="C300" s="2"/>
      <c r="D300" s="2"/>
      <c r="E300" s="2"/>
      <c r="F300" s="2"/>
      <c r="G300" s="2"/>
      <c r="H300" s="2"/>
      <c r="I300" s="2"/>
      <c r="J300" s="2"/>
      <c r="K300" s="2"/>
      <c r="L300" s="2"/>
      <c r="M300" s="2"/>
      <c r="N300" s="2"/>
      <c r="O300" s="2"/>
      <c r="P300" s="2"/>
      <c r="Q300" s="2"/>
      <c r="R300" s="2"/>
      <c r="S300" s="2"/>
      <c r="T300" s="2"/>
    </row>
    <row r="301" spans="1:20">
      <c r="A301" s="2"/>
      <c r="B301" s="2"/>
      <c r="C301" s="2"/>
      <c r="D301" s="2"/>
      <c r="E301" s="2"/>
      <c r="F301" s="2"/>
      <c r="G301" s="2"/>
      <c r="H301" s="2"/>
      <c r="I301" s="2"/>
      <c r="J301" s="2"/>
      <c r="K301" s="2"/>
      <c r="L301" s="2"/>
      <c r="M301" s="2"/>
      <c r="N301" s="2"/>
      <c r="O301" s="2"/>
      <c r="P301" s="2"/>
      <c r="Q301" s="2"/>
      <c r="R301" s="2"/>
      <c r="S301" s="2"/>
      <c r="T301" s="2"/>
    </row>
    <row r="302" spans="1:20">
      <c r="A302" s="2"/>
      <c r="B302" s="2"/>
      <c r="C302" s="2"/>
      <c r="D302" s="2"/>
      <c r="E302" s="2"/>
      <c r="F302" s="2"/>
      <c r="G302" s="2"/>
      <c r="H302" s="2"/>
      <c r="I302" s="2"/>
      <c r="J302" s="2"/>
      <c r="K302" s="2"/>
      <c r="L302" s="2"/>
      <c r="M302" s="2"/>
      <c r="N302" s="2"/>
      <c r="O302" s="2"/>
      <c r="P302" s="2"/>
      <c r="Q302" s="2"/>
      <c r="R302" s="2"/>
      <c r="S302" s="2"/>
      <c r="T302" s="2"/>
    </row>
    <row r="303" spans="1:20">
      <c r="A303" s="2"/>
      <c r="B303" s="2"/>
      <c r="C303" s="2"/>
      <c r="D303" s="2"/>
      <c r="E303" s="2"/>
      <c r="F303" s="2"/>
      <c r="G303" s="2"/>
      <c r="H303" s="2"/>
      <c r="I303" s="2"/>
      <c r="J303" s="2"/>
      <c r="K303" s="2"/>
      <c r="L303" s="2"/>
      <c r="M303" s="2"/>
      <c r="N303" s="2"/>
      <c r="O303" s="2"/>
      <c r="P303" s="2"/>
      <c r="Q303" s="2"/>
      <c r="R303" s="2"/>
      <c r="S303" s="2"/>
      <c r="T303" s="2"/>
    </row>
    <row r="304" spans="1:20">
      <c r="A304" s="2"/>
      <c r="B304" s="2"/>
      <c r="C304" s="2"/>
      <c r="D304" s="2"/>
      <c r="E304" s="2"/>
      <c r="F304" s="2"/>
      <c r="G304" s="2"/>
      <c r="H304" s="2"/>
      <c r="I304" s="2"/>
      <c r="J304" s="2"/>
      <c r="K304" s="2"/>
      <c r="L304" s="2"/>
      <c r="M304" s="2"/>
      <c r="N304" s="2"/>
      <c r="O304" s="2"/>
      <c r="P304" s="2"/>
      <c r="Q304" s="2"/>
      <c r="R304" s="2"/>
      <c r="S304" s="2"/>
      <c r="T304" s="2"/>
    </row>
    <row r="305" spans="1:20">
      <c r="A305" s="2"/>
      <c r="B305" s="2"/>
      <c r="C305" s="2"/>
      <c r="D305" s="2"/>
      <c r="E305" s="2"/>
      <c r="F305" s="2"/>
      <c r="G305" s="2"/>
      <c r="H305" s="2"/>
      <c r="I305" s="2"/>
      <c r="J305" s="2"/>
      <c r="K305" s="2"/>
      <c r="L305" s="2"/>
      <c r="M305" s="2"/>
      <c r="N305" s="2"/>
      <c r="O305" s="2"/>
      <c r="P305" s="2"/>
      <c r="Q305" s="2"/>
      <c r="R305" s="2"/>
      <c r="S305" s="2"/>
      <c r="T305" s="2"/>
    </row>
    <row r="306" spans="1:20">
      <c r="A306" s="2"/>
      <c r="B306" s="2"/>
      <c r="C306" s="2"/>
      <c r="D306" s="2"/>
      <c r="E306" s="2"/>
      <c r="F306" s="2"/>
      <c r="G306" s="2"/>
      <c r="H306" s="2"/>
      <c r="I306" s="2"/>
      <c r="J306" s="2"/>
      <c r="K306" s="2"/>
      <c r="L306" s="2"/>
      <c r="M306" s="2"/>
      <c r="N306" s="2"/>
      <c r="O306" s="2"/>
      <c r="P306" s="2"/>
      <c r="Q306" s="2"/>
      <c r="R306" s="2"/>
      <c r="S306" s="2"/>
      <c r="T306" s="2"/>
    </row>
    <row r="307" spans="1:20">
      <c r="A307" s="2"/>
      <c r="B307" s="2"/>
      <c r="C307" s="2"/>
      <c r="D307" s="2"/>
      <c r="E307" s="2"/>
      <c r="F307" s="2"/>
      <c r="G307" s="2"/>
      <c r="H307" s="2"/>
      <c r="I307" s="2"/>
      <c r="J307" s="2"/>
      <c r="K307" s="2"/>
      <c r="L307" s="2"/>
      <c r="M307" s="2"/>
      <c r="N307" s="2"/>
      <c r="O307" s="2"/>
      <c r="P307" s="2"/>
      <c r="Q307" s="2"/>
      <c r="R307" s="2"/>
      <c r="S307" s="2"/>
      <c r="T307" s="2"/>
    </row>
    <row r="308" spans="1:20">
      <c r="A308" s="2"/>
      <c r="B308" s="2"/>
      <c r="C308" s="2"/>
      <c r="D308" s="2"/>
      <c r="E308" s="2"/>
      <c r="F308" s="2"/>
      <c r="G308" s="2"/>
      <c r="H308" s="2"/>
      <c r="I308" s="2"/>
      <c r="J308" s="2"/>
      <c r="K308" s="2"/>
      <c r="L308" s="2"/>
      <c r="M308" s="2"/>
      <c r="N308" s="2"/>
      <c r="O308" s="2"/>
      <c r="P308" s="2"/>
      <c r="Q308" s="2"/>
      <c r="R308" s="2"/>
      <c r="S308" s="2"/>
      <c r="T308" s="2"/>
    </row>
    <row r="309" spans="1:20">
      <c r="A309" s="2"/>
      <c r="B309" s="2"/>
      <c r="C309" s="2"/>
      <c r="D309" s="2"/>
      <c r="E309" s="2"/>
      <c r="F309" s="2"/>
      <c r="G309" s="2"/>
      <c r="H309" s="2"/>
      <c r="I309" s="2"/>
      <c r="J309" s="2"/>
      <c r="K309" s="2"/>
      <c r="L309" s="2"/>
      <c r="M309" s="2"/>
      <c r="N309" s="2"/>
      <c r="O309" s="2"/>
      <c r="P309" s="2"/>
      <c r="Q309" s="2"/>
      <c r="R309" s="2"/>
      <c r="S309" s="2"/>
      <c r="T309" s="2"/>
    </row>
    <row r="310" spans="1:20">
      <c r="A310" s="2"/>
      <c r="B310" s="2"/>
      <c r="C310" s="2"/>
      <c r="D310" s="2"/>
      <c r="E310" s="2"/>
      <c r="F310" s="2"/>
      <c r="G310" s="2"/>
      <c r="H310" s="2"/>
      <c r="I310" s="2"/>
      <c r="J310" s="2"/>
      <c r="K310" s="2"/>
      <c r="L310" s="2"/>
      <c r="M310" s="2"/>
      <c r="N310" s="2"/>
      <c r="O310" s="2"/>
      <c r="P310" s="2"/>
      <c r="Q310" s="2"/>
      <c r="R310" s="2"/>
      <c r="S310" s="2"/>
      <c r="T310" s="2"/>
    </row>
    <row r="311" spans="1:20">
      <c r="A311" s="2"/>
      <c r="B311" s="2"/>
      <c r="C311" s="2"/>
      <c r="D311" s="2"/>
      <c r="E311" s="2"/>
      <c r="F311" s="2"/>
      <c r="G311" s="2"/>
      <c r="H311" s="2"/>
      <c r="I311" s="2"/>
      <c r="J311" s="2"/>
      <c r="K311" s="2"/>
      <c r="L311" s="2"/>
      <c r="M311" s="2"/>
      <c r="N311" s="2"/>
      <c r="O311" s="2"/>
      <c r="P311" s="2"/>
      <c r="Q311" s="2"/>
      <c r="R311" s="2"/>
      <c r="S311" s="2"/>
      <c r="T311" s="2"/>
    </row>
    <row r="312" spans="1:20">
      <c r="A312" s="2"/>
      <c r="B312" s="2"/>
      <c r="C312" s="2"/>
      <c r="D312" s="2"/>
      <c r="E312" s="2"/>
      <c r="F312" s="2"/>
      <c r="G312" s="2"/>
      <c r="H312" s="2"/>
      <c r="I312" s="2"/>
      <c r="J312" s="2"/>
      <c r="K312" s="2"/>
      <c r="L312" s="2"/>
      <c r="M312" s="2"/>
      <c r="N312" s="2"/>
      <c r="O312" s="2"/>
      <c r="P312" s="2"/>
      <c r="Q312" s="2"/>
      <c r="R312" s="2"/>
      <c r="S312" s="2"/>
      <c r="T312" s="2"/>
    </row>
    <row r="313" spans="1:20">
      <c r="A313" s="2"/>
      <c r="B313" s="2"/>
      <c r="C313" s="2"/>
      <c r="D313" s="2"/>
      <c r="E313" s="2"/>
      <c r="F313" s="2"/>
      <c r="G313" s="2"/>
      <c r="H313" s="2"/>
      <c r="I313" s="2"/>
      <c r="J313" s="2"/>
      <c r="K313" s="2"/>
      <c r="L313" s="2"/>
      <c r="M313" s="2"/>
      <c r="N313" s="2"/>
      <c r="O313" s="2"/>
      <c r="P313" s="2"/>
      <c r="Q313" s="2"/>
      <c r="R313" s="2"/>
      <c r="S313" s="2"/>
      <c r="T313" s="2"/>
    </row>
    <row r="314" spans="1:20">
      <c r="A314" s="2"/>
      <c r="B314" s="2"/>
      <c r="C314" s="2"/>
      <c r="D314" s="2"/>
      <c r="E314" s="2"/>
      <c r="F314" s="2"/>
      <c r="G314" s="2"/>
      <c r="H314" s="2"/>
      <c r="I314" s="2"/>
      <c r="J314" s="2"/>
      <c r="K314" s="2"/>
      <c r="L314" s="2"/>
      <c r="M314" s="2"/>
      <c r="N314" s="2"/>
      <c r="O314" s="2"/>
      <c r="P314" s="2"/>
      <c r="Q314" s="2"/>
      <c r="R314" s="2"/>
      <c r="S314" s="2"/>
      <c r="T314" s="2"/>
    </row>
    <row r="315" spans="1:20">
      <c r="A315" s="2"/>
      <c r="B315" s="2"/>
      <c r="C315" s="2"/>
      <c r="D315" s="2"/>
      <c r="E315" s="2"/>
      <c r="F315" s="2"/>
      <c r="G315" s="2"/>
      <c r="H315" s="2"/>
      <c r="I315" s="2"/>
      <c r="J315" s="2"/>
      <c r="K315" s="2"/>
      <c r="L315" s="2"/>
      <c r="M315" s="2"/>
      <c r="N315" s="2"/>
      <c r="O315" s="2"/>
      <c r="P315" s="2"/>
      <c r="Q315" s="2"/>
      <c r="R315" s="2"/>
      <c r="S315" s="2"/>
      <c r="T315" s="2"/>
    </row>
    <row r="316" spans="1:20">
      <c r="A316" s="2"/>
      <c r="B316" s="2"/>
      <c r="C316" s="2"/>
      <c r="D316" s="2"/>
      <c r="E316" s="2"/>
      <c r="F316" s="2"/>
      <c r="G316" s="2"/>
      <c r="H316" s="2"/>
      <c r="I316" s="2"/>
      <c r="J316" s="2"/>
      <c r="K316" s="2"/>
      <c r="L316" s="2"/>
      <c r="M316" s="2"/>
      <c r="N316" s="2"/>
      <c r="O316" s="2"/>
      <c r="P316" s="2"/>
      <c r="Q316" s="2"/>
      <c r="R316" s="2"/>
      <c r="S316" s="2"/>
      <c r="T316" s="2"/>
    </row>
    <row r="317" spans="1:20">
      <c r="A317" s="2"/>
      <c r="B317" s="2"/>
      <c r="C317" s="2"/>
      <c r="D317" s="2"/>
      <c r="E317" s="2"/>
      <c r="F317" s="2"/>
      <c r="G317" s="2"/>
      <c r="H317" s="2"/>
      <c r="I317" s="2"/>
      <c r="J317" s="2"/>
      <c r="K317" s="2"/>
      <c r="L317" s="2"/>
      <c r="M317" s="2"/>
      <c r="N317" s="2"/>
      <c r="O317" s="2"/>
      <c r="P317" s="2"/>
      <c r="Q317" s="2"/>
      <c r="R317" s="2"/>
      <c r="S317" s="2"/>
      <c r="T317" s="2"/>
    </row>
    <row r="318" spans="1:20">
      <c r="A318" s="2"/>
      <c r="B318" s="2"/>
      <c r="C318" s="2"/>
      <c r="D318" s="2"/>
      <c r="E318" s="2"/>
      <c r="F318" s="2"/>
      <c r="G318" s="2"/>
      <c r="H318" s="2"/>
      <c r="I318" s="2"/>
      <c r="J318" s="2"/>
      <c r="K318" s="2"/>
      <c r="L318" s="2"/>
      <c r="M318" s="2"/>
      <c r="N318" s="2"/>
      <c r="O318" s="2"/>
      <c r="P318" s="2"/>
      <c r="Q318" s="2"/>
      <c r="R318" s="2"/>
      <c r="S318" s="2"/>
      <c r="T318" s="2"/>
    </row>
    <row r="319" spans="1:20">
      <c r="A319" s="2"/>
      <c r="B319" s="2"/>
      <c r="C319" s="2"/>
      <c r="D319" s="2"/>
      <c r="E319" s="2"/>
      <c r="F319" s="2"/>
      <c r="G319" s="2"/>
      <c r="H319" s="2"/>
      <c r="I319" s="2"/>
      <c r="J319" s="2"/>
      <c r="K319" s="2"/>
      <c r="L319" s="2"/>
      <c r="M319" s="2"/>
      <c r="N319" s="2"/>
      <c r="O319" s="2"/>
      <c r="P319" s="2"/>
      <c r="Q319" s="2"/>
      <c r="R319" s="2"/>
      <c r="S319" s="2"/>
      <c r="T319" s="2"/>
    </row>
    <row r="320" spans="1:20">
      <c r="A320" s="2"/>
      <c r="B320" s="2"/>
      <c r="C320" s="2"/>
      <c r="D320" s="2"/>
      <c r="E320" s="2"/>
      <c r="F320" s="2"/>
      <c r="G320" s="2"/>
      <c r="H320" s="2"/>
      <c r="I320" s="2"/>
      <c r="J320" s="2"/>
      <c r="K320" s="2"/>
      <c r="L320" s="2"/>
      <c r="M320" s="2"/>
      <c r="N320" s="2"/>
      <c r="O320" s="2"/>
      <c r="P320" s="2"/>
      <c r="Q320" s="2"/>
      <c r="R320" s="2"/>
      <c r="S320" s="2"/>
      <c r="T320" s="2"/>
    </row>
    <row r="321" spans="1:20">
      <c r="A321" s="2"/>
      <c r="B321" s="2"/>
      <c r="C321" s="2"/>
      <c r="D321" s="2"/>
      <c r="E321" s="2"/>
      <c r="F321" s="2"/>
      <c r="G321" s="2"/>
      <c r="H321" s="2"/>
      <c r="I321" s="2"/>
      <c r="J321" s="2"/>
      <c r="K321" s="2"/>
      <c r="L321" s="2"/>
      <c r="M321" s="2"/>
      <c r="N321" s="2"/>
      <c r="O321" s="2"/>
      <c r="P321" s="2"/>
      <c r="Q321" s="2"/>
      <c r="R321" s="2"/>
      <c r="S321" s="2"/>
      <c r="T321" s="2"/>
    </row>
    <row r="322" spans="1:20">
      <c r="A322" s="2"/>
      <c r="B322" s="2"/>
      <c r="C322" s="2"/>
      <c r="D322" s="2"/>
      <c r="E322" s="2"/>
      <c r="F322" s="2"/>
      <c r="G322" s="2"/>
      <c r="H322" s="2"/>
      <c r="I322" s="2"/>
      <c r="J322" s="2"/>
      <c r="K322" s="2"/>
      <c r="L322" s="2"/>
      <c r="M322" s="2"/>
      <c r="N322" s="2"/>
      <c r="O322" s="2"/>
      <c r="P322" s="2"/>
      <c r="Q322" s="2"/>
      <c r="R322" s="2"/>
      <c r="S322" s="2"/>
      <c r="T322" s="2"/>
    </row>
    <row r="323" spans="1:20">
      <c r="A323" s="2"/>
      <c r="B323" s="2"/>
      <c r="C323" s="2"/>
      <c r="D323" s="2"/>
      <c r="E323" s="2"/>
      <c r="F323" s="2"/>
      <c r="G323" s="2"/>
      <c r="H323" s="2"/>
      <c r="I323" s="2"/>
      <c r="J323" s="2"/>
      <c r="K323" s="2"/>
      <c r="L323" s="2"/>
      <c r="M323" s="2"/>
      <c r="N323" s="2"/>
      <c r="O323" s="2"/>
      <c r="P323" s="2"/>
      <c r="Q323" s="2"/>
      <c r="R323" s="2"/>
      <c r="S323" s="2"/>
      <c r="T323" s="2"/>
    </row>
    <row r="324" spans="1:20">
      <c r="A324" s="2"/>
      <c r="B324" s="2"/>
      <c r="C324" s="2"/>
      <c r="D324" s="2"/>
      <c r="E324" s="2"/>
      <c r="F324" s="2"/>
      <c r="G324" s="2"/>
      <c r="H324" s="2"/>
      <c r="I324" s="2"/>
      <c r="J324" s="2"/>
      <c r="K324" s="2"/>
      <c r="L324" s="2"/>
      <c r="M324" s="2"/>
      <c r="N324" s="2"/>
      <c r="O324" s="2"/>
      <c r="P324" s="2"/>
      <c r="Q324" s="2"/>
      <c r="R324" s="2"/>
      <c r="S324" s="2"/>
      <c r="T324" s="2"/>
    </row>
    <row r="325" spans="1:20">
      <c r="A325" s="2"/>
      <c r="B325" s="2"/>
      <c r="C325" s="2"/>
      <c r="D325" s="2"/>
      <c r="E325" s="2"/>
      <c r="F325" s="2"/>
      <c r="G325" s="2"/>
      <c r="H325" s="2"/>
      <c r="I325" s="2"/>
      <c r="J325" s="2"/>
      <c r="K325" s="2"/>
      <c r="L325" s="2"/>
      <c r="M325" s="2"/>
      <c r="N325" s="2"/>
      <c r="O325" s="2"/>
      <c r="P325" s="2"/>
      <c r="Q325" s="2"/>
      <c r="R325" s="2"/>
      <c r="S325" s="2"/>
      <c r="T325" s="2"/>
    </row>
    <row r="326" spans="1:20">
      <c r="A326" s="2"/>
      <c r="B326" s="2"/>
      <c r="C326" s="2"/>
      <c r="D326" s="2"/>
      <c r="E326" s="2"/>
      <c r="F326" s="2"/>
      <c r="G326" s="2"/>
      <c r="H326" s="2"/>
      <c r="I326" s="2"/>
      <c r="J326" s="2"/>
      <c r="K326" s="2"/>
      <c r="L326" s="2"/>
      <c r="M326" s="2"/>
      <c r="N326" s="2"/>
      <c r="O326" s="2"/>
      <c r="P326" s="2"/>
      <c r="Q326" s="2"/>
      <c r="R326" s="2"/>
      <c r="S326" s="2"/>
      <c r="T326" s="2"/>
    </row>
    <row r="327" spans="1:20">
      <c r="A327" s="2"/>
      <c r="B327" s="2"/>
      <c r="C327" s="2"/>
      <c r="D327" s="2"/>
      <c r="E327" s="2"/>
      <c r="F327" s="2"/>
      <c r="G327" s="2"/>
      <c r="H327" s="2"/>
      <c r="I327" s="2"/>
      <c r="J327" s="2"/>
      <c r="K327" s="2"/>
      <c r="L327" s="2"/>
      <c r="M327" s="2"/>
      <c r="N327" s="2"/>
      <c r="O327" s="2"/>
      <c r="P327" s="2"/>
      <c r="Q327" s="2"/>
      <c r="R327" s="2"/>
      <c r="S327" s="2"/>
      <c r="T327" s="2"/>
    </row>
    <row r="328" spans="1:20">
      <c r="A328" s="2"/>
      <c r="B328" s="2"/>
      <c r="C328" s="2"/>
      <c r="D328" s="2"/>
      <c r="E328" s="2"/>
      <c r="F328" s="2"/>
      <c r="G328" s="2"/>
      <c r="H328" s="2"/>
      <c r="I328" s="2"/>
      <c r="J328" s="2"/>
      <c r="K328" s="2"/>
      <c r="L328" s="2"/>
      <c r="M328" s="2"/>
      <c r="N328" s="2"/>
      <c r="O328" s="2"/>
      <c r="P328" s="2"/>
      <c r="Q328" s="2"/>
      <c r="R328" s="2"/>
      <c r="S328" s="2"/>
      <c r="T328" s="2"/>
    </row>
    <row r="329" spans="1:20">
      <c r="A329" s="2"/>
      <c r="B329" s="2"/>
      <c r="C329" s="2"/>
      <c r="D329" s="2"/>
      <c r="E329" s="2"/>
      <c r="F329" s="2"/>
      <c r="G329" s="2"/>
      <c r="H329" s="2"/>
      <c r="I329" s="2"/>
      <c r="J329" s="2"/>
      <c r="K329" s="2"/>
      <c r="L329" s="2"/>
      <c r="M329" s="2"/>
      <c r="N329" s="2"/>
      <c r="O329" s="2"/>
      <c r="P329" s="2"/>
      <c r="Q329" s="2"/>
      <c r="R329" s="2"/>
      <c r="S329" s="2"/>
      <c r="T329" s="2"/>
    </row>
    <row r="330" spans="1:20">
      <c r="A330" s="2"/>
      <c r="B330" s="2"/>
      <c r="C330" s="2"/>
      <c r="D330" s="2"/>
      <c r="E330" s="2"/>
      <c r="F330" s="2"/>
      <c r="G330" s="2"/>
      <c r="H330" s="2"/>
      <c r="I330" s="2"/>
      <c r="J330" s="2"/>
      <c r="K330" s="2"/>
      <c r="L330" s="2"/>
      <c r="M330" s="2"/>
      <c r="N330" s="2"/>
      <c r="O330" s="2"/>
      <c r="P330" s="2"/>
      <c r="Q330" s="2"/>
      <c r="R330" s="2"/>
      <c r="S330" s="2"/>
      <c r="T330" s="2"/>
    </row>
    <row r="331" spans="1:20">
      <c r="A331" s="2"/>
      <c r="B331" s="2"/>
      <c r="C331" s="2"/>
      <c r="D331" s="2"/>
      <c r="E331" s="2"/>
      <c r="F331" s="2"/>
      <c r="G331" s="2"/>
      <c r="H331" s="2"/>
      <c r="I331" s="2"/>
      <c r="J331" s="2"/>
      <c r="K331" s="2"/>
      <c r="L331" s="2"/>
      <c r="M331" s="2"/>
      <c r="N331" s="2"/>
      <c r="O331" s="2"/>
      <c r="P331" s="2"/>
      <c r="Q331" s="2"/>
      <c r="R331" s="2"/>
      <c r="S331" s="2"/>
      <c r="T331" s="2"/>
    </row>
    <row r="332" spans="1:20">
      <c r="A332" s="2"/>
      <c r="B332" s="2"/>
      <c r="C332" s="2"/>
      <c r="D332" s="2"/>
      <c r="E332" s="2"/>
      <c r="F332" s="2"/>
      <c r="G332" s="2"/>
      <c r="H332" s="2"/>
      <c r="I332" s="2"/>
      <c r="J332" s="2"/>
      <c r="K332" s="2"/>
      <c r="L332" s="2"/>
      <c r="M332" s="2"/>
      <c r="N332" s="2"/>
      <c r="O332" s="2"/>
      <c r="P332" s="2"/>
      <c r="Q332" s="2"/>
      <c r="R332" s="2"/>
      <c r="S332" s="2"/>
      <c r="T332" s="2"/>
    </row>
    <row r="333" spans="1:20">
      <c r="A333" s="2"/>
      <c r="B333" s="2"/>
      <c r="C333" s="2"/>
      <c r="D333" s="2"/>
      <c r="E333" s="2"/>
      <c r="F333" s="2"/>
      <c r="G333" s="2"/>
      <c r="H333" s="2"/>
      <c r="I333" s="2"/>
      <c r="J333" s="2"/>
      <c r="K333" s="2"/>
      <c r="L333" s="2"/>
      <c r="M333" s="2"/>
      <c r="N333" s="2"/>
      <c r="O333" s="2"/>
      <c r="P333" s="2"/>
      <c r="Q333" s="2"/>
      <c r="R333" s="2"/>
      <c r="S333" s="2"/>
      <c r="T333" s="2"/>
    </row>
    <row r="334" spans="1:20">
      <c r="A334" s="2"/>
      <c r="B334" s="2"/>
      <c r="C334" s="2"/>
      <c r="D334" s="2"/>
      <c r="E334" s="2"/>
      <c r="F334" s="2"/>
      <c r="G334" s="2"/>
      <c r="H334" s="2"/>
      <c r="I334" s="2"/>
      <c r="J334" s="2"/>
      <c r="K334" s="2"/>
      <c r="L334" s="2"/>
      <c r="M334" s="2"/>
      <c r="N334" s="2"/>
      <c r="O334" s="2"/>
      <c r="P334" s="2"/>
      <c r="Q334" s="2"/>
      <c r="R334" s="2"/>
      <c r="S334" s="2"/>
      <c r="T334" s="2"/>
    </row>
    <row r="335" spans="1:20">
      <c r="A335" s="2"/>
      <c r="B335" s="2"/>
      <c r="C335" s="2"/>
      <c r="D335" s="2"/>
      <c r="E335" s="2"/>
      <c r="F335" s="2"/>
      <c r="G335" s="2"/>
      <c r="H335" s="2"/>
      <c r="I335" s="2"/>
      <c r="J335" s="2"/>
      <c r="K335" s="2"/>
      <c r="L335" s="2"/>
      <c r="M335" s="2"/>
      <c r="N335" s="2"/>
      <c r="O335" s="2"/>
      <c r="P335" s="2"/>
      <c r="Q335" s="2"/>
      <c r="R335" s="2"/>
      <c r="S335" s="2"/>
      <c r="T335" s="2"/>
    </row>
    <row r="336" spans="1:20">
      <c r="A336" s="2"/>
      <c r="B336" s="2"/>
      <c r="C336" s="2"/>
      <c r="D336" s="2"/>
      <c r="E336" s="2"/>
      <c r="F336" s="2"/>
      <c r="G336" s="2"/>
      <c r="H336" s="2"/>
      <c r="I336" s="2"/>
      <c r="J336" s="2"/>
      <c r="K336" s="2"/>
      <c r="L336" s="2"/>
      <c r="M336" s="2"/>
      <c r="N336" s="2"/>
      <c r="O336" s="2"/>
      <c r="P336" s="2"/>
      <c r="Q336" s="2"/>
      <c r="R336" s="2"/>
      <c r="S336" s="2"/>
      <c r="T336" s="2"/>
    </row>
    <row r="337" spans="1:20">
      <c r="A337" s="2"/>
      <c r="B337" s="2"/>
      <c r="C337" s="2"/>
      <c r="D337" s="2"/>
      <c r="E337" s="2"/>
      <c r="F337" s="2"/>
      <c r="G337" s="2"/>
      <c r="H337" s="2"/>
      <c r="I337" s="2"/>
      <c r="J337" s="2"/>
      <c r="K337" s="2"/>
      <c r="L337" s="2"/>
      <c r="M337" s="2"/>
      <c r="N337" s="2"/>
      <c r="O337" s="2"/>
      <c r="P337" s="2"/>
      <c r="Q337" s="2"/>
      <c r="R337" s="2"/>
      <c r="S337" s="2"/>
      <c r="T337" s="2"/>
    </row>
    <row r="338" spans="1:20">
      <c r="A338" s="2"/>
      <c r="B338" s="2"/>
      <c r="C338" s="2"/>
      <c r="D338" s="2"/>
      <c r="E338" s="2"/>
      <c r="F338" s="2"/>
      <c r="G338" s="2"/>
      <c r="H338" s="2"/>
      <c r="I338" s="2"/>
      <c r="J338" s="2"/>
      <c r="K338" s="2"/>
      <c r="L338" s="2"/>
      <c r="M338" s="2"/>
      <c r="N338" s="2"/>
      <c r="O338" s="2"/>
      <c r="P338" s="2"/>
      <c r="Q338" s="2"/>
      <c r="R338" s="2"/>
      <c r="S338" s="2"/>
      <c r="T338" s="2"/>
    </row>
    <row r="339" spans="1:20">
      <c r="A339" s="2"/>
      <c r="B339" s="2"/>
      <c r="C339" s="2"/>
      <c r="D339" s="2"/>
      <c r="E339" s="2"/>
      <c r="F339" s="2"/>
      <c r="G339" s="2"/>
      <c r="H339" s="2"/>
      <c r="I339" s="2"/>
      <c r="J339" s="2"/>
      <c r="K339" s="2"/>
      <c r="L339" s="2"/>
      <c r="M339" s="2"/>
      <c r="N339" s="2"/>
      <c r="O339" s="2"/>
      <c r="P339" s="2"/>
      <c r="Q339" s="2"/>
      <c r="R339" s="2"/>
      <c r="S339" s="2"/>
      <c r="T339" s="2"/>
    </row>
    <row r="340" spans="1:20">
      <c r="A340" s="2"/>
      <c r="B340" s="2"/>
      <c r="C340" s="2"/>
      <c r="D340" s="2"/>
      <c r="E340" s="2"/>
      <c r="F340" s="2"/>
      <c r="G340" s="2"/>
      <c r="H340" s="2"/>
      <c r="I340" s="2"/>
      <c r="J340" s="2"/>
      <c r="K340" s="2"/>
      <c r="L340" s="2"/>
      <c r="M340" s="2"/>
      <c r="N340" s="2"/>
      <c r="O340" s="2"/>
      <c r="P340" s="2"/>
      <c r="Q340" s="2"/>
      <c r="R340" s="2"/>
      <c r="S340" s="2"/>
      <c r="T340" s="2"/>
    </row>
    <row r="341" spans="1:20">
      <c r="A341" s="2"/>
      <c r="B341" s="2"/>
      <c r="C341" s="2"/>
      <c r="D341" s="2"/>
      <c r="E341" s="2"/>
      <c r="F341" s="2"/>
      <c r="G341" s="2"/>
      <c r="H341" s="2"/>
      <c r="I341" s="2"/>
      <c r="J341" s="2"/>
      <c r="K341" s="2"/>
      <c r="L341" s="2"/>
      <c r="M341" s="2"/>
      <c r="N341" s="2"/>
      <c r="O341" s="2"/>
      <c r="P341" s="2"/>
      <c r="Q341" s="2"/>
      <c r="R341" s="2"/>
      <c r="S341" s="2"/>
      <c r="T341" s="2"/>
    </row>
    <row r="342" spans="1:20">
      <c r="A342" s="2"/>
      <c r="B342" s="2"/>
      <c r="C342" s="2"/>
      <c r="D342" s="2"/>
      <c r="E342" s="2"/>
      <c r="F342" s="2"/>
      <c r="G342" s="2"/>
      <c r="H342" s="2"/>
      <c r="I342" s="2"/>
      <c r="J342" s="2"/>
      <c r="K342" s="2"/>
      <c r="L342" s="2"/>
      <c r="M342" s="2"/>
      <c r="N342" s="2"/>
      <c r="O342" s="2"/>
      <c r="P342" s="2"/>
      <c r="Q342" s="2"/>
      <c r="R342" s="2"/>
      <c r="S342" s="2"/>
      <c r="T342" s="2"/>
    </row>
    <row r="343" spans="1:20">
      <c r="A343" s="2"/>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spans="1:20">
      <c r="A345" s="2"/>
      <c r="B345" s="2"/>
      <c r="C345" s="2"/>
      <c r="D345" s="2"/>
      <c r="E345" s="2"/>
      <c r="F345" s="2"/>
      <c r="G345" s="2"/>
      <c r="H345" s="2"/>
      <c r="I345" s="2"/>
      <c r="J345" s="2"/>
      <c r="K345" s="2"/>
      <c r="L345" s="2"/>
      <c r="M345" s="2"/>
      <c r="N345" s="2"/>
      <c r="O345" s="2"/>
      <c r="P345" s="2"/>
      <c r="Q345" s="2"/>
      <c r="R345" s="2"/>
      <c r="S345" s="2"/>
      <c r="T345" s="2"/>
    </row>
    <row r="346" spans="1:20">
      <c r="A346" s="2"/>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spans="1:20">
      <c r="A348" s="2"/>
      <c r="B348" s="2"/>
      <c r="C348" s="2"/>
      <c r="D348" s="2"/>
      <c r="E348" s="2"/>
      <c r="F348" s="2"/>
      <c r="G348" s="2"/>
      <c r="H348" s="2"/>
      <c r="I348" s="2"/>
      <c r="J348" s="2"/>
      <c r="K348" s="2"/>
      <c r="L348" s="2"/>
      <c r="M348" s="2"/>
      <c r="N348" s="2"/>
      <c r="O348" s="2"/>
      <c r="P348" s="2"/>
      <c r="Q348" s="2"/>
      <c r="R348" s="2"/>
      <c r="S348" s="2"/>
      <c r="T348" s="2"/>
    </row>
    <row r="349" spans="1:20">
      <c r="A349" s="2"/>
      <c r="B349" s="2"/>
      <c r="C349" s="2"/>
      <c r="D349" s="2"/>
      <c r="E349" s="2"/>
      <c r="F349" s="2"/>
      <c r="G349" s="2"/>
      <c r="H349" s="2"/>
      <c r="I349" s="2"/>
      <c r="J349" s="2"/>
      <c r="K349" s="2"/>
      <c r="L349" s="2"/>
      <c r="M349" s="2"/>
      <c r="N349" s="2"/>
      <c r="O349" s="2"/>
      <c r="P349" s="2"/>
      <c r="Q349" s="2"/>
      <c r="R349" s="2"/>
      <c r="S349" s="2"/>
      <c r="T349" s="2"/>
    </row>
    <row r="350" spans="1:20">
      <c r="A350" s="2"/>
      <c r="B350" s="2"/>
      <c r="C350" s="2"/>
      <c r="D350" s="2"/>
      <c r="E350" s="2"/>
      <c r="F350" s="2"/>
      <c r="G350" s="2"/>
      <c r="H350" s="2"/>
      <c r="I350" s="2"/>
      <c r="J350" s="2"/>
      <c r="K350" s="2"/>
      <c r="L350" s="2"/>
      <c r="M350" s="2"/>
      <c r="N350" s="2"/>
      <c r="O350" s="2"/>
      <c r="P350" s="2"/>
      <c r="Q350" s="2"/>
      <c r="R350" s="2"/>
      <c r="S350" s="2"/>
      <c r="T350" s="2"/>
    </row>
    <row r="351" spans="1:20">
      <c r="A351" s="2"/>
      <c r="B351" s="2"/>
      <c r="C351" s="2"/>
      <c r="D351" s="2"/>
      <c r="E351" s="2"/>
      <c r="F351" s="2"/>
      <c r="G351" s="2"/>
      <c r="H351" s="2"/>
      <c r="I351" s="2"/>
      <c r="J351" s="2"/>
      <c r="K351" s="2"/>
      <c r="L351" s="2"/>
      <c r="M351" s="2"/>
      <c r="N351" s="2"/>
      <c r="O351" s="2"/>
      <c r="P351" s="2"/>
      <c r="Q351" s="2"/>
      <c r="R351" s="2"/>
      <c r="S351" s="2"/>
      <c r="T351" s="2"/>
    </row>
    <row r="352" spans="1:20">
      <c r="A352" s="2"/>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spans="1:20">
      <c r="A354" s="2"/>
      <c r="B354" s="2"/>
      <c r="C354" s="2"/>
      <c r="D354" s="2"/>
      <c r="E354" s="2"/>
      <c r="F354" s="2"/>
      <c r="G354" s="2"/>
      <c r="H354" s="2"/>
      <c r="I354" s="2"/>
      <c r="J354" s="2"/>
      <c r="K354" s="2"/>
      <c r="L354" s="2"/>
      <c r="M354" s="2"/>
      <c r="N354" s="2"/>
      <c r="O354" s="2"/>
      <c r="P354" s="2"/>
      <c r="Q354" s="2"/>
      <c r="R354" s="2"/>
      <c r="S354" s="2"/>
      <c r="T354" s="2"/>
    </row>
    <row r="355" spans="1:20">
      <c r="A355" s="2"/>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spans="1:20">
      <c r="A357" s="2"/>
      <c r="B357" s="2"/>
      <c r="C357" s="2"/>
      <c r="D357" s="2"/>
      <c r="E357" s="2"/>
      <c r="F357" s="2"/>
      <c r="G357" s="2"/>
      <c r="H357" s="2"/>
      <c r="I357" s="2"/>
      <c r="J357" s="2"/>
      <c r="K357" s="2"/>
      <c r="L357" s="2"/>
      <c r="M357" s="2"/>
      <c r="N357" s="2"/>
      <c r="O357" s="2"/>
      <c r="P357" s="2"/>
      <c r="Q357" s="2"/>
      <c r="R357" s="2"/>
      <c r="S357" s="2"/>
      <c r="T357" s="2"/>
    </row>
    <row r="358" spans="1:20">
      <c r="A358" s="2"/>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spans="1:20">
      <c r="A360" s="2"/>
      <c r="B360" s="2"/>
      <c r="C360" s="2"/>
      <c r="D360" s="2"/>
      <c r="E360" s="2"/>
      <c r="F360" s="2"/>
      <c r="G360" s="2"/>
      <c r="H360" s="2"/>
      <c r="I360" s="2"/>
      <c r="J360" s="2"/>
      <c r="K360" s="2"/>
      <c r="L360" s="2"/>
      <c r="M360" s="2"/>
      <c r="N360" s="2"/>
      <c r="O360" s="2"/>
      <c r="P360" s="2"/>
      <c r="Q360" s="2"/>
      <c r="R360" s="2"/>
      <c r="S360" s="2"/>
      <c r="T360" s="2"/>
    </row>
    <row r="361" spans="1:20">
      <c r="A361" s="2"/>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spans="1:20">
      <c r="A363" s="2"/>
      <c r="B363" s="2"/>
      <c r="C363" s="2"/>
      <c r="D363" s="2"/>
      <c r="E363" s="2"/>
      <c r="F363" s="2"/>
      <c r="G363" s="2"/>
      <c r="H363" s="2"/>
      <c r="I363" s="2"/>
      <c r="J363" s="2"/>
      <c r="K363" s="2"/>
      <c r="L363" s="2"/>
      <c r="M363" s="2"/>
      <c r="N363" s="2"/>
      <c r="O363" s="2"/>
      <c r="P363" s="2"/>
      <c r="Q363" s="2"/>
      <c r="R363" s="2"/>
      <c r="S363" s="2"/>
      <c r="T363" s="2"/>
    </row>
    <row r="364" spans="1:20">
      <c r="A364" s="2"/>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spans="1:20">
      <c r="A366" s="2"/>
      <c r="B366" s="2"/>
      <c r="C366" s="2"/>
      <c r="D366" s="2"/>
      <c r="E366" s="2"/>
      <c r="F366" s="2"/>
      <c r="G366" s="2"/>
      <c r="H366" s="2"/>
      <c r="I366" s="2"/>
      <c r="J366" s="2"/>
      <c r="K366" s="2"/>
      <c r="L366" s="2"/>
      <c r="M366" s="2"/>
      <c r="N366" s="2"/>
      <c r="O366" s="2"/>
      <c r="P366" s="2"/>
      <c r="Q366" s="2"/>
      <c r="R366" s="2"/>
      <c r="S366" s="2"/>
      <c r="T366" s="2"/>
    </row>
    <row r="367" spans="1:20">
      <c r="A367" s="2"/>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spans="1:20">
      <c r="A369" s="2"/>
      <c r="B369" s="2"/>
      <c r="C369" s="2"/>
      <c r="D369" s="2"/>
      <c r="E369" s="2"/>
      <c r="F369" s="2"/>
      <c r="G369" s="2"/>
      <c r="H369" s="2"/>
      <c r="I369" s="2"/>
      <c r="J369" s="2"/>
      <c r="K369" s="2"/>
      <c r="L369" s="2"/>
      <c r="M369" s="2"/>
      <c r="N369" s="2"/>
      <c r="O369" s="2"/>
      <c r="P369" s="2"/>
      <c r="Q369" s="2"/>
      <c r="R369" s="2"/>
      <c r="S369" s="2"/>
      <c r="T369" s="2"/>
    </row>
    <row r="370" spans="1:20">
      <c r="A370" s="2"/>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spans="1:20">
      <c r="A372" s="2"/>
      <c r="B372" s="2"/>
      <c r="C372" s="2"/>
      <c r="D372" s="2"/>
      <c r="E372" s="2"/>
      <c r="F372" s="2"/>
      <c r="G372" s="2"/>
      <c r="H372" s="2"/>
      <c r="I372" s="2"/>
      <c r="J372" s="2"/>
      <c r="K372" s="2"/>
      <c r="L372" s="2"/>
      <c r="M372" s="2"/>
      <c r="N372" s="2"/>
      <c r="O372" s="2"/>
      <c r="P372" s="2"/>
      <c r="Q372" s="2"/>
      <c r="R372" s="2"/>
      <c r="S372" s="2"/>
      <c r="T372" s="2"/>
    </row>
    <row r="373" spans="1:20">
      <c r="A373" s="2"/>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row r="375" spans="1:20">
      <c r="A375" s="2"/>
      <c r="B375" s="2"/>
      <c r="C375" s="2"/>
      <c r="D375" s="2"/>
      <c r="E375" s="2"/>
      <c r="F375" s="2"/>
      <c r="G375" s="2"/>
      <c r="H375" s="2"/>
      <c r="I375" s="2"/>
      <c r="J375" s="2"/>
      <c r="K375" s="2"/>
      <c r="L375" s="2"/>
      <c r="M375" s="2"/>
      <c r="N375" s="2"/>
      <c r="O375" s="2"/>
      <c r="P375" s="2"/>
      <c r="Q375" s="2"/>
      <c r="R375" s="2"/>
      <c r="S375" s="2"/>
      <c r="T375" s="2"/>
    </row>
    <row r="376" spans="1:20">
      <c r="A376" s="2"/>
      <c r="B376" s="2"/>
      <c r="C376" s="2"/>
      <c r="D376" s="2"/>
      <c r="E376" s="2"/>
      <c r="F376" s="2"/>
      <c r="G376" s="2"/>
      <c r="H376" s="2"/>
      <c r="I376" s="2"/>
      <c r="J376" s="2"/>
      <c r="K376" s="2"/>
      <c r="L376" s="2"/>
      <c r="M376" s="2"/>
      <c r="N376" s="2"/>
      <c r="O376" s="2"/>
      <c r="P376" s="2"/>
      <c r="Q376" s="2"/>
      <c r="R376" s="2"/>
      <c r="S376" s="2"/>
      <c r="T376" s="2"/>
    </row>
    <row r="377" spans="1:20">
      <c r="A377" s="2"/>
      <c r="B377" s="2"/>
      <c r="C377" s="2"/>
      <c r="D377" s="2"/>
      <c r="E377" s="2"/>
      <c r="F377" s="2"/>
      <c r="G377" s="2"/>
      <c r="H377" s="2"/>
      <c r="I377" s="2"/>
      <c r="J377" s="2"/>
      <c r="K377" s="2"/>
      <c r="L377" s="2"/>
      <c r="M377" s="2"/>
      <c r="N377" s="2"/>
      <c r="O377" s="2"/>
      <c r="P377" s="2"/>
      <c r="Q377" s="2"/>
      <c r="R377" s="2"/>
      <c r="S377" s="2"/>
      <c r="T377" s="2"/>
    </row>
    <row r="378" spans="1:20">
      <c r="A378" s="2"/>
      <c r="B378" s="2"/>
      <c r="C378" s="2"/>
      <c r="D378" s="2"/>
      <c r="E378" s="2"/>
      <c r="F378" s="2"/>
      <c r="G378" s="2"/>
      <c r="H378" s="2"/>
      <c r="I378" s="2"/>
      <c r="J378" s="2"/>
      <c r="K378" s="2"/>
      <c r="L378" s="2"/>
      <c r="M378" s="2"/>
      <c r="N378" s="2"/>
      <c r="O378" s="2"/>
      <c r="P378" s="2"/>
      <c r="Q378" s="2"/>
      <c r="R378" s="2"/>
      <c r="S378" s="2"/>
      <c r="T378" s="2"/>
    </row>
    <row r="379" spans="1:20">
      <c r="A379" s="2"/>
      <c r="B379" s="2"/>
      <c r="C379" s="2"/>
      <c r="D379" s="2"/>
      <c r="E379" s="2"/>
      <c r="F379" s="2"/>
      <c r="G379" s="2"/>
      <c r="H379" s="2"/>
      <c r="I379" s="2"/>
      <c r="J379" s="2"/>
      <c r="K379" s="2"/>
      <c r="L379" s="2"/>
      <c r="M379" s="2"/>
      <c r="N379" s="2"/>
      <c r="O379" s="2"/>
      <c r="P379" s="2"/>
      <c r="Q379" s="2"/>
      <c r="R379" s="2"/>
      <c r="S379" s="2"/>
      <c r="T379" s="2"/>
    </row>
    <row r="380" spans="1:20">
      <c r="A380" s="2"/>
      <c r="B380" s="2"/>
      <c r="C380" s="2"/>
      <c r="D380" s="2"/>
      <c r="E380" s="2"/>
      <c r="F380" s="2"/>
      <c r="G380" s="2"/>
      <c r="H380" s="2"/>
      <c r="I380" s="2"/>
      <c r="J380" s="2"/>
      <c r="K380" s="2"/>
      <c r="L380" s="2"/>
      <c r="M380" s="2"/>
      <c r="N380" s="2"/>
      <c r="O380" s="2"/>
      <c r="P380" s="2"/>
      <c r="Q380" s="2"/>
      <c r="R380" s="2"/>
      <c r="S380" s="2"/>
      <c r="T380" s="2"/>
    </row>
  </sheetData>
  <sheetProtection formatCells="0" insertHyperlinks="0" autoFilter="0"/>
  <mergeCells count="1">
    <mergeCell ref="B1:H1"/>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63"/>
  <sheetViews>
    <sheetView workbookViewId="0">
      <selection activeCell="A1" sqref="A1"/>
    </sheetView>
  </sheetViews>
  <sheetFormatPr defaultColWidth="14" defaultRowHeight="13"/>
  <cols>
    <col min="1" max="20" width="27" customWidth="1"/>
  </cols>
  <sheetData>
    <row r="1" ht="46" customHeight="1" spans="1:20">
      <c r="A1" s="1" t="str">
        <f>_xlfn.DISPIMG("ID_A639BDD6A3044EB9BD8EAFAC9C96AE0E",1)</f>
        <v>=DISPIMG("ID_A639BDD6A3044EB9BD8EAFAC9C96AE0E",1)</v>
      </c>
      <c r="B1" s="1" t="s">
        <v>553</v>
      </c>
      <c r="C1" s="1"/>
      <c r="D1" s="1"/>
      <c r="E1" s="1"/>
      <c r="F1" s="1"/>
      <c r="G1" s="1"/>
      <c r="H1" s="1"/>
      <c r="I1" s="2"/>
      <c r="J1" s="2"/>
      <c r="K1" s="2"/>
      <c r="L1" s="2"/>
      <c r="M1" s="2"/>
      <c r="N1" s="2"/>
      <c r="O1" s="2"/>
      <c r="P1" s="2"/>
      <c r="Q1" s="2"/>
      <c r="R1" s="2"/>
      <c r="S1" s="2"/>
      <c r="T1" s="2"/>
    </row>
    <row r="2" ht="15.5" spans="1:20">
      <c r="A2" s="3" t="s">
        <v>5647</v>
      </c>
      <c r="B2" s="9" t="s">
        <v>190</v>
      </c>
      <c r="C2" s="2"/>
      <c r="D2" s="2"/>
      <c r="E2" s="2"/>
      <c r="F2" s="2"/>
      <c r="G2" s="2"/>
      <c r="H2" s="2"/>
      <c r="I2" s="2"/>
      <c r="J2" s="2"/>
      <c r="K2" s="2"/>
      <c r="L2" s="2"/>
      <c r="M2" s="2"/>
      <c r="N2" s="2"/>
      <c r="O2" s="2"/>
      <c r="P2" s="2"/>
      <c r="Q2" s="2"/>
      <c r="R2" s="2"/>
      <c r="S2" s="2"/>
      <c r="T2" s="2"/>
    </row>
    <row r="3" ht="15.5" spans="1:20">
      <c r="A3" s="11" t="s">
        <v>46</v>
      </c>
      <c r="B3" s="6" t="s">
        <v>5648</v>
      </c>
      <c r="C3" s="11" t="s">
        <v>5649</v>
      </c>
      <c r="D3" s="11" t="s">
        <v>5650</v>
      </c>
      <c r="E3" s="11" t="s">
        <v>5651</v>
      </c>
      <c r="F3" s="11" t="s">
        <v>5652</v>
      </c>
      <c r="G3" s="11" t="s">
        <v>5653</v>
      </c>
      <c r="H3" s="23"/>
      <c r="I3" s="2"/>
      <c r="J3" s="2"/>
      <c r="K3" s="2"/>
      <c r="L3" s="2"/>
      <c r="M3" s="2"/>
      <c r="N3" s="2"/>
      <c r="O3" s="2"/>
      <c r="P3" s="2"/>
      <c r="Q3" s="2"/>
      <c r="R3" s="2"/>
      <c r="S3" s="2"/>
      <c r="T3" s="2"/>
    </row>
    <row r="4" spans="1:20">
      <c r="A4" s="9">
        <v>1</v>
      </c>
      <c r="B4" s="9" t="s">
        <v>5654</v>
      </c>
      <c r="C4" s="9" t="s">
        <v>5655</v>
      </c>
      <c r="D4" s="9" t="s">
        <v>5656</v>
      </c>
      <c r="E4" s="9" t="s">
        <v>67</v>
      </c>
      <c r="F4" s="9" t="s">
        <v>67</v>
      </c>
      <c r="G4" s="9" t="s">
        <v>5657</v>
      </c>
      <c r="H4" s="2"/>
      <c r="I4" s="2"/>
      <c r="J4" s="2"/>
      <c r="K4" s="2"/>
      <c r="L4" s="2"/>
      <c r="M4" s="2"/>
      <c r="N4" s="2"/>
      <c r="O4" s="2"/>
      <c r="P4" s="2"/>
      <c r="Q4" s="2"/>
      <c r="R4" s="2"/>
      <c r="S4" s="2"/>
      <c r="T4" s="2"/>
    </row>
    <row r="5" spans="1:20">
      <c r="A5" s="9">
        <v>2</v>
      </c>
      <c r="B5" s="9" t="s">
        <v>2182</v>
      </c>
      <c r="C5" s="9" t="s">
        <v>666</v>
      </c>
      <c r="D5" s="9" t="s">
        <v>5658</v>
      </c>
      <c r="E5" s="9" t="s">
        <v>67</v>
      </c>
      <c r="F5" s="9" t="s">
        <v>67</v>
      </c>
      <c r="G5" s="9" t="s">
        <v>5659</v>
      </c>
    </row>
    <row r="6" spans="1:20">
      <c r="A6" s="9">
        <v>3</v>
      </c>
      <c r="B6" s="9" t="s">
        <v>5660</v>
      </c>
      <c r="C6" s="9" t="s">
        <v>666</v>
      </c>
      <c r="D6" s="9" t="s">
        <v>5658</v>
      </c>
      <c r="E6" s="9" t="s">
        <v>67</v>
      </c>
      <c r="F6" s="9" t="s">
        <v>67</v>
      </c>
      <c r="G6" s="9" t="s">
        <v>5661</v>
      </c>
    </row>
    <row r="7" spans="1:20">
      <c r="A7" s="9">
        <v>4</v>
      </c>
      <c r="B7" s="9" t="s">
        <v>5662</v>
      </c>
      <c r="C7" s="9" t="s">
        <v>666</v>
      </c>
      <c r="D7" s="9" t="s">
        <v>5656</v>
      </c>
      <c r="E7" s="9" t="s">
        <v>67</v>
      </c>
      <c r="F7" s="9" t="s">
        <v>67</v>
      </c>
      <c r="G7" s="9" t="s">
        <v>5663</v>
      </c>
    </row>
    <row r="8" spans="1:20">
      <c r="A8" s="9">
        <v>5</v>
      </c>
      <c r="B8" s="9" t="s">
        <v>5664</v>
      </c>
      <c r="C8" s="9" t="s">
        <v>666</v>
      </c>
      <c r="D8" s="9" t="s">
        <v>5656</v>
      </c>
      <c r="E8" s="9" t="s">
        <v>67</v>
      </c>
      <c r="F8" s="9" t="s">
        <v>67</v>
      </c>
      <c r="G8" s="9" t="s">
        <v>5665</v>
      </c>
    </row>
    <row r="9" spans="1:20">
      <c r="A9" s="9">
        <v>6</v>
      </c>
      <c r="B9" s="9" t="s">
        <v>5666</v>
      </c>
      <c r="C9" s="9" t="s">
        <v>666</v>
      </c>
      <c r="D9" s="9" t="s">
        <v>5658</v>
      </c>
      <c r="E9" s="9" t="s">
        <v>67</v>
      </c>
      <c r="F9" s="9" t="s">
        <v>67</v>
      </c>
      <c r="G9" s="9" t="s">
        <v>134</v>
      </c>
    </row>
    <row r="10" spans="1:20">
      <c r="A10" s="9">
        <v>7</v>
      </c>
      <c r="B10" s="9" t="s">
        <v>556</v>
      </c>
      <c r="C10" s="9" t="s">
        <v>5667</v>
      </c>
      <c r="D10" s="9" t="s">
        <v>5668</v>
      </c>
      <c r="E10" s="9" t="s">
        <v>67</v>
      </c>
      <c r="F10" s="9" t="s">
        <v>67</v>
      </c>
      <c r="G10" s="9" t="s">
        <v>5669</v>
      </c>
    </row>
    <row r="11" spans="1:20">
      <c r="A11" s="9">
        <v>8</v>
      </c>
      <c r="B11" s="9" t="s">
        <v>14</v>
      </c>
      <c r="C11" s="9" t="s">
        <v>666</v>
      </c>
      <c r="D11" s="9" t="s">
        <v>5658</v>
      </c>
      <c r="E11" s="9" t="s">
        <v>67</v>
      </c>
      <c r="F11" s="9" t="s">
        <v>67</v>
      </c>
      <c r="G11" s="9" t="s">
        <v>5670</v>
      </c>
    </row>
    <row r="12" spans="1:20">
      <c r="A12" s="9" t="s">
        <v>110</v>
      </c>
      <c r="B12" s="9"/>
      <c r="C12" s="9"/>
      <c r="D12" s="9"/>
      <c r="E12" s="9"/>
      <c r="F12" s="9"/>
      <c r="G12" s="9"/>
      <c r="H12" s="2"/>
      <c r="I12" s="2"/>
      <c r="J12" s="2"/>
      <c r="K12" s="2"/>
      <c r="L12" s="2"/>
      <c r="M12" s="2"/>
      <c r="N12" s="2"/>
      <c r="O12" s="2"/>
      <c r="P12" s="2"/>
      <c r="Q12" s="2"/>
      <c r="R12" s="2"/>
      <c r="S12" s="2"/>
      <c r="T12" s="2"/>
    </row>
    <row r="13" spans="1:20">
      <c r="A13" s="2"/>
      <c r="B13" s="2"/>
      <c r="C13" s="2"/>
      <c r="D13" s="2"/>
      <c r="E13" s="2"/>
      <c r="F13" s="2"/>
      <c r="G13" s="2"/>
      <c r="H13" s="2"/>
      <c r="I13" s="2"/>
      <c r="J13" s="2"/>
      <c r="K13" s="2"/>
      <c r="L13" s="2"/>
      <c r="M13" s="2"/>
      <c r="N13" s="2"/>
      <c r="O13" s="2"/>
      <c r="P13" s="2"/>
      <c r="Q13" s="2"/>
      <c r="R13" s="2"/>
      <c r="S13" s="2"/>
      <c r="T13" s="2"/>
    </row>
    <row r="14" ht="15.5" spans="1:20">
      <c r="A14" s="3" t="s">
        <v>5671</v>
      </c>
      <c r="B14" s="9" t="s">
        <v>5672</v>
      </c>
      <c r="C14" s="2"/>
      <c r="D14" s="2"/>
      <c r="E14" s="2"/>
      <c r="F14" s="2"/>
      <c r="G14" s="2"/>
      <c r="H14" s="2"/>
      <c r="I14" s="2"/>
      <c r="J14" s="2"/>
      <c r="K14" s="2"/>
      <c r="L14" s="2"/>
      <c r="M14" s="2"/>
      <c r="N14" s="2"/>
      <c r="O14" s="2"/>
      <c r="P14" s="2"/>
      <c r="Q14" s="2"/>
      <c r="R14" s="2"/>
      <c r="S14" s="2"/>
      <c r="T14" s="2"/>
    </row>
    <row r="15" ht="15.5" spans="1:20">
      <c r="A15" s="11" t="s">
        <v>46</v>
      </c>
      <c r="B15" s="11" t="s">
        <v>47</v>
      </c>
      <c r="C15" s="11" t="s">
        <v>5673</v>
      </c>
      <c r="D15" s="11" t="s">
        <v>5674</v>
      </c>
      <c r="E15" s="2"/>
      <c r="F15" s="2"/>
      <c r="G15" s="2"/>
      <c r="H15" s="2"/>
      <c r="I15" s="2"/>
      <c r="J15" s="2"/>
      <c r="K15" s="2"/>
      <c r="L15" s="2"/>
      <c r="M15" s="2"/>
      <c r="N15" s="2"/>
      <c r="O15" s="2"/>
      <c r="P15" s="2"/>
      <c r="Q15" s="2"/>
      <c r="R15" s="2"/>
      <c r="S15" s="2"/>
      <c r="T15" s="2"/>
    </row>
    <row r="16" spans="1:20">
      <c r="A16" s="9">
        <v>1</v>
      </c>
      <c r="B16" s="9" t="s">
        <v>4</v>
      </c>
      <c r="C16" s="9" t="s">
        <v>5675</v>
      </c>
      <c r="D16" s="9" t="s">
        <v>5676</v>
      </c>
      <c r="E16" s="2"/>
      <c r="F16" s="2"/>
      <c r="G16" s="2"/>
      <c r="H16" s="2"/>
      <c r="I16" s="2"/>
      <c r="J16" s="2"/>
      <c r="K16" s="2"/>
      <c r="L16" s="2"/>
      <c r="M16" s="2"/>
      <c r="N16" s="2"/>
      <c r="O16" s="2"/>
      <c r="P16" s="2"/>
      <c r="Q16" s="2"/>
      <c r="R16" s="2"/>
      <c r="S16" s="2"/>
      <c r="T16" s="2"/>
    </row>
    <row r="17" spans="1:4">
      <c r="A17" s="9">
        <v>2</v>
      </c>
      <c r="B17" s="9" t="s">
        <v>5677</v>
      </c>
      <c r="C17" s="9" t="s">
        <v>66</v>
      </c>
      <c r="D17" s="9" t="s">
        <v>5678</v>
      </c>
    </row>
    <row r="18" spans="1:4">
      <c r="A18" s="9">
        <v>3</v>
      </c>
      <c r="B18" s="9" t="s">
        <v>5679</v>
      </c>
      <c r="C18" s="9" t="s">
        <v>66</v>
      </c>
      <c r="D18" s="9" t="s">
        <v>5680</v>
      </c>
    </row>
    <row r="19" spans="1:4">
      <c r="A19" s="9">
        <v>4</v>
      </c>
      <c r="B19" s="9" t="s">
        <v>5681</v>
      </c>
      <c r="C19" s="9" t="s">
        <v>66</v>
      </c>
      <c r="D19" s="9" t="s">
        <v>5682</v>
      </c>
    </row>
    <row r="20" spans="1:4">
      <c r="A20" s="9">
        <v>5</v>
      </c>
      <c r="B20" s="9" t="s">
        <v>117</v>
      </c>
      <c r="C20" s="9" t="s">
        <v>5683</v>
      </c>
      <c r="D20" s="9" t="s">
        <v>5684</v>
      </c>
    </row>
    <row r="21" spans="1:4">
      <c r="A21" s="9">
        <v>6</v>
      </c>
      <c r="B21" s="9" t="s">
        <v>74</v>
      </c>
      <c r="C21" s="9" t="s">
        <v>101</v>
      </c>
      <c r="D21" s="9" t="s">
        <v>5685</v>
      </c>
    </row>
    <row r="22" spans="1:4">
      <c r="A22" s="9">
        <v>7</v>
      </c>
      <c r="B22" s="9" t="s">
        <v>509</v>
      </c>
      <c r="C22" s="9" t="s">
        <v>101</v>
      </c>
      <c r="D22" s="9" t="s">
        <v>5686</v>
      </c>
    </row>
    <row r="23" spans="1:4">
      <c r="A23" s="9">
        <v>8</v>
      </c>
      <c r="B23" s="9" t="s">
        <v>501</v>
      </c>
      <c r="C23" s="9" t="s">
        <v>5687</v>
      </c>
      <c r="D23" s="9" t="s">
        <v>5688</v>
      </c>
    </row>
    <row r="24" spans="1:4">
      <c r="A24" s="9">
        <v>9</v>
      </c>
      <c r="B24" s="9" t="s">
        <v>513</v>
      </c>
      <c r="C24" s="9" t="s">
        <v>101</v>
      </c>
      <c r="D24" s="9" t="s">
        <v>5689</v>
      </c>
    </row>
    <row r="25" spans="1:4">
      <c r="A25" s="9">
        <v>10</v>
      </c>
      <c r="B25" s="9" t="s">
        <v>86</v>
      </c>
      <c r="C25" s="9" t="s">
        <v>101</v>
      </c>
      <c r="D25" s="9" t="s">
        <v>5690</v>
      </c>
    </row>
    <row r="26" spans="1:4">
      <c r="A26" s="9">
        <v>11</v>
      </c>
      <c r="B26" s="9" t="s">
        <v>5691</v>
      </c>
      <c r="C26" s="9" t="s">
        <v>101</v>
      </c>
      <c r="D26" s="9" t="s">
        <v>5692</v>
      </c>
    </row>
    <row r="27" spans="1:4">
      <c r="A27" s="9">
        <v>12</v>
      </c>
      <c r="B27" s="9" t="s">
        <v>79</v>
      </c>
      <c r="C27" s="9" t="s">
        <v>101</v>
      </c>
      <c r="D27" s="9" t="s">
        <v>5693</v>
      </c>
    </row>
    <row r="28" spans="1:4">
      <c r="A28" s="9">
        <v>13</v>
      </c>
      <c r="B28" s="9" t="s">
        <v>199</v>
      </c>
      <c r="C28" s="9" t="s">
        <v>5687</v>
      </c>
      <c r="D28" s="9" t="s">
        <v>5694</v>
      </c>
    </row>
    <row r="29" spans="1:4">
      <c r="A29" s="9">
        <v>14</v>
      </c>
      <c r="B29" s="9" t="s">
        <v>5695</v>
      </c>
      <c r="C29" s="9" t="s">
        <v>71</v>
      </c>
      <c r="D29" s="9" t="s">
        <v>5696</v>
      </c>
    </row>
    <row r="30" spans="1:4">
      <c r="A30" s="9">
        <v>15</v>
      </c>
      <c r="B30" s="9" t="s">
        <v>5697</v>
      </c>
      <c r="C30" s="9" t="s">
        <v>71</v>
      </c>
      <c r="D30" s="9" t="s">
        <v>5698</v>
      </c>
    </row>
    <row r="31" spans="1:4">
      <c r="A31" s="9">
        <v>16</v>
      </c>
      <c r="B31" s="9" t="s">
        <v>5699</v>
      </c>
      <c r="C31" s="9" t="s">
        <v>5700</v>
      </c>
      <c r="D31" s="9" t="s">
        <v>5701</v>
      </c>
    </row>
    <row r="32" spans="1:4">
      <c r="A32" s="9">
        <v>17</v>
      </c>
      <c r="B32" s="9" t="s">
        <v>5702</v>
      </c>
      <c r="C32" s="9" t="s">
        <v>71</v>
      </c>
      <c r="D32" s="9" t="s">
        <v>5703</v>
      </c>
    </row>
    <row r="33" spans="1:20">
      <c r="A33" s="9">
        <v>18</v>
      </c>
      <c r="B33" s="9" t="s">
        <v>84</v>
      </c>
      <c r="C33" s="9" t="s">
        <v>71</v>
      </c>
      <c r="D33" s="9" t="s">
        <v>5704</v>
      </c>
    </row>
    <row r="34" spans="1:20">
      <c r="A34" s="9">
        <v>19</v>
      </c>
      <c r="B34" s="9" t="s">
        <v>5705</v>
      </c>
      <c r="C34" s="9" t="s">
        <v>71</v>
      </c>
      <c r="D34" s="9" t="s">
        <v>5706</v>
      </c>
    </row>
    <row r="35" spans="1:20">
      <c r="A35" s="9">
        <v>20</v>
      </c>
      <c r="B35" s="9" t="s">
        <v>5707</v>
      </c>
      <c r="C35" s="9" t="s">
        <v>5700</v>
      </c>
      <c r="D35" s="9" t="s">
        <v>5708</v>
      </c>
    </row>
    <row r="36" spans="1:20">
      <c r="A36" s="9">
        <v>21</v>
      </c>
      <c r="B36" s="9" t="s">
        <v>511</v>
      </c>
      <c r="C36" s="9" t="s">
        <v>5709</v>
      </c>
      <c r="D36" s="9" t="s">
        <v>5710</v>
      </c>
    </row>
    <row r="37" spans="1:20">
      <c r="A37" s="9">
        <v>22</v>
      </c>
      <c r="B37" s="9" t="s">
        <v>496</v>
      </c>
      <c r="C37" s="9" t="s">
        <v>5711</v>
      </c>
      <c r="D37" s="9" t="s">
        <v>5712</v>
      </c>
    </row>
    <row r="38" spans="1:20">
      <c r="A38" s="9">
        <v>23</v>
      </c>
      <c r="B38" s="9" t="s">
        <v>96</v>
      </c>
      <c r="C38" s="9" t="s">
        <v>97</v>
      </c>
      <c r="D38" s="9" t="s">
        <v>5713</v>
      </c>
    </row>
    <row r="39" spans="1:20">
      <c r="A39" s="9">
        <v>24</v>
      </c>
      <c r="B39" s="9" t="s">
        <v>5714</v>
      </c>
      <c r="C39" s="9" t="s">
        <v>71</v>
      </c>
      <c r="D39" s="9" t="s">
        <v>5715</v>
      </c>
    </row>
    <row r="40" spans="1:20">
      <c r="A40" s="9">
        <v>25</v>
      </c>
      <c r="B40" s="9" t="s">
        <v>5716</v>
      </c>
      <c r="C40" s="9" t="s">
        <v>617</v>
      </c>
      <c r="D40" s="9" t="s">
        <v>5717</v>
      </c>
    </row>
    <row r="41" spans="1:20">
      <c r="A41" s="9" t="s">
        <v>110</v>
      </c>
      <c r="B41" s="9"/>
      <c r="C41" s="9"/>
      <c r="D41" s="9"/>
      <c r="E41" s="2"/>
      <c r="F41" s="2"/>
      <c r="G41" s="2"/>
      <c r="H41" s="2"/>
      <c r="I41" s="2"/>
      <c r="J41" s="2"/>
      <c r="K41" s="2"/>
      <c r="L41" s="2"/>
      <c r="M41" s="2"/>
      <c r="N41" s="2"/>
      <c r="O41" s="2"/>
      <c r="P41" s="2"/>
      <c r="Q41" s="2"/>
      <c r="R41" s="2"/>
      <c r="S41" s="2"/>
      <c r="T41" s="2"/>
    </row>
    <row r="42" spans="1:20">
      <c r="A42" s="2"/>
      <c r="B42" s="2"/>
      <c r="C42" s="2"/>
      <c r="D42" s="2"/>
      <c r="E42" s="2"/>
      <c r="F42" s="2"/>
      <c r="G42" s="2"/>
      <c r="H42" s="2"/>
      <c r="I42" s="2"/>
      <c r="J42" s="2"/>
      <c r="K42" s="2"/>
      <c r="L42" s="2"/>
      <c r="M42" s="2"/>
      <c r="N42" s="2"/>
      <c r="O42" s="2"/>
      <c r="P42" s="2"/>
      <c r="Q42" s="2"/>
      <c r="R42" s="2"/>
      <c r="S42" s="2"/>
      <c r="T42" s="2"/>
    </row>
    <row r="43" ht="15.5" spans="1:20">
      <c r="A43" s="3" t="s">
        <v>5718</v>
      </c>
      <c r="B43" s="9" t="s">
        <v>267</v>
      </c>
      <c r="C43" s="2"/>
      <c r="D43" s="2"/>
      <c r="E43" s="2"/>
      <c r="F43" s="2"/>
      <c r="G43" s="2"/>
      <c r="H43" s="2"/>
      <c r="I43" s="2"/>
      <c r="J43" s="2"/>
      <c r="K43" s="2"/>
      <c r="L43" s="2"/>
      <c r="M43" s="2"/>
      <c r="N43" s="2"/>
      <c r="O43" s="2"/>
      <c r="P43" s="2"/>
      <c r="Q43" s="2"/>
      <c r="R43" s="2"/>
      <c r="S43" s="2"/>
      <c r="T43" s="2"/>
    </row>
    <row r="44" ht="15.5" spans="1:20">
      <c r="A44" s="11" t="s">
        <v>46</v>
      </c>
      <c r="B44" s="11" t="s">
        <v>5614</v>
      </c>
      <c r="C44" s="6" t="s">
        <v>13</v>
      </c>
      <c r="D44" s="11" t="s">
        <v>5719</v>
      </c>
      <c r="E44" s="11" t="s">
        <v>5720</v>
      </c>
      <c r="F44" s="11" t="s">
        <v>5721</v>
      </c>
      <c r="G44" s="11" t="s">
        <v>5722</v>
      </c>
      <c r="H44" s="2"/>
      <c r="I44" s="2"/>
      <c r="J44" s="2"/>
      <c r="K44" s="2"/>
      <c r="L44" s="2"/>
      <c r="M44" s="2"/>
      <c r="N44" s="2"/>
      <c r="O44" s="2"/>
      <c r="P44" s="2"/>
      <c r="Q44" s="2"/>
      <c r="R44" s="2"/>
      <c r="S44" s="2"/>
      <c r="T44" s="2"/>
    </row>
    <row r="45" spans="1:20">
      <c r="A45" s="9">
        <v>1</v>
      </c>
      <c r="B45" s="9" t="s">
        <v>209</v>
      </c>
      <c r="C45" s="9" t="s">
        <v>14</v>
      </c>
      <c r="D45" s="9" t="s">
        <v>5656</v>
      </c>
      <c r="E45" s="9" t="s">
        <v>5723</v>
      </c>
      <c r="F45" s="9" t="s">
        <v>5724</v>
      </c>
      <c r="G45" s="9" t="s">
        <v>5725</v>
      </c>
      <c r="H45" s="2"/>
      <c r="I45" s="2"/>
      <c r="J45" s="2"/>
      <c r="K45" s="2"/>
      <c r="L45" s="2"/>
      <c r="M45" s="2"/>
      <c r="N45" s="2"/>
      <c r="O45" s="2"/>
      <c r="P45" s="2"/>
      <c r="Q45" s="2"/>
      <c r="R45" s="2"/>
      <c r="S45" s="2"/>
      <c r="T45" s="2"/>
    </row>
    <row r="46" spans="1:20">
      <c r="A46" s="9" t="s">
        <v>110</v>
      </c>
      <c r="B46" s="9"/>
      <c r="C46" s="9"/>
      <c r="D46" s="9"/>
      <c r="E46" s="9"/>
      <c r="F46" s="9"/>
      <c r="G46" s="9"/>
      <c r="H46" s="2"/>
      <c r="I46" s="2"/>
      <c r="J46" s="2"/>
      <c r="K46" s="2"/>
      <c r="L46" s="2"/>
      <c r="M46" s="2"/>
      <c r="N46" s="2"/>
      <c r="O46" s="2"/>
      <c r="P46" s="2"/>
      <c r="Q46" s="2"/>
      <c r="R46" s="2"/>
      <c r="S46" s="2"/>
      <c r="T46" s="2"/>
    </row>
    <row r="47" spans="1:20">
      <c r="A47" s="2"/>
      <c r="B47" s="2"/>
      <c r="C47" s="2"/>
      <c r="D47" s="2"/>
      <c r="E47" s="2"/>
      <c r="F47" s="2"/>
      <c r="G47" s="2"/>
      <c r="H47" s="2"/>
      <c r="I47" s="2"/>
      <c r="J47" s="2"/>
      <c r="K47" s="2"/>
      <c r="L47" s="2"/>
      <c r="M47" s="2"/>
      <c r="N47" s="2"/>
      <c r="O47" s="2"/>
      <c r="P47" s="2"/>
      <c r="Q47" s="2"/>
      <c r="R47" s="2"/>
      <c r="S47" s="2"/>
      <c r="T47" s="2"/>
    </row>
    <row r="48" ht="15.5" spans="1:20">
      <c r="A48" s="3" t="s">
        <v>5726</v>
      </c>
      <c r="B48" s="9" t="s">
        <v>5727</v>
      </c>
      <c r="C48" s="2"/>
      <c r="D48" s="2"/>
      <c r="E48" s="2"/>
      <c r="F48" s="2"/>
      <c r="G48" s="2"/>
      <c r="H48" s="2"/>
      <c r="I48" s="2"/>
      <c r="J48" s="2"/>
      <c r="K48" s="2"/>
      <c r="L48" s="2"/>
      <c r="M48" s="2"/>
      <c r="N48" s="2"/>
      <c r="O48" s="2"/>
      <c r="P48" s="2"/>
      <c r="Q48" s="2"/>
      <c r="R48" s="2"/>
      <c r="S48" s="2"/>
      <c r="T48" s="2"/>
    </row>
    <row r="49" ht="15.5" spans="1:20">
      <c r="A49" s="11" t="s">
        <v>46</v>
      </c>
      <c r="B49" s="6" t="s">
        <v>5728</v>
      </c>
      <c r="C49" s="11" t="s">
        <v>5729</v>
      </c>
      <c r="D49" s="11" t="s">
        <v>5653</v>
      </c>
      <c r="E49" s="11" t="s">
        <v>658</v>
      </c>
      <c r="F49" s="11" t="s">
        <v>5614</v>
      </c>
      <c r="G49" s="11" t="s">
        <v>5720</v>
      </c>
      <c r="H49" s="11" t="s">
        <v>5721</v>
      </c>
      <c r="I49" s="11" t="s">
        <v>5674</v>
      </c>
      <c r="J49" s="2"/>
      <c r="K49" s="2"/>
      <c r="L49" s="2"/>
      <c r="M49" s="2"/>
      <c r="N49" s="2"/>
      <c r="O49" s="2"/>
      <c r="P49" s="2"/>
      <c r="Q49" s="2"/>
      <c r="R49" s="2"/>
      <c r="S49" s="2"/>
      <c r="T49" s="2"/>
    </row>
    <row r="50" spans="1:20">
      <c r="A50" s="9">
        <v>1</v>
      </c>
      <c r="B50" s="9" t="s">
        <v>1980</v>
      </c>
      <c r="C50" s="9" t="s">
        <v>5730</v>
      </c>
      <c r="D50" s="9" t="s">
        <v>209</v>
      </c>
      <c r="E50" s="9" t="s">
        <v>666</v>
      </c>
      <c r="F50" s="9" t="s">
        <v>5731</v>
      </c>
      <c r="G50" s="9" t="s">
        <v>5723</v>
      </c>
      <c r="H50" s="9" t="s">
        <v>627</v>
      </c>
      <c r="I50" s="9" t="s">
        <v>5732</v>
      </c>
      <c r="J50" s="2"/>
      <c r="K50" s="2"/>
      <c r="L50" s="2"/>
      <c r="M50" s="2"/>
      <c r="N50" s="2"/>
      <c r="O50" s="2"/>
      <c r="P50" s="2"/>
      <c r="Q50" s="2"/>
      <c r="R50" s="2"/>
      <c r="S50" s="2"/>
      <c r="T50" s="2"/>
    </row>
    <row r="51" spans="1:20">
      <c r="A51" s="9">
        <v>2</v>
      </c>
      <c r="B51" s="9" t="s">
        <v>5733</v>
      </c>
      <c r="C51" s="9" t="s">
        <v>5734</v>
      </c>
      <c r="D51" s="9" t="s">
        <v>209</v>
      </c>
      <c r="E51" s="9" t="s">
        <v>666</v>
      </c>
      <c r="F51" s="9" t="s">
        <v>5735</v>
      </c>
      <c r="G51" s="9" t="s">
        <v>5736</v>
      </c>
      <c r="H51" s="9" t="s">
        <v>5737</v>
      </c>
      <c r="I51" s="9" t="s">
        <v>5738</v>
      </c>
    </row>
    <row r="52" spans="1:20">
      <c r="A52" s="9">
        <v>3</v>
      </c>
      <c r="B52" s="9" t="s">
        <v>5739</v>
      </c>
      <c r="C52" s="9" t="s">
        <v>5740</v>
      </c>
      <c r="D52" s="9" t="s">
        <v>209</v>
      </c>
      <c r="E52" s="9" t="s">
        <v>666</v>
      </c>
      <c r="F52" s="9" t="s">
        <v>5424</v>
      </c>
      <c r="G52" s="9" t="s">
        <v>5741</v>
      </c>
      <c r="H52" s="9" t="s">
        <v>5742</v>
      </c>
      <c r="I52" s="9" t="s">
        <v>5743</v>
      </c>
    </row>
    <row r="53" spans="1:20">
      <c r="A53" s="9">
        <v>4</v>
      </c>
      <c r="B53" s="9" t="s">
        <v>5744</v>
      </c>
      <c r="C53" s="9" t="s">
        <v>5745</v>
      </c>
      <c r="D53" s="9" t="s">
        <v>209</v>
      </c>
      <c r="E53" s="9" t="s">
        <v>666</v>
      </c>
      <c r="F53" s="9" t="s">
        <v>5746</v>
      </c>
      <c r="G53" s="9" t="s">
        <v>5747</v>
      </c>
      <c r="H53" s="9" t="s">
        <v>627</v>
      </c>
      <c r="I53" s="9" t="s">
        <v>5748</v>
      </c>
    </row>
    <row r="54" spans="1:20">
      <c r="A54" s="9">
        <v>5</v>
      </c>
      <c r="B54" s="9" t="s">
        <v>5749</v>
      </c>
      <c r="C54" s="9" t="s">
        <v>5740</v>
      </c>
      <c r="D54" s="9" t="s">
        <v>5750</v>
      </c>
      <c r="E54" s="9" t="s">
        <v>666</v>
      </c>
      <c r="F54" s="9" t="s">
        <v>5751</v>
      </c>
      <c r="G54" s="9" t="s">
        <v>5752</v>
      </c>
      <c r="H54" s="9" t="s">
        <v>627</v>
      </c>
      <c r="I54" s="9" t="s">
        <v>5753</v>
      </c>
    </row>
    <row r="55" spans="1:20">
      <c r="A55" s="9">
        <v>6</v>
      </c>
      <c r="B55" s="9" t="s">
        <v>5754</v>
      </c>
      <c r="C55" s="9" t="s">
        <v>5658</v>
      </c>
      <c r="D55" s="9" t="s">
        <v>209</v>
      </c>
      <c r="E55" s="9" t="s">
        <v>666</v>
      </c>
      <c r="F55" s="9" t="s">
        <v>5755</v>
      </c>
      <c r="G55" s="9" t="s">
        <v>5752</v>
      </c>
      <c r="H55" s="9" t="s">
        <v>627</v>
      </c>
      <c r="I55" s="9" t="s">
        <v>5756</v>
      </c>
    </row>
    <row r="56" spans="1:20">
      <c r="A56" s="9">
        <v>7</v>
      </c>
      <c r="B56" s="9" t="s">
        <v>5757</v>
      </c>
      <c r="C56" s="9" t="s">
        <v>5658</v>
      </c>
      <c r="D56" s="9" t="s">
        <v>5758</v>
      </c>
      <c r="E56" s="9" t="s">
        <v>666</v>
      </c>
      <c r="F56" s="9" t="s">
        <v>5759</v>
      </c>
      <c r="G56" s="9" t="s">
        <v>5741</v>
      </c>
      <c r="H56" s="9" t="s">
        <v>5760</v>
      </c>
      <c r="I56" s="9" t="s">
        <v>5761</v>
      </c>
    </row>
    <row r="57" spans="1:20">
      <c r="A57" s="9">
        <v>8</v>
      </c>
      <c r="B57" s="9" t="s">
        <v>5762</v>
      </c>
      <c r="C57" s="9" t="s">
        <v>5658</v>
      </c>
      <c r="D57" s="9" t="s">
        <v>209</v>
      </c>
      <c r="E57" s="9" t="s">
        <v>666</v>
      </c>
      <c r="F57" s="9" t="s">
        <v>5763</v>
      </c>
      <c r="G57" s="9" t="s">
        <v>5723</v>
      </c>
      <c r="H57" s="9" t="s">
        <v>627</v>
      </c>
      <c r="I57" s="9" t="s">
        <v>5764</v>
      </c>
    </row>
    <row r="58" spans="1:20">
      <c r="A58" s="9">
        <v>9</v>
      </c>
      <c r="B58" s="9" t="s">
        <v>5765</v>
      </c>
      <c r="C58" s="9" t="s">
        <v>5658</v>
      </c>
      <c r="D58" s="9" t="s">
        <v>5766</v>
      </c>
      <c r="E58" s="9" t="s">
        <v>666</v>
      </c>
      <c r="F58" s="9" t="s">
        <v>234</v>
      </c>
      <c r="G58" s="9" t="s">
        <v>5767</v>
      </c>
      <c r="H58" s="9" t="s">
        <v>627</v>
      </c>
      <c r="I58" s="9" t="s">
        <v>5768</v>
      </c>
    </row>
    <row r="59" spans="1:20">
      <c r="A59" s="9">
        <v>10</v>
      </c>
      <c r="B59" s="9" t="s">
        <v>5769</v>
      </c>
      <c r="C59" s="9" t="s">
        <v>5658</v>
      </c>
      <c r="D59" s="9" t="s">
        <v>209</v>
      </c>
      <c r="E59" s="9" t="s">
        <v>666</v>
      </c>
      <c r="F59" s="9" t="s">
        <v>5770</v>
      </c>
      <c r="G59" s="9" t="s">
        <v>5771</v>
      </c>
      <c r="H59" s="9" t="s">
        <v>627</v>
      </c>
      <c r="I59" s="9" t="s">
        <v>5772</v>
      </c>
    </row>
    <row r="60" spans="1:20">
      <c r="A60" s="9">
        <v>11</v>
      </c>
      <c r="B60" s="9" t="s">
        <v>5773</v>
      </c>
      <c r="C60" s="9" t="s">
        <v>5658</v>
      </c>
      <c r="D60" s="9" t="s">
        <v>5774</v>
      </c>
      <c r="E60" s="9" t="s">
        <v>666</v>
      </c>
      <c r="F60" s="9" t="s">
        <v>5775</v>
      </c>
      <c r="G60" s="9" t="s">
        <v>5776</v>
      </c>
      <c r="H60" s="9" t="s">
        <v>627</v>
      </c>
      <c r="I60" s="9" t="s">
        <v>5777</v>
      </c>
    </row>
    <row r="61" spans="1:20">
      <c r="A61" s="9">
        <v>12</v>
      </c>
      <c r="B61" s="9" t="s">
        <v>5778</v>
      </c>
      <c r="C61" s="9" t="s">
        <v>5779</v>
      </c>
      <c r="D61" s="9" t="s">
        <v>5780</v>
      </c>
      <c r="E61" s="9" t="s">
        <v>5781</v>
      </c>
      <c r="F61" s="9" t="s">
        <v>5782</v>
      </c>
      <c r="G61" s="9" t="s">
        <v>5783</v>
      </c>
      <c r="H61" s="9" t="s">
        <v>1797</v>
      </c>
      <c r="I61" s="9" t="s">
        <v>5784</v>
      </c>
    </row>
    <row r="62" spans="1:20">
      <c r="A62" s="9">
        <v>13</v>
      </c>
      <c r="B62" s="9" t="s">
        <v>5785</v>
      </c>
      <c r="C62" s="9" t="s">
        <v>5658</v>
      </c>
      <c r="D62" s="9" t="s">
        <v>209</v>
      </c>
      <c r="E62" s="9" t="s">
        <v>666</v>
      </c>
      <c r="F62" s="9" t="s">
        <v>5786</v>
      </c>
      <c r="G62" s="9" t="s">
        <v>5723</v>
      </c>
      <c r="H62" s="9" t="s">
        <v>627</v>
      </c>
      <c r="I62" s="9" t="s">
        <v>5787</v>
      </c>
    </row>
    <row r="63" spans="1:20">
      <c r="A63" s="9">
        <v>14</v>
      </c>
      <c r="B63" s="9" t="s">
        <v>5788</v>
      </c>
      <c r="C63" s="9" t="s">
        <v>5789</v>
      </c>
      <c r="D63" s="9" t="s">
        <v>209</v>
      </c>
      <c r="E63" s="9" t="s">
        <v>666</v>
      </c>
      <c r="F63" s="9" t="s">
        <v>5790</v>
      </c>
      <c r="G63" s="9" t="s">
        <v>5791</v>
      </c>
      <c r="H63" s="9" t="s">
        <v>627</v>
      </c>
      <c r="I63" s="9" t="s">
        <v>5792</v>
      </c>
    </row>
    <row r="64" spans="1:20">
      <c r="A64" s="9">
        <v>15</v>
      </c>
      <c r="B64" s="9" t="s">
        <v>5793</v>
      </c>
      <c r="C64" s="9" t="s">
        <v>5658</v>
      </c>
      <c r="D64" s="9" t="s">
        <v>209</v>
      </c>
      <c r="E64" s="9" t="s">
        <v>666</v>
      </c>
      <c r="F64" s="9" t="s">
        <v>5794</v>
      </c>
      <c r="G64" s="9" t="s">
        <v>5795</v>
      </c>
      <c r="H64" s="9" t="s">
        <v>627</v>
      </c>
      <c r="I64" s="9" t="s">
        <v>5796</v>
      </c>
    </row>
    <row r="65" spans="1:20">
      <c r="A65" s="9" t="s">
        <v>110</v>
      </c>
      <c r="B65" s="9"/>
      <c r="C65" s="9"/>
      <c r="D65" s="9"/>
      <c r="E65" s="9"/>
      <c r="F65" s="9"/>
      <c r="G65" s="9"/>
      <c r="H65" s="9"/>
      <c r="I65" s="9"/>
      <c r="J65" s="2"/>
      <c r="K65" s="2"/>
      <c r="L65" s="2"/>
      <c r="M65" s="2"/>
      <c r="N65" s="2"/>
      <c r="O65" s="2"/>
      <c r="P65" s="2"/>
      <c r="Q65" s="2"/>
      <c r="R65" s="2"/>
      <c r="S65" s="2"/>
      <c r="T65" s="2"/>
    </row>
    <row r="66" spans="1:20">
      <c r="A66" s="2"/>
      <c r="B66" s="2"/>
      <c r="C66" s="2"/>
      <c r="D66" s="2"/>
      <c r="E66" s="2"/>
      <c r="F66" s="2"/>
      <c r="G66" s="2"/>
      <c r="H66" s="2"/>
      <c r="I66" s="2"/>
      <c r="J66" s="2"/>
      <c r="K66" s="2"/>
      <c r="L66" s="2"/>
      <c r="M66" s="2"/>
      <c r="N66" s="2"/>
      <c r="O66" s="2"/>
      <c r="P66" s="2"/>
      <c r="Q66" s="2"/>
      <c r="R66" s="2"/>
      <c r="S66" s="2"/>
      <c r="T66" s="2"/>
    </row>
    <row r="67" ht="15.5" spans="1:20">
      <c r="A67" s="3" t="s">
        <v>5797</v>
      </c>
      <c r="B67" s="9" t="s">
        <v>2307</v>
      </c>
      <c r="C67" s="2"/>
      <c r="D67" s="2"/>
      <c r="E67" s="2"/>
      <c r="F67" s="2"/>
      <c r="G67" s="2"/>
      <c r="H67" s="2"/>
      <c r="I67" s="2"/>
      <c r="J67" s="2"/>
      <c r="K67" s="2"/>
      <c r="L67" s="2"/>
      <c r="M67" s="2"/>
      <c r="N67" s="2"/>
      <c r="O67" s="2"/>
      <c r="P67" s="2"/>
      <c r="Q67" s="2"/>
      <c r="R67" s="2"/>
      <c r="S67" s="2"/>
      <c r="T67" s="2"/>
    </row>
    <row r="68" ht="15.5" spans="1:20">
      <c r="A68" s="11" t="s">
        <v>46</v>
      </c>
      <c r="B68" s="11" t="s">
        <v>5614</v>
      </c>
      <c r="C68" s="11" t="s">
        <v>5719</v>
      </c>
      <c r="D68" s="11" t="s">
        <v>5651</v>
      </c>
      <c r="E68" s="11" t="s">
        <v>13</v>
      </c>
      <c r="F68" s="11" t="s">
        <v>5720</v>
      </c>
      <c r="G68" s="11" t="s">
        <v>5721</v>
      </c>
      <c r="H68" s="11" t="s">
        <v>5674</v>
      </c>
      <c r="I68" s="11" t="s">
        <v>5798</v>
      </c>
      <c r="J68" s="2"/>
      <c r="K68" s="2"/>
      <c r="L68" s="2"/>
      <c r="M68" s="2"/>
      <c r="N68" s="2"/>
      <c r="O68" s="2"/>
      <c r="P68" s="2"/>
      <c r="Q68" s="2"/>
      <c r="R68" s="2"/>
      <c r="S68" s="2"/>
      <c r="T68" s="2"/>
    </row>
    <row r="69" spans="1:20">
      <c r="A69" s="9">
        <v>1</v>
      </c>
      <c r="B69" s="9" t="s">
        <v>5799</v>
      </c>
      <c r="C69" s="9" t="s">
        <v>5656</v>
      </c>
      <c r="D69" s="9" t="s">
        <v>67</v>
      </c>
      <c r="E69" s="9" t="s">
        <v>5800</v>
      </c>
      <c r="F69" s="9" t="s">
        <v>5723</v>
      </c>
      <c r="G69" s="9" t="s">
        <v>5801</v>
      </c>
      <c r="H69" s="9" t="s">
        <v>5802</v>
      </c>
      <c r="I69" s="9" t="s">
        <v>5803</v>
      </c>
      <c r="J69" s="2"/>
      <c r="K69" s="2"/>
      <c r="L69" s="2"/>
      <c r="M69" s="2"/>
      <c r="N69" s="2"/>
      <c r="O69" s="2"/>
      <c r="P69" s="2"/>
      <c r="Q69" s="2"/>
      <c r="R69" s="2"/>
      <c r="S69" s="2"/>
      <c r="T69" s="2"/>
    </row>
    <row r="70" spans="1:20">
      <c r="A70" s="9">
        <v>2</v>
      </c>
      <c r="B70" s="9" t="s">
        <v>5804</v>
      </c>
      <c r="C70" s="9" t="s">
        <v>5656</v>
      </c>
      <c r="D70" s="9" t="s">
        <v>67</v>
      </c>
      <c r="E70" s="9" t="s">
        <v>5805</v>
      </c>
      <c r="F70" s="9" t="s">
        <v>5723</v>
      </c>
      <c r="G70" s="9" t="s">
        <v>5806</v>
      </c>
      <c r="H70" s="9" t="s">
        <v>5807</v>
      </c>
      <c r="I70" s="9" t="s">
        <v>5808</v>
      </c>
    </row>
    <row r="71" spans="1:20">
      <c r="A71" s="9">
        <v>3</v>
      </c>
      <c r="B71" s="9" t="s">
        <v>5809</v>
      </c>
      <c r="C71" s="9" t="s">
        <v>5656</v>
      </c>
      <c r="D71" s="9" t="s">
        <v>67</v>
      </c>
      <c r="E71" s="9" t="s">
        <v>5810</v>
      </c>
      <c r="F71" s="9" t="s">
        <v>5723</v>
      </c>
      <c r="G71" s="9" t="s">
        <v>5811</v>
      </c>
      <c r="H71" s="9" t="s">
        <v>5812</v>
      </c>
      <c r="I71" s="9" t="s">
        <v>5813</v>
      </c>
    </row>
    <row r="72" spans="1:20">
      <c r="A72" s="9">
        <v>4</v>
      </c>
      <c r="B72" s="9" t="s">
        <v>5814</v>
      </c>
      <c r="C72" s="9" t="s">
        <v>5656</v>
      </c>
      <c r="D72" s="9" t="s">
        <v>67</v>
      </c>
      <c r="E72" s="9" t="s">
        <v>5815</v>
      </c>
      <c r="F72" s="9" t="s">
        <v>5723</v>
      </c>
      <c r="G72" s="9" t="s">
        <v>5816</v>
      </c>
      <c r="H72" s="9" t="s">
        <v>5817</v>
      </c>
      <c r="I72" s="9" t="s">
        <v>5818</v>
      </c>
    </row>
    <row r="73" spans="1:20">
      <c r="A73" s="9">
        <v>5</v>
      </c>
      <c r="B73" s="9" t="s">
        <v>5819</v>
      </c>
      <c r="C73" s="9" t="s">
        <v>5656</v>
      </c>
      <c r="D73" s="9" t="s">
        <v>67</v>
      </c>
      <c r="E73" s="9" t="s">
        <v>5820</v>
      </c>
      <c r="F73" s="9" t="s">
        <v>5821</v>
      </c>
      <c r="G73" s="9" t="s">
        <v>5822</v>
      </c>
      <c r="H73" s="9" t="s">
        <v>5823</v>
      </c>
      <c r="I73" s="9" t="s">
        <v>5824</v>
      </c>
    </row>
    <row r="74" spans="1:20">
      <c r="A74" s="9">
        <v>6</v>
      </c>
      <c r="B74" s="9" t="s">
        <v>5825</v>
      </c>
      <c r="C74" s="9" t="s">
        <v>67</v>
      </c>
      <c r="D74" s="9" t="s">
        <v>67</v>
      </c>
      <c r="E74" s="9" t="s">
        <v>5826</v>
      </c>
      <c r="F74" s="9" t="s">
        <v>5723</v>
      </c>
      <c r="G74" s="9" t="s">
        <v>5724</v>
      </c>
      <c r="H74" s="9" t="s">
        <v>5827</v>
      </c>
      <c r="I74" s="9" t="s">
        <v>5828</v>
      </c>
    </row>
    <row r="75" spans="1:20">
      <c r="A75" s="9">
        <v>7</v>
      </c>
      <c r="B75" s="9" t="s">
        <v>5829</v>
      </c>
      <c r="C75" s="9" t="s">
        <v>5656</v>
      </c>
      <c r="D75" s="9" t="s">
        <v>67</v>
      </c>
      <c r="E75" s="9" t="s">
        <v>5830</v>
      </c>
      <c r="F75" s="9" t="s">
        <v>5723</v>
      </c>
      <c r="G75" s="9" t="s">
        <v>5816</v>
      </c>
      <c r="H75" s="9" t="s">
        <v>5831</v>
      </c>
      <c r="I75" s="9" t="s">
        <v>5832</v>
      </c>
    </row>
    <row r="76" spans="1:20">
      <c r="A76" s="9">
        <v>8</v>
      </c>
      <c r="B76" s="9" t="s">
        <v>5833</v>
      </c>
      <c r="C76" s="9" t="s">
        <v>5656</v>
      </c>
      <c r="D76" s="9" t="s">
        <v>67</v>
      </c>
      <c r="E76" s="9" t="s">
        <v>5834</v>
      </c>
      <c r="F76" s="9" t="s">
        <v>5723</v>
      </c>
      <c r="G76" s="9" t="s">
        <v>5816</v>
      </c>
      <c r="H76" s="9" t="s">
        <v>5835</v>
      </c>
      <c r="I76" s="9" t="s">
        <v>5836</v>
      </c>
    </row>
    <row r="77" spans="1:20">
      <c r="A77" s="9">
        <v>9</v>
      </c>
      <c r="B77" s="9" t="s">
        <v>5837</v>
      </c>
      <c r="C77" s="9" t="s">
        <v>5656</v>
      </c>
      <c r="D77" s="9" t="s">
        <v>67</v>
      </c>
      <c r="E77" s="9" t="s">
        <v>5838</v>
      </c>
      <c r="F77" s="9" t="s">
        <v>5723</v>
      </c>
      <c r="G77" s="9" t="s">
        <v>5839</v>
      </c>
      <c r="H77" s="9" t="s">
        <v>5840</v>
      </c>
      <c r="I77" s="9" t="s">
        <v>5841</v>
      </c>
    </row>
    <row r="78" spans="1:20">
      <c r="A78" s="9">
        <v>10</v>
      </c>
      <c r="B78" s="9" t="s">
        <v>5842</v>
      </c>
      <c r="C78" s="9" t="s">
        <v>5656</v>
      </c>
      <c r="D78" s="9" t="s">
        <v>67</v>
      </c>
      <c r="E78" s="9" t="s">
        <v>5843</v>
      </c>
      <c r="F78" s="9" t="s">
        <v>5844</v>
      </c>
      <c r="G78" s="9" t="s">
        <v>5839</v>
      </c>
      <c r="H78" s="9" t="s">
        <v>5845</v>
      </c>
      <c r="I78" s="9" t="s">
        <v>5846</v>
      </c>
    </row>
    <row r="79" spans="1:20">
      <c r="A79" s="9">
        <v>11</v>
      </c>
      <c r="B79" s="9" t="s">
        <v>5847</v>
      </c>
      <c r="C79" s="9" t="s">
        <v>5656</v>
      </c>
      <c r="D79" s="9" t="s">
        <v>67</v>
      </c>
      <c r="E79" s="9" t="s">
        <v>5848</v>
      </c>
      <c r="F79" s="9" t="s">
        <v>5723</v>
      </c>
      <c r="G79" s="9" t="s">
        <v>5849</v>
      </c>
      <c r="H79" s="9" t="s">
        <v>5850</v>
      </c>
      <c r="I79" s="9" t="s">
        <v>5851</v>
      </c>
    </row>
    <row r="80" spans="1:20">
      <c r="A80" s="9">
        <v>12</v>
      </c>
      <c r="B80" s="9" t="s">
        <v>5852</v>
      </c>
      <c r="C80" s="9" t="s">
        <v>5656</v>
      </c>
      <c r="D80" s="9" t="s">
        <v>67</v>
      </c>
      <c r="E80" s="9" t="s">
        <v>5853</v>
      </c>
      <c r="F80" s="9" t="s">
        <v>5723</v>
      </c>
      <c r="G80" s="9" t="s">
        <v>5839</v>
      </c>
      <c r="H80" s="9" t="s">
        <v>5854</v>
      </c>
      <c r="I80" s="9" t="s">
        <v>5855</v>
      </c>
    </row>
    <row r="81" spans="1:20">
      <c r="A81" s="9">
        <v>13</v>
      </c>
      <c r="B81" s="9" t="s">
        <v>5856</v>
      </c>
      <c r="C81" s="9" t="s">
        <v>5656</v>
      </c>
      <c r="D81" s="9" t="s">
        <v>67</v>
      </c>
      <c r="E81" s="9" t="s">
        <v>5857</v>
      </c>
      <c r="F81" s="9" t="s">
        <v>5723</v>
      </c>
      <c r="G81" s="9" t="s">
        <v>5811</v>
      </c>
      <c r="H81" s="9" t="s">
        <v>5858</v>
      </c>
      <c r="I81" s="9" t="s">
        <v>5859</v>
      </c>
    </row>
    <row r="82" spans="1:20">
      <c r="A82" s="9">
        <v>14</v>
      </c>
      <c r="B82" s="9" t="s">
        <v>5860</v>
      </c>
      <c r="C82" s="9" t="s">
        <v>5656</v>
      </c>
      <c r="D82" s="9" t="s">
        <v>67</v>
      </c>
      <c r="E82" s="9" t="s">
        <v>5861</v>
      </c>
      <c r="F82" s="9" t="s">
        <v>5747</v>
      </c>
      <c r="G82" s="9" t="s">
        <v>5816</v>
      </c>
      <c r="H82" s="9" t="s">
        <v>5862</v>
      </c>
      <c r="I82" s="9" t="s">
        <v>5863</v>
      </c>
    </row>
    <row r="83" spans="1:20">
      <c r="A83" s="9">
        <v>15</v>
      </c>
      <c r="B83" s="9" t="s">
        <v>5864</v>
      </c>
      <c r="C83" s="9" t="s">
        <v>5656</v>
      </c>
      <c r="D83" s="9" t="s">
        <v>67</v>
      </c>
      <c r="E83" s="9" t="s">
        <v>5865</v>
      </c>
      <c r="F83" s="9" t="s">
        <v>5723</v>
      </c>
      <c r="G83" s="9" t="s">
        <v>5849</v>
      </c>
      <c r="H83" s="9" t="s">
        <v>5866</v>
      </c>
      <c r="I83" s="9" t="s">
        <v>5867</v>
      </c>
    </row>
    <row r="84" spans="1:20">
      <c r="A84" s="9">
        <v>16</v>
      </c>
      <c r="B84" s="9" t="s">
        <v>5868</v>
      </c>
      <c r="C84" s="9" t="s">
        <v>5668</v>
      </c>
      <c r="D84" s="9" t="s">
        <v>67</v>
      </c>
      <c r="E84" s="9" t="s">
        <v>5869</v>
      </c>
      <c r="F84" s="9" t="s">
        <v>5723</v>
      </c>
      <c r="G84" s="9" t="s">
        <v>5870</v>
      </c>
      <c r="H84" s="9" t="s">
        <v>5871</v>
      </c>
      <c r="I84" s="9" t="s">
        <v>5872</v>
      </c>
    </row>
    <row r="85" spans="1:20">
      <c r="A85" s="9">
        <v>17</v>
      </c>
      <c r="B85" s="9" t="s">
        <v>5873</v>
      </c>
      <c r="C85" s="9" t="s">
        <v>5668</v>
      </c>
      <c r="D85" s="9" t="s">
        <v>67</v>
      </c>
      <c r="E85" s="9" t="s">
        <v>5874</v>
      </c>
      <c r="F85" s="9" t="s">
        <v>5723</v>
      </c>
      <c r="G85" s="9" t="s">
        <v>5870</v>
      </c>
      <c r="H85" s="9" t="s">
        <v>5875</v>
      </c>
      <c r="I85" s="9" t="s">
        <v>5876</v>
      </c>
    </row>
    <row r="86" spans="1:20">
      <c r="A86" s="9">
        <v>18</v>
      </c>
      <c r="B86" s="9" t="s">
        <v>5877</v>
      </c>
      <c r="C86" s="9" t="s">
        <v>5668</v>
      </c>
      <c r="D86" s="9" t="s">
        <v>67</v>
      </c>
      <c r="E86" s="9" t="s">
        <v>5878</v>
      </c>
      <c r="F86" s="9" t="s">
        <v>5723</v>
      </c>
      <c r="G86" s="9" t="s">
        <v>5816</v>
      </c>
      <c r="H86" s="9" t="s">
        <v>5879</v>
      </c>
      <c r="I86" s="9" t="s">
        <v>5880</v>
      </c>
    </row>
    <row r="87" spans="1:20">
      <c r="A87" s="9">
        <v>19</v>
      </c>
      <c r="B87" s="9" t="s">
        <v>5881</v>
      </c>
      <c r="C87" s="9" t="s">
        <v>5668</v>
      </c>
      <c r="D87" s="9" t="s">
        <v>67</v>
      </c>
      <c r="E87" s="9" t="s">
        <v>5882</v>
      </c>
      <c r="F87" s="9" t="s">
        <v>5723</v>
      </c>
      <c r="G87" s="9" t="s">
        <v>5816</v>
      </c>
      <c r="H87" s="9" t="s">
        <v>5883</v>
      </c>
      <c r="I87" s="9" t="s">
        <v>5884</v>
      </c>
    </row>
    <row r="88" spans="1:20">
      <c r="A88" s="9">
        <v>20</v>
      </c>
      <c r="B88" s="9" t="s">
        <v>5885</v>
      </c>
      <c r="C88" s="9" t="s">
        <v>5656</v>
      </c>
      <c r="D88" s="9" t="s">
        <v>67</v>
      </c>
      <c r="E88" s="9" t="s">
        <v>5886</v>
      </c>
      <c r="F88" s="9" t="s">
        <v>5723</v>
      </c>
      <c r="G88" s="9" t="s">
        <v>5870</v>
      </c>
      <c r="H88" s="9" t="s">
        <v>5887</v>
      </c>
      <c r="I88" s="9" t="s">
        <v>5888</v>
      </c>
    </row>
    <row r="89" spans="1:20">
      <c r="A89" s="9" t="s">
        <v>110</v>
      </c>
      <c r="B89" s="9"/>
      <c r="C89" s="9"/>
      <c r="D89" s="9"/>
      <c r="E89" s="9"/>
      <c r="F89" s="9"/>
      <c r="G89" s="9"/>
      <c r="H89" s="9"/>
      <c r="I89" s="9"/>
      <c r="J89" s="2"/>
      <c r="K89" s="2"/>
      <c r="L89" s="2"/>
      <c r="M89" s="2"/>
      <c r="N89" s="2"/>
      <c r="O89" s="2"/>
      <c r="P89" s="2"/>
      <c r="Q89" s="2"/>
      <c r="R89" s="2"/>
      <c r="S89" s="2"/>
      <c r="T89" s="2"/>
    </row>
    <row r="90" spans="1:20">
      <c r="A90" s="2"/>
      <c r="B90" s="2"/>
      <c r="C90" s="2"/>
      <c r="D90" s="2"/>
      <c r="E90" s="2"/>
      <c r="F90" s="2"/>
      <c r="G90" s="2"/>
      <c r="H90" s="2"/>
      <c r="I90" s="2"/>
      <c r="J90" s="2"/>
      <c r="K90" s="2"/>
      <c r="L90" s="2"/>
      <c r="M90" s="2"/>
      <c r="N90" s="2"/>
      <c r="O90" s="2"/>
      <c r="P90" s="2"/>
      <c r="Q90" s="2"/>
      <c r="R90" s="2"/>
      <c r="S90" s="2"/>
      <c r="T90" s="2"/>
    </row>
    <row r="91" ht="15.5" spans="1:20">
      <c r="A91" s="3" t="s">
        <v>5889</v>
      </c>
      <c r="B91" s="9" t="s">
        <v>267</v>
      </c>
      <c r="C91" s="2"/>
      <c r="D91" s="2"/>
      <c r="E91" s="2"/>
      <c r="F91" s="2"/>
      <c r="G91" s="2"/>
      <c r="H91" s="2"/>
      <c r="I91" s="2"/>
      <c r="J91" s="2"/>
      <c r="K91" s="2"/>
      <c r="L91" s="2"/>
      <c r="M91" s="2"/>
      <c r="N91" s="2"/>
      <c r="O91" s="2"/>
      <c r="P91" s="2"/>
      <c r="Q91" s="2"/>
      <c r="R91" s="2"/>
      <c r="S91" s="2"/>
      <c r="T91" s="2"/>
    </row>
    <row r="92" ht="15.5" spans="1:20">
      <c r="A92" s="11" t="s">
        <v>46</v>
      </c>
      <c r="B92" s="11" t="s">
        <v>5889</v>
      </c>
      <c r="C92" s="11" t="s">
        <v>13</v>
      </c>
      <c r="D92" s="11" t="s">
        <v>5721</v>
      </c>
      <c r="E92" s="11" t="s">
        <v>5674</v>
      </c>
      <c r="F92" s="2"/>
      <c r="G92" s="2"/>
      <c r="H92" s="2"/>
      <c r="I92" s="2"/>
      <c r="J92" s="2"/>
      <c r="K92" s="2"/>
      <c r="L92" s="2"/>
      <c r="M92" s="2"/>
      <c r="N92" s="2"/>
      <c r="O92" s="2"/>
      <c r="P92" s="2"/>
      <c r="Q92" s="2"/>
      <c r="R92" s="2"/>
      <c r="S92" s="2"/>
      <c r="T92" s="2"/>
    </row>
    <row r="93" spans="1:20">
      <c r="A93" s="9">
        <v>1</v>
      </c>
      <c r="B93" s="9" t="s">
        <v>209</v>
      </c>
      <c r="C93" s="9" t="s">
        <v>5890</v>
      </c>
      <c r="D93" s="9" t="s">
        <v>5891</v>
      </c>
      <c r="E93" s="9" t="s">
        <v>5892</v>
      </c>
      <c r="F93" s="2"/>
      <c r="G93" s="2"/>
      <c r="H93" s="2"/>
      <c r="I93" s="2"/>
      <c r="J93" s="2"/>
      <c r="K93" s="2"/>
      <c r="L93" s="2"/>
      <c r="M93" s="2"/>
      <c r="N93" s="2"/>
      <c r="O93" s="2"/>
      <c r="P93" s="2"/>
      <c r="Q93" s="2"/>
      <c r="R93" s="2"/>
      <c r="S93" s="2"/>
      <c r="T93" s="2"/>
    </row>
    <row r="94" spans="1:20">
      <c r="A94" s="9" t="s">
        <v>110</v>
      </c>
      <c r="B94" s="9"/>
      <c r="C94" s="9"/>
      <c r="D94" s="9"/>
      <c r="E94" s="9"/>
      <c r="F94" s="2"/>
      <c r="G94" s="2"/>
      <c r="H94" s="2"/>
      <c r="I94" s="2"/>
      <c r="J94" s="2"/>
      <c r="K94" s="2"/>
      <c r="L94" s="2"/>
      <c r="M94" s="2"/>
      <c r="N94" s="2"/>
      <c r="O94" s="2"/>
      <c r="P94" s="2"/>
      <c r="Q94" s="2"/>
      <c r="R94" s="2"/>
      <c r="S94" s="2"/>
      <c r="T94" s="2"/>
    </row>
    <row r="95" spans="1:20">
      <c r="A95" s="2"/>
      <c r="B95" s="2"/>
      <c r="C95" s="2"/>
      <c r="D95" s="2"/>
      <c r="E95" s="2"/>
      <c r="F95" s="2"/>
      <c r="G95" s="2"/>
      <c r="H95" s="2"/>
      <c r="I95" s="2"/>
      <c r="J95" s="2"/>
      <c r="K95" s="2"/>
      <c r="L95" s="2"/>
      <c r="M95" s="2"/>
      <c r="N95" s="2"/>
      <c r="O95" s="2"/>
      <c r="P95" s="2"/>
      <c r="Q95" s="2"/>
      <c r="R95" s="2"/>
      <c r="S95" s="2"/>
      <c r="T95" s="2"/>
    </row>
    <row r="96" ht="15.5" spans="1:20">
      <c r="A96" s="3" t="s">
        <v>5893</v>
      </c>
      <c r="B96" s="9" t="s">
        <v>110</v>
      </c>
      <c r="C96" s="2"/>
      <c r="D96" s="2"/>
      <c r="E96" s="2"/>
      <c r="F96" s="2"/>
      <c r="G96" s="2"/>
      <c r="H96" s="2"/>
      <c r="I96" s="2"/>
      <c r="J96" s="2"/>
      <c r="K96" s="2"/>
      <c r="L96" s="2"/>
      <c r="M96" s="2"/>
      <c r="N96" s="2"/>
      <c r="O96" s="2"/>
      <c r="P96" s="2"/>
      <c r="Q96" s="2"/>
      <c r="R96" s="2"/>
      <c r="S96" s="2"/>
      <c r="T96" s="2"/>
    </row>
    <row r="97" spans="1:20">
      <c r="A97" s="19" t="s">
        <v>110</v>
      </c>
      <c r="B97" s="9"/>
      <c r="C97" s="9"/>
      <c r="D97" s="9"/>
      <c r="E97" s="9"/>
      <c r="F97" s="9"/>
      <c r="G97" s="2"/>
      <c r="H97" s="2"/>
      <c r="I97" s="2"/>
      <c r="J97" s="2"/>
      <c r="K97" s="2"/>
      <c r="L97" s="2"/>
      <c r="M97" s="2"/>
      <c r="N97" s="2"/>
      <c r="O97" s="2"/>
      <c r="P97" s="2"/>
      <c r="Q97" s="2"/>
      <c r="R97" s="2"/>
      <c r="S97" s="2"/>
      <c r="T97" s="2"/>
    </row>
    <row r="98" spans="1:20">
      <c r="A98" s="2"/>
      <c r="B98" s="2"/>
      <c r="C98" s="2"/>
      <c r="D98" s="2"/>
      <c r="E98" s="2"/>
      <c r="F98" s="2"/>
      <c r="G98" s="2"/>
      <c r="H98" s="2"/>
      <c r="I98" s="2"/>
      <c r="J98" s="2"/>
      <c r="K98" s="2"/>
      <c r="L98" s="2"/>
      <c r="M98" s="2"/>
      <c r="N98" s="2"/>
      <c r="O98" s="2"/>
      <c r="P98" s="2"/>
      <c r="Q98" s="2"/>
      <c r="R98" s="2"/>
      <c r="S98" s="2"/>
      <c r="T98" s="2"/>
    </row>
    <row r="99" spans="1:20">
      <c r="A99" s="2"/>
      <c r="B99" s="2"/>
      <c r="C99" s="2"/>
      <c r="D99" s="2"/>
      <c r="E99" s="2"/>
      <c r="F99" s="2"/>
      <c r="G99" s="2"/>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spans="1:20">
      <c r="A101" s="2"/>
      <c r="B101" s="2"/>
      <c r="C101" s="2"/>
      <c r="D101" s="2"/>
      <c r="E101" s="2"/>
      <c r="F101" s="2"/>
      <c r="G101" s="2"/>
      <c r="H101" s="2"/>
      <c r="I101" s="2"/>
      <c r="J101" s="2"/>
      <c r="K101" s="2"/>
      <c r="L101" s="2"/>
      <c r="M101" s="2"/>
      <c r="N101" s="2"/>
      <c r="O101" s="2"/>
      <c r="P101" s="2"/>
      <c r="Q101" s="2"/>
      <c r="R101" s="2"/>
      <c r="S101" s="2"/>
      <c r="T101" s="2"/>
    </row>
    <row r="102" spans="1:20">
      <c r="A102" s="2"/>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spans="1:20">
      <c r="A105" s="2"/>
      <c r="B105" s="2"/>
      <c r="C105" s="2"/>
      <c r="D105" s="2"/>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spans="1:20">
      <c r="A107" s="2"/>
      <c r="B107" s="2"/>
      <c r="C107" s="2"/>
      <c r="D107" s="2"/>
      <c r="E107" s="2"/>
      <c r="F107" s="2"/>
      <c r="G107" s="2"/>
      <c r="H107" s="2"/>
      <c r="I107" s="2"/>
      <c r="J107" s="2"/>
      <c r="K107" s="2"/>
      <c r="L107" s="2"/>
      <c r="M107" s="2"/>
      <c r="N107" s="2"/>
      <c r="O107" s="2"/>
      <c r="P107" s="2"/>
      <c r="Q107" s="2"/>
      <c r="R107" s="2"/>
      <c r="S107" s="2"/>
      <c r="T107" s="2"/>
    </row>
    <row r="108" spans="1:20">
      <c r="A108" s="2"/>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spans="1:20">
      <c r="A110" s="2"/>
      <c r="B110" s="2"/>
      <c r="C110" s="2"/>
      <c r="D110" s="2"/>
      <c r="E110" s="2"/>
      <c r="F110" s="2"/>
      <c r="G110" s="2"/>
      <c r="H110" s="2"/>
      <c r="I110" s="2"/>
      <c r="J110" s="2"/>
      <c r="K110" s="2"/>
      <c r="L110" s="2"/>
      <c r="M110" s="2"/>
      <c r="N110" s="2"/>
      <c r="O110" s="2"/>
      <c r="P110" s="2"/>
      <c r="Q110" s="2"/>
      <c r="R110" s="2"/>
      <c r="S110" s="2"/>
      <c r="T110" s="2"/>
    </row>
    <row r="111" spans="1:20">
      <c r="A111" s="2"/>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spans="1:20">
      <c r="A113" s="2"/>
      <c r="B113" s="2"/>
      <c r="C113" s="2"/>
      <c r="D113" s="2"/>
      <c r="E113" s="2"/>
      <c r="F113" s="2"/>
      <c r="G113" s="2"/>
      <c r="H113" s="2"/>
      <c r="I113" s="2"/>
      <c r="J113" s="2"/>
      <c r="K113" s="2"/>
      <c r="L113" s="2"/>
      <c r="M113" s="2"/>
      <c r="N113" s="2"/>
      <c r="O113" s="2"/>
      <c r="P113" s="2"/>
      <c r="Q113" s="2"/>
      <c r="R113" s="2"/>
      <c r="S113" s="2"/>
      <c r="T113" s="2"/>
    </row>
    <row r="114" spans="1:20">
      <c r="A114" s="2"/>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spans="1:20">
      <c r="A116" s="2"/>
      <c r="B116" s="2"/>
      <c r="C116" s="2"/>
      <c r="D116" s="2"/>
      <c r="E116" s="2"/>
      <c r="F116" s="2"/>
      <c r="G116" s="2"/>
      <c r="H116" s="2"/>
      <c r="I116" s="2"/>
      <c r="J116" s="2"/>
      <c r="K116" s="2"/>
      <c r="L116" s="2"/>
      <c r="M116" s="2"/>
      <c r="N116" s="2"/>
      <c r="O116" s="2"/>
      <c r="P116" s="2"/>
      <c r="Q116" s="2"/>
      <c r="R116" s="2"/>
      <c r="S116" s="2"/>
      <c r="T116" s="2"/>
    </row>
    <row r="117" spans="1:20">
      <c r="A117" s="2"/>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spans="1:20">
      <c r="A119" s="2"/>
      <c r="B119" s="2"/>
      <c r="C119" s="2"/>
      <c r="D119" s="2"/>
      <c r="E119" s="2"/>
      <c r="F119" s="2"/>
      <c r="G119" s="2"/>
      <c r="H119" s="2"/>
      <c r="I119" s="2"/>
      <c r="J119" s="2"/>
      <c r="K119" s="2"/>
      <c r="L119" s="2"/>
      <c r="M119" s="2"/>
      <c r="N119" s="2"/>
      <c r="O119" s="2"/>
      <c r="P119" s="2"/>
      <c r="Q119" s="2"/>
      <c r="R119" s="2"/>
      <c r="S119" s="2"/>
      <c r="T119" s="2"/>
    </row>
    <row r="120" spans="1:20">
      <c r="A120" s="2"/>
      <c r="B120" s="2"/>
      <c r="C120" s="2"/>
      <c r="D120" s="2"/>
      <c r="E120" s="2"/>
      <c r="F120" s="2"/>
      <c r="G120" s="2"/>
      <c r="H120" s="2"/>
      <c r="I120" s="2"/>
      <c r="J120" s="2"/>
      <c r="K120" s="2"/>
      <c r="L120" s="2"/>
      <c r="M120" s="2"/>
      <c r="N120" s="2"/>
      <c r="O120" s="2"/>
      <c r="P120" s="2"/>
      <c r="Q120" s="2"/>
      <c r="R120" s="2"/>
      <c r="S120" s="2"/>
      <c r="T120" s="2"/>
    </row>
    <row r="121" spans="1:20">
      <c r="A121" s="2"/>
      <c r="B121" s="2"/>
      <c r="C121" s="2"/>
      <c r="D121" s="2"/>
      <c r="E121" s="2"/>
      <c r="F121" s="2"/>
      <c r="G121" s="2"/>
      <c r="H121" s="2"/>
      <c r="I121" s="2"/>
      <c r="J121" s="2"/>
      <c r="K121" s="2"/>
      <c r="L121" s="2"/>
      <c r="M121" s="2"/>
      <c r="N121" s="2"/>
      <c r="O121" s="2"/>
      <c r="P121" s="2"/>
      <c r="Q121" s="2"/>
      <c r="R121" s="2"/>
      <c r="S121" s="2"/>
      <c r="T121" s="2"/>
    </row>
    <row r="122" spans="1:20">
      <c r="A122" s="2"/>
      <c r="B122" s="2"/>
      <c r="C122" s="2"/>
      <c r="D122" s="2"/>
      <c r="E122" s="2"/>
      <c r="F122" s="2"/>
      <c r="G122" s="2"/>
      <c r="H122" s="2"/>
      <c r="I122" s="2"/>
      <c r="J122" s="2"/>
      <c r="K122" s="2"/>
      <c r="L122" s="2"/>
      <c r="M122" s="2"/>
      <c r="N122" s="2"/>
      <c r="O122" s="2"/>
      <c r="P122" s="2"/>
      <c r="Q122" s="2"/>
      <c r="R122" s="2"/>
      <c r="S122" s="2"/>
      <c r="T122" s="2"/>
    </row>
    <row r="123" spans="1:20">
      <c r="A123" s="2"/>
      <c r="B123" s="2"/>
      <c r="C123" s="2"/>
      <c r="D123" s="2"/>
      <c r="E123" s="2"/>
      <c r="F123" s="2"/>
      <c r="G123" s="2"/>
      <c r="H123" s="2"/>
      <c r="I123" s="2"/>
      <c r="J123" s="2"/>
      <c r="K123" s="2"/>
      <c r="L123" s="2"/>
      <c r="M123" s="2"/>
      <c r="N123" s="2"/>
      <c r="O123" s="2"/>
      <c r="P123" s="2"/>
      <c r="Q123" s="2"/>
      <c r="R123" s="2"/>
      <c r="S123" s="2"/>
      <c r="T123" s="2"/>
    </row>
    <row r="124" spans="1:20">
      <c r="A124" s="2"/>
      <c r="B124" s="2"/>
      <c r="C124" s="2"/>
      <c r="D124" s="2"/>
      <c r="E124" s="2"/>
      <c r="F124" s="2"/>
      <c r="G124" s="2"/>
      <c r="H124" s="2"/>
      <c r="I124" s="2"/>
      <c r="J124" s="2"/>
      <c r="K124" s="2"/>
      <c r="L124" s="2"/>
      <c r="M124" s="2"/>
      <c r="N124" s="2"/>
      <c r="O124" s="2"/>
      <c r="P124" s="2"/>
      <c r="Q124" s="2"/>
      <c r="R124" s="2"/>
      <c r="S124" s="2"/>
      <c r="T124" s="2"/>
    </row>
    <row r="125" spans="1:20">
      <c r="A125" s="2"/>
      <c r="B125" s="2"/>
      <c r="C125" s="2"/>
      <c r="D125" s="2"/>
      <c r="E125" s="2"/>
      <c r="F125" s="2"/>
      <c r="G125" s="2"/>
      <c r="H125" s="2"/>
      <c r="I125" s="2"/>
      <c r="J125" s="2"/>
      <c r="K125" s="2"/>
      <c r="L125" s="2"/>
      <c r="M125" s="2"/>
      <c r="N125" s="2"/>
      <c r="O125" s="2"/>
      <c r="P125" s="2"/>
      <c r="Q125" s="2"/>
      <c r="R125" s="2"/>
      <c r="S125" s="2"/>
      <c r="T125" s="2"/>
    </row>
    <row r="126" spans="1:20">
      <c r="A126" s="2"/>
      <c r="B126" s="2"/>
      <c r="C126" s="2"/>
      <c r="D126" s="2"/>
      <c r="E126" s="2"/>
      <c r="F126" s="2"/>
      <c r="G126" s="2"/>
      <c r="H126" s="2"/>
      <c r="I126" s="2"/>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spans="1:20">
      <c r="A128" s="2"/>
      <c r="B128" s="2"/>
      <c r="C128" s="2"/>
      <c r="D128" s="2"/>
      <c r="E128" s="2"/>
      <c r="F128" s="2"/>
      <c r="G128" s="2"/>
      <c r="H128" s="2"/>
      <c r="I128" s="2"/>
      <c r="J128" s="2"/>
      <c r="K128" s="2"/>
      <c r="L128" s="2"/>
      <c r="M128" s="2"/>
      <c r="N128" s="2"/>
      <c r="O128" s="2"/>
      <c r="P128" s="2"/>
      <c r="Q128" s="2"/>
      <c r="R128" s="2"/>
      <c r="S128" s="2"/>
      <c r="T128" s="2"/>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spans="1:20">
      <c r="A131" s="2"/>
      <c r="B131" s="2"/>
      <c r="C131" s="2"/>
      <c r="D131" s="2"/>
      <c r="E131" s="2"/>
      <c r="F131" s="2"/>
      <c r="G131" s="2"/>
      <c r="H131" s="2"/>
      <c r="I131" s="2"/>
      <c r="J131" s="2"/>
      <c r="K131" s="2"/>
      <c r="L131" s="2"/>
      <c r="M131" s="2"/>
      <c r="N131" s="2"/>
      <c r="O131" s="2"/>
      <c r="P131" s="2"/>
      <c r="Q131" s="2"/>
      <c r="R131" s="2"/>
      <c r="S131" s="2"/>
      <c r="T131" s="2"/>
    </row>
    <row r="132" spans="1:20">
      <c r="A132" s="2"/>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spans="1:20">
      <c r="A212" s="2"/>
      <c r="B212" s="2"/>
      <c r="C212" s="2"/>
      <c r="D212" s="2"/>
      <c r="E212" s="2"/>
      <c r="F212" s="2"/>
      <c r="G212" s="2"/>
      <c r="H212" s="2"/>
      <c r="I212" s="2"/>
      <c r="J212" s="2"/>
      <c r="K212" s="2"/>
      <c r="L212" s="2"/>
      <c r="M212" s="2"/>
      <c r="N212" s="2"/>
      <c r="O212" s="2"/>
      <c r="P212" s="2"/>
      <c r="Q212" s="2"/>
      <c r="R212" s="2"/>
      <c r="S212" s="2"/>
      <c r="T212" s="2"/>
    </row>
    <row r="213" spans="1:20">
      <c r="A213" s="2"/>
      <c r="B213" s="2"/>
      <c r="C213" s="2"/>
      <c r="D213" s="2"/>
      <c r="E213" s="2"/>
      <c r="F213" s="2"/>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spans="1:20">
      <c r="A215" s="2"/>
      <c r="B215" s="2"/>
      <c r="C215" s="2"/>
      <c r="D215" s="2"/>
      <c r="E215" s="2"/>
      <c r="F215" s="2"/>
      <c r="G215" s="2"/>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spans="1:20">
      <c r="A217" s="2"/>
      <c r="B217" s="2"/>
      <c r="C217" s="2"/>
      <c r="D217" s="2"/>
      <c r="E217" s="2"/>
      <c r="F217" s="2"/>
      <c r="G217" s="2"/>
      <c r="H217" s="2"/>
      <c r="I217" s="2"/>
      <c r="J217" s="2"/>
      <c r="K217" s="2"/>
      <c r="L217" s="2"/>
      <c r="M217" s="2"/>
      <c r="N217" s="2"/>
      <c r="O217" s="2"/>
      <c r="P217" s="2"/>
      <c r="Q217" s="2"/>
      <c r="R217" s="2"/>
      <c r="S217" s="2"/>
      <c r="T217" s="2"/>
    </row>
    <row r="218" spans="1:20">
      <c r="A218" s="2"/>
      <c r="B218" s="2"/>
      <c r="C218" s="2"/>
      <c r="D218" s="2"/>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spans="1:20">
      <c r="A220" s="2"/>
      <c r="B220" s="2"/>
      <c r="C220" s="2"/>
      <c r="D220" s="2"/>
      <c r="E220" s="2"/>
      <c r="F220" s="2"/>
      <c r="G220" s="2"/>
      <c r="H220" s="2"/>
      <c r="I220" s="2"/>
      <c r="J220" s="2"/>
      <c r="K220" s="2"/>
      <c r="L220" s="2"/>
      <c r="M220" s="2"/>
      <c r="N220" s="2"/>
      <c r="O220" s="2"/>
      <c r="P220" s="2"/>
      <c r="Q220" s="2"/>
      <c r="R220" s="2"/>
      <c r="S220" s="2"/>
      <c r="T220" s="2"/>
    </row>
    <row r="221" spans="1:20">
      <c r="A221" s="2"/>
      <c r="B221" s="2"/>
      <c r="C221" s="2"/>
      <c r="D221" s="2"/>
      <c r="E221" s="2"/>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spans="1:20">
      <c r="A223" s="2"/>
      <c r="B223" s="2"/>
      <c r="C223" s="2"/>
      <c r="D223" s="2"/>
      <c r="E223" s="2"/>
      <c r="F223" s="2"/>
      <c r="G223" s="2"/>
      <c r="H223" s="2"/>
      <c r="I223" s="2"/>
      <c r="J223" s="2"/>
      <c r="K223" s="2"/>
      <c r="L223" s="2"/>
      <c r="M223" s="2"/>
      <c r="N223" s="2"/>
      <c r="O223" s="2"/>
      <c r="P223" s="2"/>
      <c r="Q223" s="2"/>
      <c r="R223" s="2"/>
      <c r="S223" s="2"/>
      <c r="T223" s="2"/>
    </row>
    <row r="224" spans="1:20">
      <c r="A224" s="2"/>
      <c r="B224" s="2"/>
      <c r="C224" s="2"/>
      <c r="D224" s="2"/>
      <c r="E224" s="2"/>
      <c r="F224" s="2"/>
      <c r="G224" s="2"/>
      <c r="H224" s="2"/>
      <c r="I224" s="2"/>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row r="234" spans="1:20">
      <c r="A234" s="2"/>
      <c r="B234" s="2"/>
      <c r="C234" s="2"/>
      <c r="D234" s="2"/>
      <c r="E234" s="2"/>
      <c r="F234" s="2"/>
      <c r="G234" s="2"/>
      <c r="H234" s="2"/>
      <c r="I234" s="2"/>
      <c r="J234" s="2"/>
      <c r="K234" s="2"/>
      <c r="L234" s="2"/>
      <c r="M234" s="2"/>
      <c r="N234" s="2"/>
      <c r="O234" s="2"/>
      <c r="P234" s="2"/>
      <c r="Q234" s="2"/>
      <c r="R234" s="2"/>
      <c r="S234" s="2"/>
      <c r="T234" s="2"/>
    </row>
    <row r="235" spans="1:20">
      <c r="A235" s="2"/>
      <c r="B235" s="2"/>
      <c r="C235" s="2"/>
      <c r="D235" s="2"/>
      <c r="E235" s="2"/>
      <c r="F235" s="2"/>
      <c r="G235" s="2"/>
      <c r="H235" s="2"/>
      <c r="I235" s="2"/>
      <c r="J235" s="2"/>
      <c r="K235" s="2"/>
      <c r="L235" s="2"/>
      <c r="M235" s="2"/>
      <c r="N235" s="2"/>
      <c r="O235" s="2"/>
      <c r="P235" s="2"/>
      <c r="Q235" s="2"/>
      <c r="R235" s="2"/>
      <c r="S235" s="2"/>
      <c r="T235" s="2"/>
    </row>
    <row r="236" spans="1:20">
      <c r="A236" s="2"/>
      <c r="B236" s="2"/>
      <c r="C236" s="2"/>
      <c r="D236" s="2"/>
      <c r="E236" s="2"/>
      <c r="F236" s="2"/>
      <c r="G236" s="2"/>
      <c r="H236" s="2"/>
      <c r="I236" s="2"/>
      <c r="J236" s="2"/>
      <c r="K236" s="2"/>
      <c r="L236" s="2"/>
      <c r="M236" s="2"/>
      <c r="N236" s="2"/>
      <c r="O236" s="2"/>
      <c r="P236" s="2"/>
      <c r="Q236" s="2"/>
      <c r="R236" s="2"/>
      <c r="S236" s="2"/>
      <c r="T236" s="2"/>
    </row>
    <row r="237" spans="1:20">
      <c r="A237" s="2"/>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spans="1:20">
      <c r="A239" s="2"/>
      <c r="B239" s="2"/>
      <c r="C239" s="2"/>
      <c r="D239" s="2"/>
      <c r="E239" s="2"/>
      <c r="F239" s="2"/>
      <c r="G239" s="2"/>
      <c r="H239" s="2"/>
      <c r="I239" s="2"/>
      <c r="J239" s="2"/>
      <c r="K239" s="2"/>
      <c r="L239" s="2"/>
      <c r="M239" s="2"/>
      <c r="N239" s="2"/>
      <c r="O239" s="2"/>
      <c r="P239" s="2"/>
      <c r="Q239" s="2"/>
      <c r="R239" s="2"/>
      <c r="S239" s="2"/>
      <c r="T239" s="2"/>
    </row>
    <row r="240" spans="1:20">
      <c r="A240" s="2"/>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spans="1:20">
      <c r="A242" s="2"/>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spans="1:20">
      <c r="A245" s="2"/>
      <c r="B245" s="2"/>
      <c r="C245" s="2"/>
      <c r="D245" s="2"/>
      <c r="E245" s="2"/>
      <c r="F245" s="2"/>
      <c r="G245" s="2"/>
      <c r="H245" s="2"/>
      <c r="I245" s="2"/>
      <c r="J245" s="2"/>
      <c r="K245" s="2"/>
      <c r="L245" s="2"/>
      <c r="M245" s="2"/>
      <c r="N245" s="2"/>
      <c r="O245" s="2"/>
      <c r="P245" s="2"/>
      <c r="Q245" s="2"/>
      <c r="R245" s="2"/>
      <c r="S245" s="2"/>
      <c r="T245" s="2"/>
    </row>
    <row r="246" spans="1:20">
      <c r="A246" s="2"/>
      <c r="B246" s="2"/>
      <c r="C246" s="2"/>
      <c r="D246" s="2"/>
      <c r="E246" s="2"/>
      <c r="F246" s="2"/>
      <c r="G246" s="2"/>
      <c r="H246" s="2"/>
      <c r="I246" s="2"/>
      <c r="J246" s="2"/>
      <c r="K246" s="2"/>
      <c r="L246" s="2"/>
      <c r="M246" s="2"/>
      <c r="N246" s="2"/>
      <c r="O246" s="2"/>
      <c r="P246" s="2"/>
      <c r="Q246" s="2"/>
      <c r="R246" s="2"/>
      <c r="S246" s="2"/>
      <c r="T246" s="2"/>
    </row>
    <row r="247" spans="1:20">
      <c r="A247" s="2"/>
      <c r="B247" s="2"/>
      <c r="C247" s="2"/>
      <c r="D247" s="2"/>
      <c r="E247" s="2"/>
      <c r="F247" s="2"/>
      <c r="G247" s="2"/>
      <c r="H247" s="2"/>
      <c r="I247" s="2"/>
      <c r="J247" s="2"/>
      <c r="K247" s="2"/>
      <c r="L247" s="2"/>
      <c r="M247" s="2"/>
      <c r="N247" s="2"/>
      <c r="O247" s="2"/>
      <c r="P247" s="2"/>
      <c r="Q247" s="2"/>
      <c r="R247" s="2"/>
      <c r="S247" s="2"/>
      <c r="T247" s="2"/>
    </row>
    <row r="248" spans="1:20">
      <c r="A248" s="2"/>
      <c r="B248" s="2"/>
      <c r="C248" s="2"/>
      <c r="D248" s="2"/>
      <c r="E248" s="2"/>
      <c r="F248" s="2"/>
      <c r="G248" s="2"/>
      <c r="H248" s="2"/>
      <c r="I248" s="2"/>
      <c r="J248" s="2"/>
      <c r="K248" s="2"/>
      <c r="L248" s="2"/>
      <c r="M248" s="2"/>
      <c r="N248" s="2"/>
      <c r="O248" s="2"/>
      <c r="P248" s="2"/>
      <c r="Q248" s="2"/>
      <c r="R248" s="2"/>
      <c r="S248" s="2"/>
      <c r="T248" s="2"/>
    </row>
    <row r="249" spans="1:20">
      <c r="A249" s="2"/>
      <c r="B249" s="2"/>
      <c r="C249" s="2"/>
      <c r="D249" s="2"/>
      <c r="E249" s="2"/>
      <c r="F249" s="2"/>
      <c r="G249" s="2"/>
      <c r="H249" s="2"/>
      <c r="I249" s="2"/>
      <c r="J249" s="2"/>
      <c r="K249" s="2"/>
      <c r="L249" s="2"/>
      <c r="M249" s="2"/>
      <c r="N249" s="2"/>
      <c r="O249" s="2"/>
      <c r="P249" s="2"/>
      <c r="Q249" s="2"/>
      <c r="R249" s="2"/>
      <c r="S249" s="2"/>
      <c r="T249" s="2"/>
    </row>
    <row r="250" spans="1:20">
      <c r="A250" s="2"/>
      <c r="B250" s="2"/>
      <c r="C250" s="2"/>
      <c r="D250" s="2"/>
      <c r="E250" s="2"/>
      <c r="F250" s="2"/>
      <c r="G250" s="2"/>
      <c r="H250" s="2"/>
      <c r="I250" s="2"/>
      <c r="J250" s="2"/>
      <c r="K250" s="2"/>
      <c r="L250" s="2"/>
      <c r="M250" s="2"/>
      <c r="N250" s="2"/>
      <c r="O250" s="2"/>
      <c r="P250" s="2"/>
      <c r="Q250" s="2"/>
      <c r="R250" s="2"/>
      <c r="S250" s="2"/>
      <c r="T250" s="2"/>
    </row>
    <row r="251" spans="1:20">
      <c r="A251" s="2"/>
      <c r="B251" s="2"/>
      <c r="C251" s="2"/>
      <c r="D251" s="2"/>
      <c r="E251" s="2"/>
      <c r="F251" s="2"/>
      <c r="G251" s="2"/>
      <c r="H251" s="2"/>
      <c r="I251" s="2"/>
      <c r="J251" s="2"/>
      <c r="K251" s="2"/>
      <c r="L251" s="2"/>
      <c r="M251" s="2"/>
      <c r="N251" s="2"/>
      <c r="O251" s="2"/>
      <c r="P251" s="2"/>
      <c r="Q251" s="2"/>
      <c r="R251" s="2"/>
      <c r="S251" s="2"/>
      <c r="T251" s="2"/>
    </row>
    <row r="252" spans="1:20">
      <c r="A252" s="2"/>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spans="1:20">
      <c r="A254" s="2"/>
      <c r="B254" s="2"/>
      <c r="C254" s="2"/>
      <c r="D254" s="2"/>
      <c r="E254" s="2"/>
      <c r="F254" s="2"/>
      <c r="G254" s="2"/>
      <c r="H254" s="2"/>
      <c r="I254" s="2"/>
      <c r="J254" s="2"/>
      <c r="K254" s="2"/>
      <c r="L254" s="2"/>
      <c r="M254" s="2"/>
      <c r="N254" s="2"/>
      <c r="O254" s="2"/>
      <c r="P254" s="2"/>
      <c r="Q254" s="2"/>
      <c r="R254" s="2"/>
      <c r="S254" s="2"/>
      <c r="T254" s="2"/>
    </row>
    <row r="255" spans="1:20">
      <c r="A255" s="2"/>
      <c r="B255" s="2"/>
      <c r="C255" s="2"/>
      <c r="D255" s="2"/>
      <c r="E255" s="2"/>
      <c r="F255" s="2"/>
      <c r="G255" s="2"/>
      <c r="H255" s="2"/>
      <c r="I255" s="2"/>
      <c r="J255" s="2"/>
      <c r="K255" s="2"/>
      <c r="L255" s="2"/>
      <c r="M255" s="2"/>
      <c r="N255" s="2"/>
      <c r="O255" s="2"/>
      <c r="P255" s="2"/>
      <c r="Q255" s="2"/>
      <c r="R255" s="2"/>
      <c r="S255" s="2"/>
      <c r="T255" s="2"/>
    </row>
    <row r="256" spans="1:20">
      <c r="A256" s="2"/>
      <c r="B256" s="2"/>
      <c r="C256" s="2"/>
      <c r="D256" s="2"/>
      <c r="E256" s="2"/>
      <c r="F256" s="2"/>
      <c r="G256" s="2"/>
      <c r="H256" s="2"/>
      <c r="I256" s="2"/>
      <c r="J256" s="2"/>
      <c r="K256" s="2"/>
      <c r="L256" s="2"/>
      <c r="M256" s="2"/>
      <c r="N256" s="2"/>
      <c r="O256" s="2"/>
      <c r="P256" s="2"/>
      <c r="Q256" s="2"/>
      <c r="R256" s="2"/>
      <c r="S256" s="2"/>
      <c r="T256" s="2"/>
    </row>
    <row r="257" spans="1:20">
      <c r="A257" s="2"/>
      <c r="B257" s="2"/>
      <c r="C257" s="2"/>
      <c r="D257" s="2"/>
      <c r="E257" s="2"/>
      <c r="F257" s="2"/>
      <c r="G257" s="2"/>
      <c r="H257" s="2"/>
      <c r="I257" s="2"/>
      <c r="J257" s="2"/>
      <c r="K257" s="2"/>
      <c r="L257" s="2"/>
      <c r="M257" s="2"/>
      <c r="N257" s="2"/>
      <c r="O257" s="2"/>
      <c r="P257" s="2"/>
      <c r="Q257" s="2"/>
      <c r="R257" s="2"/>
      <c r="S257" s="2"/>
      <c r="T257" s="2"/>
    </row>
    <row r="258" spans="1:20">
      <c r="A258" s="2"/>
      <c r="B258" s="2"/>
      <c r="C258" s="2"/>
      <c r="D258" s="2"/>
      <c r="E258" s="2"/>
      <c r="F258" s="2"/>
      <c r="G258" s="2"/>
      <c r="H258" s="2"/>
      <c r="I258" s="2"/>
      <c r="J258" s="2"/>
      <c r="K258" s="2"/>
      <c r="L258" s="2"/>
      <c r="M258" s="2"/>
      <c r="N258" s="2"/>
      <c r="O258" s="2"/>
      <c r="P258" s="2"/>
      <c r="Q258" s="2"/>
      <c r="R258" s="2"/>
      <c r="S258" s="2"/>
      <c r="T258" s="2"/>
    </row>
    <row r="259" spans="1:20">
      <c r="A259" s="2"/>
      <c r="B259" s="2"/>
      <c r="C259" s="2"/>
      <c r="D259" s="2"/>
      <c r="E259" s="2"/>
      <c r="F259" s="2"/>
      <c r="G259" s="2"/>
      <c r="H259" s="2"/>
      <c r="I259" s="2"/>
      <c r="J259" s="2"/>
      <c r="K259" s="2"/>
      <c r="L259" s="2"/>
      <c r="M259" s="2"/>
      <c r="N259" s="2"/>
      <c r="O259" s="2"/>
      <c r="P259" s="2"/>
      <c r="Q259" s="2"/>
      <c r="R259" s="2"/>
      <c r="S259" s="2"/>
      <c r="T259" s="2"/>
    </row>
    <row r="260" spans="1:20">
      <c r="A260" s="2"/>
      <c r="B260" s="2"/>
      <c r="C260" s="2"/>
      <c r="D260" s="2"/>
      <c r="E260" s="2"/>
      <c r="F260" s="2"/>
      <c r="G260" s="2"/>
      <c r="H260" s="2"/>
      <c r="I260" s="2"/>
      <c r="J260" s="2"/>
      <c r="K260" s="2"/>
      <c r="L260" s="2"/>
      <c r="M260" s="2"/>
      <c r="N260" s="2"/>
      <c r="O260" s="2"/>
      <c r="P260" s="2"/>
      <c r="Q260" s="2"/>
      <c r="R260" s="2"/>
      <c r="S260" s="2"/>
      <c r="T260" s="2"/>
    </row>
    <row r="261" spans="1:20">
      <c r="A261" s="2"/>
      <c r="B261" s="2"/>
      <c r="C261" s="2"/>
      <c r="D261" s="2"/>
      <c r="E261" s="2"/>
      <c r="F261" s="2"/>
      <c r="G261" s="2"/>
      <c r="H261" s="2"/>
      <c r="I261" s="2"/>
      <c r="J261" s="2"/>
      <c r="K261" s="2"/>
      <c r="L261" s="2"/>
      <c r="M261" s="2"/>
      <c r="N261" s="2"/>
      <c r="O261" s="2"/>
      <c r="P261" s="2"/>
      <c r="Q261" s="2"/>
      <c r="R261" s="2"/>
      <c r="S261" s="2"/>
      <c r="T261" s="2"/>
    </row>
    <row r="262" spans="1:20">
      <c r="A262" s="2"/>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sheetData>
  <sheetProtection formatCells="0" insertHyperlinks="0" autoFilter="0"/>
  <mergeCells count="1">
    <mergeCell ref="B1:H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43"/>
  <sheetViews>
    <sheetView topLeftCell="A172" workbookViewId="0">
      <selection activeCell="A182" sqref="A182:F186"/>
    </sheetView>
  </sheetViews>
  <sheetFormatPr defaultColWidth="14" defaultRowHeight="13"/>
  <cols>
    <col min="1" max="20" width="27" customWidth="1"/>
  </cols>
  <sheetData>
    <row r="1" ht="46" customHeight="1" spans="1:20">
      <c r="A1" s="1" t="str">
        <f>_xlfn.DISPIMG("ID_71398AB74A324609B25E3239AC00463C",1)</f>
        <v>=DISPIMG("ID_71398AB74A324609B25E3239AC00463C",1)</v>
      </c>
      <c r="B1" s="1" t="s">
        <v>553</v>
      </c>
      <c r="C1" s="1"/>
      <c r="D1" s="1"/>
      <c r="E1" s="1"/>
      <c r="F1" s="1"/>
      <c r="G1" s="1"/>
      <c r="H1" s="1"/>
      <c r="I1" s="2"/>
      <c r="J1" s="2"/>
      <c r="K1" s="2"/>
      <c r="L1" s="2"/>
      <c r="M1" s="2"/>
      <c r="N1" s="2"/>
      <c r="O1" s="2"/>
      <c r="P1" s="2"/>
      <c r="Q1" s="2"/>
      <c r="R1" s="2"/>
      <c r="S1" s="2"/>
      <c r="T1" s="2"/>
    </row>
    <row r="2" ht="15.5" spans="1:20">
      <c r="A2" s="3" t="s">
        <v>5894</v>
      </c>
      <c r="B2" s="2" t="s">
        <v>110</v>
      </c>
      <c r="C2" s="2"/>
      <c r="D2" s="2"/>
      <c r="E2" s="2"/>
      <c r="F2" s="2"/>
      <c r="G2" s="2"/>
      <c r="H2" s="2"/>
      <c r="I2" s="2"/>
      <c r="J2" s="2"/>
      <c r="K2" s="2"/>
      <c r="L2" s="2"/>
      <c r="M2" s="2"/>
      <c r="N2" s="2"/>
      <c r="O2" s="2"/>
      <c r="P2" s="2"/>
      <c r="Q2" s="2"/>
      <c r="R2" s="2"/>
      <c r="S2" s="2"/>
      <c r="T2" s="2"/>
    </row>
    <row r="3" spans="1:20">
      <c r="A3" s="2" t="s">
        <v>110</v>
      </c>
      <c r="B3" s="2"/>
      <c r="C3" s="2"/>
      <c r="D3" s="2"/>
      <c r="E3" s="2"/>
      <c r="F3" s="2"/>
      <c r="G3" s="2"/>
      <c r="H3" s="2"/>
      <c r="I3" s="2"/>
      <c r="J3" s="2"/>
      <c r="K3" s="2"/>
      <c r="L3" s="2"/>
      <c r="M3" s="2"/>
      <c r="N3" s="2"/>
      <c r="O3" s="2"/>
      <c r="P3" s="2"/>
      <c r="Q3" s="2"/>
      <c r="R3" s="2"/>
      <c r="S3" s="2"/>
      <c r="T3" s="2"/>
    </row>
    <row r="4" ht="20" customHeight="1" spans="1:20">
      <c r="A4" s="4"/>
      <c r="B4" s="4"/>
      <c r="C4" s="4"/>
      <c r="D4" s="4"/>
      <c r="E4" s="4"/>
      <c r="F4" s="4"/>
      <c r="G4" s="4"/>
      <c r="H4" s="4"/>
      <c r="I4" s="2"/>
      <c r="J4" s="2"/>
      <c r="K4" s="2"/>
      <c r="L4" s="2"/>
      <c r="M4" s="2"/>
      <c r="N4" s="2"/>
      <c r="O4" s="2"/>
      <c r="P4" s="2"/>
      <c r="Q4" s="2"/>
      <c r="R4" s="2"/>
      <c r="S4" s="2"/>
      <c r="T4" s="2"/>
    </row>
    <row r="5" ht="17" spans="1:20">
      <c r="A5" s="5" t="s">
        <v>5895</v>
      </c>
      <c r="B5" s="2"/>
      <c r="C5" s="2"/>
      <c r="D5" s="2"/>
      <c r="E5" s="2"/>
      <c r="F5" s="2"/>
      <c r="G5" s="2"/>
      <c r="H5" s="2"/>
      <c r="I5" s="2"/>
      <c r="J5" s="2"/>
      <c r="K5" s="2"/>
      <c r="L5" s="2"/>
      <c r="M5" s="2"/>
      <c r="N5" s="2"/>
      <c r="O5" s="2"/>
      <c r="P5" s="2"/>
      <c r="Q5" s="2"/>
      <c r="R5" s="2"/>
      <c r="S5" s="2"/>
      <c r="T5" s="2"/>
    </row>
    <row r="6" ht="15.5" spans="1:20">
      <c r="A6" s="6" t="s">
        <v>5896</v>
      </c>
      <c r="B6" s="7"/>
      <c r="C6" s="7"/>
      <c r="D6" s="2"/>
      <c r="E6" s="2"/>
      <c r="F6" s="2"/>
      <c r="G6" s="2"/>
      <c r="H6" s="2"/>
      <c r="I6" s="2"/>
      <c r="J6" s="2"/>
      <c r="K6" s="2"/>
      <c r="L6" s="2"/>
      <c r="M6" s="2"/>
      <c r="N6" s="2"/>
      <c r="O6" s="2"/>
      <c r="P6" s="2"/>
      <c r="Q6" s="2"/>
      <c r="R6" s="2"/>
      <c r="S6" s="2"/>
      <c r="T6" s="2"/>
    </row>
    <row r="7" ht="13.5" spans="1:20">
      <c r="A7" s="8" t="s">
        <v>330</v>
      </c>
      <c r="B7" s="9" t="s">
        <v>5897</v>
      </c>
      <c r="C7" s="7"/>
      <c r="D7" s="2"/>
      <c r="E7" s="2"/>
      <c r="F7" s="2"/>
      <c r="G7" s="2"/>
      <c r="H7" s="2"/>
      <c r="I7" s="2"/>
      <c r="J7" s="2"/>
      <c r="K7" s="2"/>
      <c r="L7" s="2"/>
      <c r="M7" s="2"/>
      <c r="N7" s="2"/>
      <c r="O7" s="2"/>
      <c r="P7" s="2"/>
      <c r="Q7" s="2"/>
      <c r="R7" s="2"/>
      <c r="S7" s="2"/>
      <c r="T7" s="2"/>
    </row>
    <row r="8" spans="1:20">
      <c r="A8" s="8" t="s">
        <v>337</v>
      </c>
      <c r="B8" s="9" t="s">
        <v>5898</v>
      </c>
    </row>
    <row r="9" spans="1:20">
      <c r="A9" s="8" t="s">
        <v>354</v>
      </c>
      <c r="B9" s="9" t="s">
        <v>5899</v>
      </c>
    </row>
    <row r="10" ht="15.5" spans="1:20">
      <c r="A10" s="6" t="s">
        <v>5900</v>
      </c>
      <c r="B10" s="7"/>
      <c r="C10" s="7"/>
      <c r="D10" s="2"/>
      <c r="E10" s="2"/>
      <c r="F10" s="2"/>
      <c r="G10" s="2"/>
      <c r="H10" s="2"/>
      <c r="I10" s="2"/>
      <c r="J10" s="2"/>
      <c r="K10" s="2"/>
      <c r="L10" s="2"/>
      <c r="M10" s="2"/>
      <c r="N10" s="2"/>
      <c r="O10" s="2"/>
      <c r="P10" s="2"/>
      <c r="Q10" s="2"/>
      <c r="R10" s="2"/>
      <c r="S10" s="2"/>
      <c r="T10" s="2"/>
    </row>
    <row r="11" ht="13.5" spans="1:20">
      <c r="A11" s="9" t="s">
        <v>290</v>
      </c>
      <c r="B11" s="9" t="s">
        <v>39</v>
      </c>
      <c r="C11" s="7"/>
      <c r="D11" s="2"/>
      <c r="E11" s="2"/>
      <c r="F11" s="2"/>
      <c r="G11" s="2"/>
      <c r="H11" s="2"/>
      <c r="I11" s="2"/>
      <c r="J11" s="2"/>
      <c r="K11" s="2"/>
      <c r="L11" s="2"/>
      <c r="M11" s="2"/>
      <c r="N11" s="2"/>
      <c r="O11" s="2"/>
      <c r="P11" s="2"/>
      <c r="Q11" s="2"/>
      <c r="R11" s="2"/>
      <c r="S11" s="2"/>
      <c r="T11" s="2"/>
    </row>
    <row r="12" ht="15.5" spans="1:20">
      <c r="A12" s="6" t="s">
        <v>5901</v>
      </c>
      <c r="B12" s="7"/>
      <c r="C12" s="7"/>
      <c r="D12" s="2"/>
      <c r="E12" s="2"/>
      <c r="F12" s="2"/>
      <c r="G12" s="2"/>
      <c r="H12" s="2"/>
      <c r="I12" s="2"/>
      <c r="J12" s="2"/>
      <c r="K12" s="2"/>
      <c r="L12" s="2"/>
      <c r="M12" s="2"/>
      <c r="N12" s="2"/>
      <c r="O12" s="2"/>
      <c r="P12" s="2"/>
      <c r="Q12" s="2"/>
      <c r="R12" s="2"/>
      <c r="S12" s="2"/>
      <c r="T12" s="2"/>
    </row>
    <row r="13" ht="13.5" spans="1:20">
      <c r="A13" s="8" t="s">
        <v>23</v>
      </c>
      <c r="B13" s="9" t="s">
        <v>5902</v>
      </c>
      <c r="C13" s="7"/>
      <c r="D13" s="2"/>
      <c r="E13" s="2"/>
      <c r="F13" s="2"/>
      <c r="G13" s="2"/>
      <c r="H13" s="2"/>
      <c r="I13" s="2"/>
      <c r="J13" s="2"/>
      <c r="K13" s="2"/>
      <c r="L13" s="2"/>
      <c r="M13" s="2"/>
      <c r="N13" s="2"/>
      <c r="O13" s="2"/>
      <c r="P13" s="2"/>
      <c r="Q13" s="2"/>
      <c r="R13" s="2"/>
      <c r="S13" s="2"/>
      <c r="T13" s="2"/>
    </row>
    <row r="14" spans="1:20">
      <c r="A14" s="8" t="s">
        <v>290</v>
      </c>
      <c r="B14" s="9" t="s">
        <v>5903</v>
      </c>
    </row>
    <row r="15" spans="1:20">
      <c r="A15" s="8" t="s">
        <v>300</v>
      </c>
      <c r="B15" s="9" t="s">
        <v>5904</v>
      </c>
    </row>
    <row r="16" spans="1:20">
      <c r="A16" s="8" t="s">
        <v>310</v>
      </c>
      <c r="B16" s="9" t="s">
        <v>5905</v>
      </c>
    </row>
    <row r="17" spans="1:20">
      <c r="A17" s="8" t="s">
        <v>316</v>
      </c>
      <c r="B17" s="9" t="s">
        <v>5906</v>
      </c>
    </row>
    <row r="18" spans="1:20">
      <c r="A18" s="8" t="s">
        <v>324</v>
      </c>
      <c r="B18" s="9" t="s">
        <v>5907</v>
      </c>
    </row>
    <row r="19" spans="1:20">
      <c r="A19" s="8" t="s">
        <v>337</v>
      </c>
      <c r="B19" s="9" t="s">
        <v>5908</v>
      </c>
    </row>
    <row r="20" spans="1:20">
      <c r="A20" s="8" t="s">
        <v>342</v>
      </c>
      <c r="B20" s="9" t="s">
        <v>5909</v>
      </c>
    </row>
    <row r="21" spans="1:20">
      <c r="A21" s="8" t="s">
        <v>359</v>
      </c>
      <c r="B21" s="9" t="s">
        <v>200</v>
      </c>
    </row>
    <row r="22" spans="1:20">
      <c r="A22" s="8" t="s">
        <v>369</v>
      </c>
      <c r="B22" s="9" t="s">
        <v>5910</v>
      </c>
    </row>
    <row r="23" ht="13.5" spans="1:20">
      <c r="A23" s="10"/>
      <c r="B23" s="10"/>
      <c r="C23" s="10"/>
      <c r="D23" s="2"/>
      <c r="E23" s="2"/>
      <c r="F23" s="2"/>
      <c r="G23" s="2"/>
      <c r="H23" s="2"/>
      <c r="I23" s="2"/>
      <c r="J23" s="2"/>
      <c r="K23" s="2"/>
      <c r="L23" s="2"/>
      <c r="M23" s="2"/>
      <c r="N23" s="2"/>
      <c r="O23" s="2"/>
      <c r="P23" s="2"/>
      <c r="Q23" s="2"/>
      <c r="R23" s="2"/>
      <c r="S23" s="2"/>
      <c r="T23" s="2"/>
    </row>
    <row r="24" ht="13.5" spans="1:20">
      <c r="A24" s="10"/>
      <c r="B24" s="10"/>
      <c r="C24" s="10"/>
      <c r="D24" s="2"/>
      <c r="E24" s="2"/>
      <c r="F24" s="2"/>
      <c r="G24" s="2"/>
      <c r="H24" s="2"/>
      <c r="I24" s="2"/>
      <c r="J24" s="2"/>
      <c r="K24" s="2"/>
      <c r="L24" s="2"/>
      <c r="M24" s="2"/>
      <c r="N24" s="2"/>
      <c r="O24" s="2"/>
      <c r="P24" s="2"/>
      <c r="Q24" s="2"/>
      <c r="R24" s="2"/>
      <c r="S24" s="2"/>
      <c r="T24" s="2"/>
    </row>
    <row r="25" ht="15.5" spans="1:20">
      <c r="A25" s="3" t="s">
        <v>5911</v>
      </c>
      <c r="B25" s="2" t="s">
        <v>110</v>
      </c>
      <c r="C25" s="2"/>
      <c r="D25" s="2"/>
      <c r="E25" s="2"/>
      <c r="F25" s="2"/>
      <c r="G25" s="2"/>
      <c r="H25" s="2"/>
      <c r="I25" s="2"/>
      <c r="J25" s="2"/>
      <c r="K25" s="2"/>
      <c r="L25" s="2"/>
      <c r="M25" s="2"/>
      <c r="N25" s="2"/>
      <c r="O25" s="2"/>
      <c r="P25" s="2"/>
      <c r="Q25" s="2"/>
      <c r="R25" s="2"/>
      <c r="S25" s="2"/>
      <c r="T25" s="2"/>
    </row>
    <row r="26" spans="1:20">
      <c r="A26" s="2" t="s">
        <v>110</v>
      </c>
      <c r="B26" s="2"/>
      <c r="C26" s="2"/>
      <c r="D26" s="2"/>
      <c r="E26" s="2"/>
      <c r="F26" s="2"/>
      <c r="G26" s="2"/>
      <c r="H26" s="2"/>
      <c r="I26" s="2"/>
      <c r="J26" s="2"/>
      <c r="K26" s="2"/>
      <c r="L26" s="2"/>
      <c r="M26" s="2"/>
      <c r="N26" s="2"/>
      <c r="O26" s="2"/>
      <c r="P26" s="2"/>
      <c r="Q26" s="2"/>
      <c r="R26" s="2"/>
      <c r="S26" s="2"/>
      <c r="T26" s="2"/>
    </row>
    <row r="27" spans="1:20">
      <c r="A27" s="2"/>
      <c r="B27" s="2"/>
      <c r="C27" s="2"/>
      <c r="D27" s="2"/>
      <c r="E27" s="2"/>
      <c r="F27" s="2"/>
      <c r="G27" s="2"/>
      <c r="H27" s="2"/>
      <c r="I27" s="2"/>
      <c r="J27" s="2"/>
      <c r="K27" s="2"/>
      <c r="L27" s="2"/>
      <c r="M27" s="2"/>
      <c r="N27" s="2"/>
      <c r="O27" s="2"/>
      <c r="P27" s="2"/>
      <c r="Q27" s="2"/>
      <c r="R27" s="2"/>
      <c r="S27" s="2"/>
      <c r="T27" s="2"/>
    </row>
    <row r="28" ht="15.5" spans="1:20">
      <c r="A28" s="3" t="s">
        <v>5912</v>
      </c>
      <c r="B28" s="2" t="s">
        <v>5913</v>
      </c>
      <c r="C28" s="2"/>
      <c r="D28" s="2"/>
      <c r="E28" s="2"/>
      <c r="F28" s="2"/>
      <c r="G28" s="2"/>
      <c r="H28" s="2"/>
      <c r="I28" s="2"/>
      <c r="J28" s="2"/>
      <c r="K28" s="2"/>
      <c r="L28" s="2"/>
      <c r="M28" s="2"/>
      <c r="N28" s="2"/>
      <c r="O28" s="2"/>
      <c r="P28" s="2"/>
      <c r="Q28" s="2"/>
      <c r="R28" s="2"/>
      <c r="S28" s="2"/>
      <c r="T28" s="2"/>
    </row>
    <row r="29" ht="15.5" spans="1:20">
      <c r="A29" s="11" t="s">
        <v>46</v>
      </c>
      <c r="B29" s="11" t="s">
        <v>121</v>
      </c>
      <c r="C29" s="11" t="s">
        <v>169</v>
      </c>
      <c r="D29" s="11" t="s">
        <v>5914</v>
      </c>
      <c r="E29" s="11" t="s">
        <v>170</v>
      </c>
      <c r="F29" s="11" t="s">
        <v>171</v>
      </c>
      <c r="G29" s="11" t="s">
        <v>5915</v>
      </c>
      <c r="H29" s="11" t="s">
        <v>5916</v>
      </c>
    </row>
    <row r="30" spans="1:20">
      <c r="A30" s="9">
        <v>1</v>
      </c>
      <c r="B30" s="9" t="s">
        <v>520</v>
      </c>
      <c r="C30" s="9" t="s">
        <v>179</v>
      </c>
      <c r="D30" s="9" t="s">
        <v>5917</v>
      </c>
      <c r="E30" s="9" t="s">
        <v>5918</v>
      </c>
      <c r="F30" s="9" t="s">
        <v>67</v>
      </c>
      <c r="G30" s="9" t="s">
        <v>14</v>
      </c>
      <c r="H30" s="9" t="s">
        <v>2075</v>
      </c>
    </row>
    <row r="31" spans="1:20">
      <c r="A31" s="9">
        <v>2</v>
      </c>
      <c r="B31" s="9" t="s">
        <v>521</v>
      </c>
      <c r="C31" s="9" t="s">
        <v>179</v>
      </c>
      <c r="D31" s="9" t="s">
        <v>5919</v>
      </c>
      <c r="E31" s="9" t="s">
        <v>5920</v>
      </c>
      <c r="F31" s="9" t="s">
        <v>67</v>
      </c>
      <c r="G31" s="9" t="s">
        <v>14</v>
      </c>
      <c r="H31" s="9" t="s">
        <v>2075</v>
      </c>
    </row>
    <row r="32" spans="1:20">
      <c r="A32" s="9">
        <v>3</v>
      </c>
      <c r="B32" s="9" t="s">
        <v>488</v>
      </c>
      <c r="C32" s="9" t="s">
        <v>179</v>
      </c>
      <c r="D32" s="9" t="s">
        <v>5921</v>
      </c>
      <c r="E32" s="9" t="s">
        <v>5922</v>
      </c>
      <c r="F32" s="9" t="s">
        <v>67</v>
      </c>
      <c r="G32" s="9" t="s">
        <v>14</v>
      </c>
      <c r="H32" s="9" t="s">
        <v>2075</v>
      </c>
    </row>
    <row r="33" spans="1:8">
      <c r="A33" s="9">
        <v>4</v>
      </c>
      <c r="B33" s="9" t="s">
        <v>5923</v>
      </c>
      <c r="C33" s="9" t="s">
        <v>179</v>
      </c>
      <c r="D33" s="9" t="s">
        <v>5924</v>
      </c>
      <c r="E33" s="9" t="s">
        <v>5925</v>
      </c>
      <c r="F33" s="9" t="s">
        <v>67</v>
      </c>
      <c r="G33" s="9" t="s">
        <v>5926</v>
      </c>
      <c r="H33" s="9" t="s">
        <v>5927</v>
      </c>
    </row>
    <row r="34" spans="1:8">
      <c r="A34" s="9">
        <v>5</v>
      </c>
      <c r="B34" s="9" t="s">
        <v>518</v>
      </c>
      <c r="C34" s="9" t="s">
        <v>179</v>
      </c>
      <c r="D34" s="9" t="s">
        <v>5928</v>
      </c>
      <c r="E34" s="9" t="s">
        <v>5929</v>
      </c>
      <c r="F34" s="9" t="s">
        <v>67</v>
      </c>
      <c r="G34" s="9" t="s">
        <v>14</v>
      </c>
      <c r="H34" s="9" t="s">
        <v>2075</v>
      </c>
    </row>
    <row r="35" spans="1:8">
      <c r="A35" s="9">
        <v>6</v>
      </c>
      <c r="B35" s="9" t="s">
        <v>496</v>
      </c>
      <c r="C35" s="9" t="s">
        <v>183</v>
      </c>
      <c r="D35" s="9" t="s">
        <v>5930</v>
      </c>
      <c r="E35" s="9" t="s">
        <v>5931</v>
      </c>
      <c r="F35" s="9" t="s">
        <v>67</v>
      </c>
      <c r="G35" s="9" t="s">
        <v>14</v>
      </c>
      <c r="H35" s="9" t="s">
        <v>2075</v>
      </c>
    </row>
    <row r="36" spans="1:8">
      <c r="A36" s="9">
        <v>7</v>
      </c>
      <c r="B36" s="9" t="s">
        <v>199</v>
      </c>
      <c r="C36" s="9" t="s">
        <v>183</v>
      </c>
      <c r="D36" s="9" t="s">
        <v>5932</v>
      </c>
      <c r="E36" s="9" t="s">
        <v>5933</v>
      </c>
      <c r="F36" s="9" t="s">
        <v>67</v>
      </c>
      <c r="G36" s="9" t="s">
        <v>14</v>
      </c>
      <c r="H36" s="9" t="s">
        <v>2075</v>
      </c>
    </row>
    <row r="37" spans="1:8">
      <c r="A37" s="9">
        <v>8</v>
      </c>
      <c r="B37" s="9" t="s">
        <v>501</v>
      </c>
      <c r="C37" s="9" t="s">
        <v>183</v>
      </c>
      <c r="D37" s="9" t="s">
        <v>5934</v>
      </c>
      <c r="E37" s="9" t="s">
        <v>5935</v>
      </c>
      <c r="F37" s="9" t="s">
        <v>67</v>
      </c>
      <c r="G37" s="9" t="s">
        <v>14</v>
      </c>
      <c r="H37" s="9" t="s">
        <v>2075</v>
      </c>
    </row>
    <row r="38" spans="1:8">
      <c r="A38" s="9">
        <v>9</v>
      </c>
      <c r="B38" s="9" t="s">
        <v>509</v>
      </c>
      <c r="C38" s="9" t="s">
        <v>183</v>
      </c>
      <c r="D38" s="9" t="s">
        <v>5936</v>
      </c>
      <c r="E38" s="9" t="s">
        <v>5937</v>
      </c>
      <c r="F38" s="9" t="s">
        <v>67</v>
      </c>
      <c r="G38" s="9" t="s">
        <v>14</v>
      </c>
      <c r="H38" s="9" t="s">
        <v>2075</v>
      </c>
    </row>
    <row r="39" spans="1:8">
      <c r="A39" s="9">
        <v>10</v>
      </c>
      <c r="B39" s="9" t="s">
        <v>5938</v>
      </c>
      <c r="C39" s="9" t="s">
        <v>183</v>
      </c>
      <c r="D39" s="9" t="s">
        <v>5939</v>
      </c>
      <c r="E39" s="9" t="s">
        <v>5940</v>
      </c>
      <c r="F39" s="9" t="s">
        <v>67</v>
      </c>
      <c r="G39" s="9" t="s">
        <v>14</v>
      </c>
      <c r="H39" s="9" t="s">
        <v>2075</v>
      </c>
    </row>
    <row r="40" spans="1:8">
      <c r="A40" s="9">
        <v>11</v>
      </c>
      <c r="B40" s="9" t="s">
        <v>5941</v>
      </c>
      <c r="C40" s="9" t="s">
        <v>183</v>
      </c>
      <c r="D40" s="9" t="s">
        <v>5942</v>
      </c>
      <c r="E40" s="9" t="s">
        <v>5943</v>
      </c>
      <c r="F40" s="9" t="s">
        <v>67</v>
      </c>
      <c r="G40" s="9" t="s">
        <v>14</v>
      </c>
      <c r="H40" s="9" t="s">
        <v>2075</v>
      </c>
    </row>
    <row r="41" spans="1:8">
      <c r="A41" s="9">
        <v>12</v>
      </c>
      <c r="B41" s="9" t="s">
        <v>513</v>
      </c>
      <c r="C41" s="9" t="s">
        <v>183</v>
      </c>
      <c r="D41" s="9" t="s">
        <v>5944</v>
      </c>
      <c r="E41" s="9" t="s">
        <v>5945</v>
      </c>
      <c r="F41" s="9" t="s">
        <v>67</v>
      </c>
      <c r="G41" s="9" t="s">
        <v>14</v>
      </c>
      <c r="H41" s="9" t="s">
        <v>2075</v>
      </c>
    </row>
    <row r="42" spans="1:8">
      <c r="A42" s="9">
        <v>13</v>
      </c>
      <c r="B42" s="9" t="s">
        <v>86</v>
      </c>
      <c r="C42" s="9" t="s">
        <v>183</v>
      </c>
      <c r="D42" s="9" t="s">
        <v>5944</v>
      </c>
      <c r="E42" s="9" t="s">
        <v>5945</v>
      </c>
      <c r="F42" s="9" t="s">
        <v>67</v>
      </c>
      <c r="G42" s="9" t="s">
        <v>14</v>
      </c>
      <c r="H42" s="9" t="s">
        <v>2075</v>
      </c>
    </row>
    <row r="43" spans="1:8">
      <c r="A43" s="9">
        <v>14</v>
      </c>
      <c r="B43" s="9" t="s">
        <v>106</v>
      </c>
      <c r="C43" s="9" t="s">
        <v>183</v>
      </c>
      <c r="D43" s="9" t="s">
        <v>5944</v>
      </c>
      <c r="E43" s="9" t="s">
        <v>5946</v>
      </c>
      <c r="F43" s="9" t="s">
        <v>67</v>
      </c>
      <c r="G43" s="9" t="s">
        <v>14</v>
      </c>
      <c r="H43" s="9" t="s">
        <v>2075</v>
      </c>
    </row>
    <row r="44" spans="1:8">
      <c r="A44" s="9">
        <v>15</v>
      </c>
      <c r="B44" s="9" t="s">
        <v>511</v>
      </c>
      <c r="C44" s="9" t="s">
        <v>183</v>
      </c>
      <c r="D44" s="9" t="s">
        <v>5947</v>
      </c>
      <c r="E44" s="9" t="s">
        <v>5948</v>
      </c>
      <c r="F44" s="9" t="s">
        <v>67</v>
      </c>
      <c r="G44" s="9" t="s">
        <v>14</v>
      </c>
      <c r="H44" s="9" t="s">
        <v>2075</v>
      </c>
    </row>
    <row r="45" spans="1:8">
      <c r="A45" s="9">
        <v>16</v>
      </c>
      <c r="B45" s="9" t="s">
        <v>5949</v>
      </c>
      <c r="C45" s="9" t="s">
        <v>183</v>
      </c>
      <c r="D45" s="9" t="s">
        <v>5950</v>
      </c>
      <c r="E45" s="9" t="s">
        <v>5951</v>
      </c>
      <c r="F45" s="9" t="s">
        <v>67</v>
      </c>
      <c r="G45" s="9" t="s">
        <v>14</v>
      </c>
      <c r="H45" s="9" t="s">
        <v>2075</v>
      </c>
    </row>
    <row r="46" spans="1:8">
      <c r="A46" s="9">
        <v>17</v>
      </c>
      <c r="B46" s="9" t="s">
        <v>5952</v>
      </c>
      <c r="C46" s="9" t="s">
        <v>179</v>
      </c>
      <c r="D46" s="9" t="s">
        <v>67</v>
      </c>
      <c r="E46" s="9" t="s">
        <v>67</v>
      </c>
      <c r="F46" s="9" t="s">
        <v>67</v>
      </c>
      <c r="G46" s="9" t="s">
        <v>5953</v>
      </c>
      <c r="H46" s="9" t="s">
        <v>5660</v>
      </c>
    </row>
    <row r="47" spans="1:8">
      <c r="A47" s="9">
        <v>18</v>
      </c>
      <c r="B47" s="9" t="s">
        <v>5954</v>
      </c>
      <c r="C47" s="9" t="s">
        <v>179</v>
      </c>
      <c r="D47" s="9" t="s">
        <v>67</v>
      </c>
      <c r="E47" s="9" t="s">
        <v>67</v>
      </c>
      <c r="F47" s="9" t="s">
        <v>67</v>
      </c>
      <c r="G47" s="9" t="s">
        <v>5660</v>
      </c>
      <c r="H47" s="9" t="s">
        <v>5955</v>
      </c>
    </row>
    <row r="48" spans="1:8">
      <c r="A48" s="9">
        <v>19</v>
      </c>
      <c r="B48" s="9" t="s">
        <v>5956</v>
      </c>
      <c r="C48" s="9" t="s">
        <v>179</v>
      </c>
      <c r="D48" s="9" t="s">
        <v>67</v>
      </c>
      <c r="E48" s="9" t="s">
        <v>67</v>
      </c>
      <c r="F48" s="9" t="s">
        <v>67</v>
      </c>
      <c r="G48" s="9" t="s">
        <v>14</v>
      </c>
      <c r="H48" s="9" t="s">
        <v>5020</v>
      </c>
    </row>
    <row r="49" spans="1:20">
      <c r="A49" s="2" t="s">
        <v>110</v>
      </c>
      <c r="B49" s="2"/>
      <c r="C49" s="2"/>
      <c r="D49" s="2"/>
      <c r="E49" s="2"/>
      <c r="F49" s="2"/>
      <c r="G49" s="2"/>
      <c r="H49" s="2"/>
      <c r="I49" s="2"/>
      <c r="J49" s="2"/>
      <c r="K49" s="2"/>
      <c r="L49" s="2"/>
      <c r="M49" s="2"/>
      <c r="N49" s="2"/>
      <c r="O49" s="2"/>
      <c r="P49" s="2"/>
      <c r="Q49" s="2"/>
      <c r="R49" s="2"/>
      <c r="S49" s="2"/>
      <c r="T49" s="2"/>
    </row>
    <row r="50" spans="1:20">
      <c r="A50" s="2"/>
      <c r="B50" s="2"/>
      <c r="C50" s="2"/>
      <c r="D50" s="2"/>
      <c r="E50" s="2"/>
      <c r="F50" s="2"/>
      <c r="G50" s="2"/>
      <c r="H50" s="2"/>
      <c r="I50" s="2"/>
      <c r="J50" s="2"/>
      <c r="K50" s="2"/>
      <c r="L50" s="2"/>
      <c r="M50" s="2"/>
      <c r="N50" s="2"/>
      <c r="O50" s="2"/>
      <c r="P50" s="2"/>
      <c r="Q50" s="2"/>
      <c r="R50" s="2"/>
      <c r="S50" s="2"/>
      <c r="T50" s="2"/>
    </row>
    <row r="51" ht="15.5" spans="1:20">
      <c r="A51" s="3" t="s">
        <v>5957</v>
      </c>
      <c r="B51" s="2"/>
      <c r="C51" s="2"/>
      <c r="D51" s="2"/>
      <c r="E51" s="2"/>
      <c r="F51" s="2"/>
      <c r="G51" s="2"/>
      <c r="H51" s="2"/>
      <c r="I51" s="2"/>
      <c r="J51" s="2"/>
      <c r="K51" s="2"/>
      <c r="L51" s="2"/>
      <c r="M51" s="2"/>
      <c r="N51" s="2"/>
      <c r="O51" s="2"/>
      <c r="P51" s="2"/>
      <c r="Q51" s="2"/>
      <c r="R51" s="2"/>
      <c r="S51" s="2"/>
      <c r="T51" s="2"/>
    </row>
    <row r="52" ht="15.5" spans="1:20">
      <c r="A52" s="11" t="s">
        <v>5958</v>
      </c>
      <c r="B52" s="11" t="s">
        <v>5959</v>
      </c>
      <c r="C52" s="11" t="s">
        <v>300</v>
      </c>
      <c r="D52" s="11" t="s">
        <v>310</v>
      </c>
      <c r="E52" s="11" t="s">
        <v>316</v>
      </c>
      <c r="F52" s="11" t="s">
        <v>337</v>
      </c>
      <c r="G52" s="11" t="s">
        <v>342</v>
      </c>
      <c r="H52" s="11" t="s">
        <v>359</v>
      </c>
      <c r="I52" s="11" t="s">
        <v>369</v>
      </c>
      <c r="J52" s="11" t="s">
        <v>14</v>
      </c>
      <c r="K52" s="2"/>
      <c r="L52" s="2"/>
      <c r="M52" s="2"/>
      <c r="N52" s="2"/>
      <c r="O52" s="2"/>
      <c r="P52" s="2"/>
      <c r="Q52" s="2"/>
      <c r="R52" s="2"/>
      <c r="S52" s="2"/>
      <c r="T52" s="2"/>
    </row>
    <row r="53" spans="1:20">
      <c r="A53" s="9" t="s">
        <v>5</v>
      </c>
      <c r="B53" s="9" t="s">
        <v>5960</v>
      </c>
      <c r="C53" s="9" t="s">
        <v>5961</v>
      </c>
      <c r="D53" s="8" t="s">
        <v>5962</v>
      </c>
      <c r="E53" s="9" t="s">
        <v>5963</v>
      </c>
      <c r="F53" s="9" t="s">
        <v>5964</v>
      </c>
      <c r="G53" s="9" t="s">
        <v>5965</v>
      </c>
      <c r="H53" s="9" t="s">
        <v>5966</v>
      </c>
      <c r="I53" s="9" t="s">
        <v>5967</v>
      </c>
      <c r="J53" s="9" t="s">
        <v>5968</v>
      </c>
      <c r="K53" s="9" t="s">
        <v>110</v>
      </c>
      <c r="L53" s="2"/>
      <c r="M53" s="2"/>
      <c r="N53" s="2"/>
      <c r="O53" s="2"/>
      <c r="P53" s="2"/>
      <c r="Q53" s="2"/>
      <c r="R53" s="2"/>
      <c r="S53" s="2"/>
      <c r="T53" s="2"/>
    </row>
    <row r="54" spans="1:20">
      <c r="A54" s="9" t="s">
        <v>174</v>
      </c>
      <c r="B54" s="9" t="s">
        <v>5969</v>
      </c>
      <c r="C54" s="9" t="s">
        <v>5970</v>
      </c>
      <c r="D54" s="8" t="s">
        <v>5971</v>
      </c>
      <c r="E54" s="9" t="s">
        <v>5972</v>
      </c>
      <c r="F54" s="9" t="s">
        <v>5970</v>
      </c>
      <c r="G54" s="9" t="s">
        <v>5970</v>
      </c>
      <c r="H54" s="9" t="s">
        <v>5970</v>
      </c>
      <c r="I54" s="9" t="s">
        <v>5970</v>
      </c>
      <c r="J54" s="9" t="s">
        <v>5970</v>
      </c>
    </row>
    <row r="55" spans="1:20">
      <c r="A55" s="9" t="s">
        <v>129</v>
      </c>
      <c r="B55" s="9" t="s">
        <v>5973</v>
      </c>
      <c r="C55" s="9" t="s">
        <v>5974</v>
      </c>
      <c r="D55" s="8" t="s">
        <v>5975</v>
      </c>
      <c r="E55" s="9" t="s">
        <v>5976</v>
      </c>
      <c r="F55" s="9" t="s">
        <v>5977</v>
      </c>
      <c r="G55" s="9" t="s">
        <v>5978</v>
      </c>
      <c r="H55" s="9" t="s">
        <v>5979</v>
      </c>
      <c r="I55" s="9" t="s">
        <v>5980</v>
      </c>
      <c r="J55" s="9" t="s">
        <v>5981</v>
      </c>
    </row>
    <row r="56" spans="1:20">
      <c r="A56" s="9" t="s">
        <v>5923</v>
      </c>
      <c r="B56" s="9" t="s">
        <v>5982</v>
      </c>
      <c r="C56" s="9" t="s">
        <v>5970</v>
      </c>
      <c r="D56" s="8" t="s">
        <v>5970</v>
      </c>
      <c r="E56" s="9" t="s">
        <v>5970</v>
      </c>
      <c r="F56" s="9" t="s">
        <v>5970</v>
      </c>
      <c r="G56" s="9" t="s">
        <v>5970</v>
      </c>
      <c r="H56" s="9" t="s">
        <v>5970</v>
      </c>
      <c r="I56" s="9" t="s">
        <v>5970</v>
      </c>
      <c r="J56" s="9" t="s">
        <v>5970</v>
      </c>
    </row>
    <row r="57" spans="1:20">
      <c r="A57" s="9" t="s">
        <v>4</v>
      </c>
      <c r="B57" s="9" t="s">
        <v>5983</v>
      </c>
      <c r="C57" s="9" t="s">
        <v>5984</v>
      </c>
      <c r="D57" s="8" t="s">
        <v>5985</v>
      </c>
      <c r="E57" s="9" t="s">
        <v>5986</v>
      </c>
      <c r="F57" s="9" t="s">
        <v>5987</v>
      </c>
      <c r="G57" s="9" t="s">
        <v>5988</v>
      </c>
      <c r="H57" s="9" t="s">
        <v>5989</v>
      </c>
      <c r="I57" s="9" t="s">
        <v>5990</v>
      </c>
      <c r="J57" s="9" t="s">
        <v>5991</v>
      </c>
    </row>
    <row r="58" spans="1:20">
      <c r="A58" s="9" t="s">
        <v>117</v>
      </c>
      <c r="B58" s="9" t="s">
        <v>5992</v>
      </c>
      <c r="C58" s="9" t="s">
        <v>5970</v>
      </c>
      <c r="D58" s="8" t="s">
        <v>5993</v>
      </c>
      <c r="E58" s="9" t="s">
        <v>5994</v>
      </c>
      <c r="F58" s="9" t="s">
        <v>5995</v>
      </c>
      <c r="G58" s="9" t="s">
        <v>5996</v>
      </c>
      <c r="H58" s="9" t="s">
        <v>5997</v>
      </c>
      <c r="I58" s="9" t="s">
        <v>5998</v>
      </c>
      <c r="J58" s="9" t="s">
        <v>5999</v>
      </c>
    </row>
    <row r="59" spans="1:20">
      <c r="A59" s="9" t="s">
        <v>488</v>
      </c>
      <c r="B59" s="9" t="s">
        <v>5970</v>
      </c>
      <c r="C59" s="9" t="s">
        <v>5970</v>
      </c>
      <c r="D59" s="8" t="s">
        <v>6000</v>
      </c>
      <c r="E59" s="9" t="s">
        <v>6001</v>
      </c>
      <c r="F59" s="9" t="s">
        <v>6002</v>
      </c>
      <c r="G59" s="9" t="s">
        <v>6003</v>
      </c>
      <c r="H59" s="9" t="s">
        <v>6004</v>
      </c>
      <c r="I59" s="9" t="s">
        <v>6005</v>
      </c>
      <c r="J59" s="9" t="s">
        <v>6006</v>
      </c>
    </row>
    <row r="60" spans="1:20">
      <c r="A60" s="9" t="s">
        <v>518</v>
      </c>
      <c r="B60" s="9" t="s">
        <v>5970</v>
      </c>
      <c r="C60" s="9" t="s">
        <v>5970</v>
      </c>
      <c r="D60" s="8" t="s">
        <v>6007</v>
      </c>
      <c r="E60" s="9" t="s">
        <v>6008</v>
      </c>
      <c r="F60" s="9" t="s">
        <v>6009</v>
      </c>
      <c r="G60" s="9" t="s">
        <v>6010</v>
      </c>
      <c r="H60" s="9" t="s">
        <v>6011</v>
      </c>
      <c r="I60" s="9" t="s">
        <v>6012</v>
      </c>
      <c r="J60" s="9" t="s">
        <v>6013</v>
      </c>
    </row>
    <row r="61" spans="1:20">
      <c r="A61" s="9" t="s">
        <v>6014</v>
      </c>
      <c r="B61" s="9" t="s">
        <v>5970</v>
      </c>
      <c r="C61" s="9" t="s">
        <v>5970</v>
      </c>
      <c r="D61" s="8" t="s">
        <v>5970</v>
      </c>
      <c r="E61" s="9" t="s">
        <v>5970</v>
      </c>
      <c r="F61" s="9" t="s">
        <v>6015</v>
      </c>
      <c r="G61" s="9" t="s">
        <v>6016</v>
      </c>
      <c r="H61" s="9" t="s">
        <v>6017</v>
      </c>
      <c r="I61" s="9" t="s">
        <v>5970</v>
      </c>
      <c r="J61" s="9" t="s">
        <v>5970</v>
      </c>
    </row>
    <row r="62" spans="1:20">
      <c r="A62" s="9" t="s">
        <v>520</v>
      </c>
      <c r="B62" s="9" t="s">
        <v>5970</v>
      </c>
      <c r="C62" s="9" t="s">
        <v>5970</v>
      </c>
      <c r="D62" s="8" t="s">
        <v>5970</v>
      </c>
      <c r="E62" s="9" t="s">
        <v>5970</v>
      </c>
      <c r="F62" s="9" t="s">
        <v>6018</v>
      </c>
      <c r="G62" s="9" t="s">
        <v>6019</v>
      </c>
      <c r="H62" s="9" t="s">
        <v>6020</v>
      </c>
      <c r="I62" s="9" t="s">
        <v>6021</v>
      </c>
      <c r="J62" s="9" t="s">
        <v>6022</v>
      </c>
    </row>
    <row r="63" spans="1:20">
      <c r="A63" s="9" t="s">
        <v>521</v>
      </c>
      <c r="B63" s="9" t="s">
        <v>5970</v>
      </c>
      <c r="C63" s="9" t="s">
        <v>5970</v>
      </c>
      <c r="D63" s="8" t="s">
        <v>5970</v>
      </c>
      <c r="E63" s="9" t="s">
        <v>5970</v>
      </c>
      <c r="F63" s="9" t="s">
        <v>6023</v>
      </c>
      <c r="G63" s="9" t="s">
        <v>6024</v>
      </c>
      <c r="H63" s="9" t="s">
        <v>6025</v>
      </c>
      <c r="I63" s="9" t="s">
        <v>5970</v>
      </c>
      <c r="J63" s="9" t="s">
        <v>5970</v>
      </c>
    </row>
    <row r="64" spans="1:20">
      <c r="A64" s="9" t="s">
        <v>496</v>
      </c>
      <c r="B64" s="9" t="s">
        <v>5970</v>
      </c>
      <c r="C64" s="9" t="s">
        <v>5970</v>
      </c>
      <c r="D64" s="8" t="s">
        <v>5970</v>
      </c>
      <c r="E64" s="9" t="s">
        <v>5970</v>
      </c>
      <c r="F64" s="9" t="s">
        <v>6026</v>
      </c>
      <c r="G64" s="9" t="s">
        <v>6027</v>
      </c>
      <c r="H64" s="9" t="s">
        <v>6028</v>
      </c>
      <c r="I64" s="9" t="s">
        <v>6029</v>
      </c>
      <c r="J64" s="9" t="s">
        <v>6030</v>
      </c>
    </row>
    <row r="65" spans="1:20">
      <c r="A65" s="9" t="s">
        <v>199</v>
      </c>
      <c r="B65" s="9" t="s">
        <v>5970</v>
      </c>
      <c r="C65" s="9" t="s">
        <v>5970</v>
      </c>
      <c r="D65" s="8" t="s">
        <v>5970</v>
      </c>
      <c r="E65" s="9" t="s">
        <v>5970</v>
      </c>
      <c r="F65" s="9" t="s">
        <v>6031</v>
      </c>
      <c r="G65" s="9" t="s">
        <v>6032</v>
      </c>
      <c r="H65" s="9" t="s">
        <v>6033</v>
      </c>
      <c r="I65" s="9" t="s">
        <v>6034</v>
      </c>
      <c r="J65" s="9" t="s">
        <v>6035</v>
      </c>
    </row>
    <row r="66" spans="1:20">
      <c r="A66" s="9" t="s">
        <v>501</v>
      </c>
      <c r="B66" s="9" t="s">
        <v>5970</v>
      </c>
      <c r="C66" s="9" t="s">
        <v>5970</v>
      </c>
      <c r="D66" s="8" t="s">
        <v>5970</v>
      </c>
      <c r="E66" s="9" t="s">
        <v>5970</v>
      </c>
      <c r="F66" s="9" t="s">
        <v>6036</v>
      </c>
      <c r="G66" s="9" t="s">
        <v>6037</v>
      </c>
      <c r="H66" s="9" t="s">
        <v>6038</v>
      </c>
      <c r="I66" s="9" t="s">
        <v>6039</v>
      </c>
      <c r="J66" s="9" t="s">
        <v>6040</v>
      </c>
    </row>
    <row r="67" spans="1:20">
      <c r="A67" s="9" t="s">
        <v>509</v>
      </c>
      <c r="B67" s="9" t="s">
        <v>5970</v>
      </c>
      <c r="C67" s="9" t="s">
        <v>5970</v>
      </c>
      <c r="D67" s="8" t="s">
        <v>5970</v>
      </c>
      <c r="E67" s="9" t="s">
        <v>5970</v>
      </c>
      <c r="F67" s="9" t="s">
        <v>6041</v>
      </c>
      <c r="G67" s="9" t="s">
        <v>6042</v>
      </c>
      <c r="H67" s="9" t="s">
        <v>6043</v>
      </c>
      <c r="I67" s="9" t="s">
        <v>6044</v>
      </c>
      <c r="J67" s="9" t="s">
        <v>6045</v>
      </c>
    </row>
    <row r="68" spans="1:20">
      <c r="A68" s="9" t="s">
        <v>5938</v>
      </c>
      <c r="B68" s="9" t="s">
        <v>5970</v>
      </c>
      <c r="C68" s="9" t="s">
        <v>5970</v>
      </c>
      <c r="D68" s="8" t="s">
        <v>5970</v>
      </c>
      <c r="E68" s="9" t="s">
        <v>5970</v>
      </c>
      <c r="F68" s="9" t="s">
        <v>6046</v>
      </c>
      <c r="G68" s="9" t="s">
        <v>6047</v>
      </c>
      <c r="H68" s="9" t="s">
        <v>6048</v>
      </c>
      <c r="I68" s="9" t="s">
        <v>6049</v>
      </c>
      <c r="J68" s="9" t="s">
        <v>6050</v>
      </c>
    </row>
    <row r="69" spans="1:20">
      <c r="A69" s="9" t="s">
        <v>5941</v>
      </c>
      <c r="B69" s="9" t="s">
        <v>5970</v>
      </c>
      <c r="C69" s="9" t="s">
        <v>5970</v>
      </c>
      <c r="D69" s="8" t="s">
        <v>5970</v>
      </c>
      <c r="E69" s="9" t="s">
        <v>5970</v>
      </c>
      <c r="F69" s="9" t="s">
        <v>6051</v>
      </c>
      <c r="G69" s="9" t="s">
        <v>6052</v>
      </c>
      <c r="H69" s="9" t="s">
        <v>6053</v>
      </c>
      <c r="I69" s="9" t="s">
        <v>6054</v>
      </c>
      <c r="J69" s="9" t="s">
        <v>6055</v>
      </c>
    </row>
    <row r="70" spans="1:20">
      <c r="A70" s="9" t="s">
        <v>513</v>
      </c>
      <c r="B70" s="9" t="s">
        <v>5970</v>
      </c>
      <c r="C70" s="9" t="s">
        <v>5970</v>
      </c>
      <c r="D70" s="8" t="s">
        <v>5970</v>
      </c>
      <c r="E70" s="9" t="s">
        <v>5970</v>
      </c>
      <c r="F70" s="9" t="s">
        <v>6056</v>
      </c>
      <c r="G70" s="9" t="s">
        <v>6057</v>
      </c>
      <c r="H70" s="9" t="s">
        <v>6058</v>
      </c>
      <c r="I70" s="9" t="s">
        <v>6059</v>
      </c>
      <c r="J70" s="9" t="s">
        <v>6060</v>
      </c>
    </row>
    <row r="71" spans="1:20">
      <c r="A71" s="9" t="s">
        <v>86</v>
      </c>
      <c r="B71" s="9" t="s">
        <v>5970</v>
      </c>
      <c r="C71" s="9" t="s">
        <v>5970</v>
      </c>
      <c r="D71" s="8" t="s">
        <v>5970</v>
      </c>
      <c r="E71" s="9" t="s">
        <v>5970</v>
      </c>
      <c r="F71" s="9" t="s">
        <v>6056</v>
      </c>
      <c r="G71" s="9" t="s">
        <v>6057</v>
      </c>
      <c r="H71" s="9" t="s">
        <v>6058</v>
      </c>
      <c r="I71" s="9" t="s">
        <v>6059</v>
      </c>
      <c r="J71" s="9" t="s">
        <v>6060</v>
      </c>
    </row>
    <row r="72" spans="1:20">
      <c r="A72" s="9" t="s">
        <v>106</v>
      </c>
      <c r="B72" s="9" t="s">
        <v>5970</v>
      </c>
      <c r="C72" s="9" t="s">
        <v>5970</v>
      </c>
      <c r="D72" s="8" t="s">
        <v>5970</v>
      </c>
      <c r="E72" s="9" t="s">
        <v>5970</v>
      </c>
      <c r="F72" s="9" t="s">
        <v>6061</v>
      </c>
      <c r="G72" s="9" t="s">
        <v>6062</v>
      </c>
      <c r="H72" s="9" t="s">
        <v>6063</v>
      </c>
      <c r="I72" s="9" t="s">
        <v>6064</v>
      </c>
      <c r="J72" s="9" t="s">
        <v>6065</v>
      </c>
    </row>
    <row r="73" spans="1:20">
      <c r="A73" s="9" t="s">
        <v>511</v>
      </c>
      <c r="B73" s="9" t="s">
        <v>5970</v>
      </c>
      <c r="C73" s="9" t="s">
        <v>5970</v>
      </c>
      <c r="D73" s="8" t="s">
        <v>5970</v>
      </c>
      <c r="E73" s="9" t="s">
        <v>5970</v>
      </c>
      <c r="F73" s="9" t="s">
        <v>6066</v>
      </c>
      <c r="G73" s="9" t="s">
        <v>6067</v>
      </c>
      <c r="H73" s="9" t="s">
        <v>6068</v>
      </c>
      <c r="I73" s="9" t="s">
        <v>6069</v>
      </c>
      <c r="J73" s="9" t="s">
        <v>6070</v>
      </c>
    </row>
    <row r="74" spans="1:20">
      <c r="A74" s="9" t="s">
        <v>5949</v>
      </c>
      <c r="B74" s="9" t="s">
        <v>5970</v>
      </c>
      <c r="C74" s="9" t="s">
        <v>5970</v>
      </c>
      <c r="D74" s="8" t="s">
        <v>5970</v>
      </c>
      <c r="E74" s="9" t="s">
        <v>5970</v>
      </c>
      <c r="F74" s="9" t="s">
        <v>6071</v>
      </c>
      <c r="G74" s="9" t="s">
        <v>6072</v>
      </c>
      <c r="H74" s="9" t="s">
        <v>6073</v>
      </c>
      <c r="I74" s="9" t="s">
        <v>6074</v>
      </c>
      <c r="J74" s="9" t="s">
        <v>6075</v>
      </c>
    </row>
    <row r="75" spans="1:20">
      <c r="A75" s="9" t="s">
        <v>5956</v>
      </c>
      <c r="B75" s="9" t="s">
        <v>5970</v>
      </c>
      <c r="C75" s="9" t="s">
        <v>5970</v>
      </c>
      <c r="D75" s="8" t="s">
        <v>5970</v>
      </c>
      <c r="E75" s="9" t="s">
        <v>5970</v>
      </c>
      <c r="F75" s="9" t="s">
        <v>5970</v>
      </c>
      <c r="G75" s="9" t="s">
        <v>5970</v>
      </c>
      <c r="H75" s="9" t="s">
        <v>5970</v>
      </c>
      <c r="I75" s="9" t="s">
        <v>6076</v>
      </c>
      <c r="J75" s="9" t="s">
        <v>6077</v>
      </c>
    </row>
    <row r="76" spans="1:20">
      <c r="A76" s="2"/>
      <c r="B76" s="2"/>
      <c r="C76" s="12"/>
      <c r="D76" s="12"/>
      <c r="E76" s="12"/>
      <c r="F76" s="12"/>
      <c r="G76" s="12"/>
      <c r="H76" s="12"/>
      <c r="I76" s="12"/>
      <c r="J76" s="2"/>
      <c r="K76" s="2"/>
      <c r="L76" s="2"/>
      <c r="M76" s="2"/>
      <c r="N76" s="2"/>
      <c r="O76" s="2"/>
      <c r="P76" s="2"/>
      <c r="Q76" s="2"/>
      <c r="R76" s="2"/>
      <c r="S76" s="2"/>
      <c r="T76" s="2"/>
    </row>
    <row r="77" spans="1:20">
      <c r="A77" s="2"/>
      <c r="B77" s="2"/>
      <c r="C77" s="2"/>
      <c r="D77" s="2"/>
      <c r="E77" s="2"/>
      <c r="F77" s="2"/>
      <c r="G77" s="2"/>
      <c r="H77" s="2"/>
      <c r="I77" s="2"/>
      <c r="J77" s="2"/>
      <c r="K77" s="2"/>
      <c r="L77" s="2"/>
      <c r="M77" s="2"/>
      <c r="N77" s="2"/>
      <c r="O77" s="2"/>
      <c r="P77" s="2"/>
      <c r="Q77" s="2"/>
      <c r="R77" s="2"/>
      <c r="S77" s="2"/>
      <c r="T77" s="2"/>
    </row>
    <row r="78" ht="15.5" spans="1:20">
      <c r="A78" s="3" t="s">
        <v>6078</v>
      </c>
      <c r="B78" s="2" t="s">
        <v>476</v>
      </c>
      <c r="C78" s="2"/>
      <c r="D78" s="2"/>
      <c r="E78" s="2"/>
      <c r="F78" s="2"/>
      <c r="G78" s="2"/>
      <c r="H78" s="2"/>
      <c r="I78" s="2"/>
      <c r="J78" s="2"/>
      <c r="K78" s="2"/>
      <c r="L78" s="2"/>
      <c r="M78" s="2"/>
      <c r="N78" s="2"/>
      <c r="O78" s="2"/>
      <c r="P78" s="2"/>
      <c r="Q78" s="2"/>
      <c r="R78" s="2"/>
      <c r="S78" s="2"/>
      <c r="T78" s="2"/>
    </row>
    <row r="79" ht="15.5" spans="1:20">
      <c r="A79" s="11" t="s">
        <v>46</v>
      </c>
      <c r="B79" s="11" t="s">
        <v>47</v>
      </c>
      <c r="C79" s="13" t="s">
        <v>50</v>
      </c>
      <c r="D79" s="13" t="s">
        <v>6079</v>
      </c>
      <c r="E79" s="14" t="s">
        <v>6080</v>
      </c>
      <c r="F79" s="2"/>
      <c r="G79" s="2"/>
      <c r="H79" s="2"/>
      <c r="I79" s="2"/>
      <c r="J79" s="2"/>
      <c r="K79" s="2"/>
      <c r="L79" s="2"/>
      <c r="M79" s="2"/>
      <c r="N79" s="2"/>
      <c r="O79" s="2"/>
      <c r="P79" s="2"/>
      <c r="Q79" s="2"/>
      <c r="R79" s="2"/>
      <c r="S79" s="2"/>
      <c r="T79" s="2"/>
    </row>
    <row r="80" spans="1:20">
      <c r="A80" s="9">
        <v>1</v>
      </c>
      <c r="B80" s="15" t="s">
        <v>5938</v>
      </c>
      <c r="C80" s="9" t="s">
        <v>5709</v>
      </c>
      <c r="D80" s="9" t="s">
        <v>63</v>
      </c>
      <c r="E80" s="9" t="s">
        <v>6081</v>
      </c>
      <c r="F80" s="2"/>
      <c r="G80" s="2"/>
      <c r="H80" s="2"/>
      <c r="I80" s="2"/>
      <c r="J80" s="2"/>
      <c r="K80" s="2"/>
      <c r="L80" s="2"/>
      <c r="M80" s="2"/>
      <c r="N80" s="2"/>
      <c r="O80" s="2"/>
      <c r="P80" s="2"/>
      <c r="Q80" s="2"/>
      <c r="R80" s="2"/>
      <c r="S80" s="2"/>
      <c r="T80" s="2"/>
    </row>
    <row r="81" spans="1:5">
      <c r="A81" s="9">
        <v>2</v>
      </c>
      <c r="B81" s="15" t="s">
        <v>5702</v>
      </c>
      <c r="C81" s="9" t="s">
        <v>66</v>
      </c>
      <c r="D81" s="9" t="s">
        <v>6082</v>
      </c>
      <c r="E81" s="9" t="s">
        <v>6083</v>
      </c>
    </row>
    <row r="82" spans="1:5">
      <c r="A82" s="9">
        <v>3</v>
      </c>
      <c r="B82" s="15" t="s">
        <v>5697</v>
      </c>
      <c r="C82" s="9" t="s">
        <v>66</v>
      </c>
      <c r="D82" s="9" t="s">
        <v>6082</v>
      </c>
      <c r="E82" s="9" t="s">
        <v>1137</v>
      </c>
    </row>
    <row r="83" spans="1:5">
      <c r="A83" s="9">
        <v>4</v>
      </c>
      <c r="B83" s="15" t="s">
        <v>5699</v>
      </c>
      <c r="C83" s="9" t="s">
        <v>5709</v>
      </c>
      <c r="D83" s="9" t="s">
        <v>1029</v>
      </c>
      <c r="E83" s="9" t="s">
        <v>6081</v>
      </c>
    </row>
    <row r="84" spans="1:5">
      <c r="A84" s="9">
        <v>5</v>
      </c>
      <c r="B84" s="15" t="s">
        <v>5691</v>
      </c>
      <c r="C84" s="9" t="s">
        <v>175</v>
      </c>
      <c r="D84" s="9" t="s">
        <v>6084</v>
      </c>
      <c r="E84" s="9" t="s">
        <v>6085</v>
      </c>
    </row>
    <row r="85" spans="1:5">
      <c r="A85" s="9">
        <v>6</v>
      </c>
      <c r="B85" s="15" t="s">
        <v>509</v>
      </c>
      <c r="C85" s="9" t="s">
        <v>175</v>
      </c>
      <c r="D85" s="9" t="s">
        <v>6084</v>
      </c>
      <c r="E85" s="9" t="s">
        <v>6085</v>
      </c>
    </row>
    <row r="86" spans="1:5">
      <c r="A86" s="9">
        <v>7</v>
      </c>
      <c r="B86" s="15" t="s">
        <v>501</v>
      </c>
      <c r="C86" s="9" t="s">
        <v>6086</v>
      </c>
      <c r="D86" s="9" t="s">
        <v>6084</v>
      </c>
      <c r="E86" s="9" t="s">
        <v>346</v>
      </c>
    </row>
    <row r="87" spans="1:5">
      <c r="A87" s="9">
        <v>8</v>
      </c>
      <c r="B87" s="15" t="s">
        <v>199</v>
      </c>
      <c r="C87" s="9" t="s">
        <v>5709</v>
      </c>
      <c r="D87" s="9" t="s">
        <v>6084</v>
      </c>
      <c r="E87" s="9" t="s">
        <v>6087</v>
      </c>
    </row>
    <row r="88" spans="1:5">
      <c r="A88" s="9">
        <v>9</v>
      </c>
      <c r="B88" s="15" t="s">
        <v>5679</v>
      </c>
      <c r="C88" s="9" t="s">
        <v>66</v>
      </c>
      <c r="D88" s="9" t="s">
        <v>6088</v>
      </c>
      <c r="E88" s="9" t="s">
        <v>6087</v>
      </c>
    </row>
    <row r="89" spans="1:5">
      <c r="A89" s="9">
        <v>10</v>
      </c>
      <c r="B89" s="15" t="s">
        <v>5714</v>
      </c>
      <c r="C89" s="9" t="s">
        <v>66</v>
      </c>
      <c r="D89" s="9" t="s">
        <v>6088</v>
      </c>
      <c r="E89" s="9" t="s">
        <v>6087</v>
      </c>
    </row>
    <row r="90" spans="1:5">
      <c r="A90" s="9">
        <v>11</v>
      </c>
      <c r="B90" s="15" t="s">
        <v>5681</v>
      </c>
      <c r="C90" s="9" t="s">
        <v>66</v>
      </c>
      <c r="D90" s="9" t="s">
        <v>6088</v>
      </c>
      <c r="E90" s="9" t="s">
        <v>6089</v>
      </c>
    </row>
    <row r="91" spans="1:5">
      <c r="A91" s="9">
        <v>12</v>
      </c>
      <c r="B91" s="15" t="s">
        <v>5707</v>
      </c>
      <c r="C91" s="9" t="s">
        <v>5709</v>
      </c>
      <c r="D91" s="9" t="s">
        <v>1054</v>
      </c>
      <c r="E91" s="9" t="s">
        <v>6081</v>
      </c>
    </row>
    <row r="92" spans="1:5">
      <c r="A92" s="9">
        <v>13</v>
      </c>
      <c r="B92" s="15" t="s">
        <v>511</v>
      </c>
      <c r="C92" s="9" t="s">
        <v>5709</v>
      </c>
      <c r="D92" s="9" t="s">
        <v>351</v>
      </c>
      <c r="E92" s="9" t="s">
        <v>6083</v>
      </c>
    </row>
    <row r="93" spans="1:5">
      <c r="A93" s="9">
        <v>14</v>
      </c>
      <c r="B93" s="15" t="s">
        <v>5677</v>
      </c>
      <c r="C93" s="9" t="s">
        <v>6086</v>
      </c>
      <c r="D93" s="9" t="s">
        <v>359</v>
      </c>
      <c r="E93" s="9" t="s">
        <v>346</v>
      </c>
    </row>
    <row r="94" spans="1:5">
      <c r="A94" s="9">
        <v>15</v>
      </c>
      <c r="B94" s="15" t="s">
        <v>5695</v>
      </c>
      <c r="C94" s="9" t="s">
        <v>66</v>
      </c>
      <c r="D94" s="9" t="s">
        <v>359</v>
      </c>
      <c r="E94" s="9" t="s">
        <v>6087</v>
      </c>
    </row>
    <row r="95" spans="1:5">
      <c r="A95" s="9">
        <v>16</v>
      </c>
      <c r="B95" s="15" t="s">
        <v>6090</v>
      </c>
      <c r="C95" s="9" t="s">
        <v>6086</v>
      </c>
      <c r="D95" s="9" t="s">
        <v>364</v>
      </c>
      <c r="E95" s="9" t="s">
        <v>351</v>
      </c>
    </row>
    <row r="96" spans="1:5">
      <c r="A96" s="9">
        <v>17</v>
      </c>
      <c r="B96" s="15" t="s">
        <v>6091</v>
      </c>
      <c r="C96" s="9" t="s">
        <v>6086</v>
      </c>
      <c r="D96" s="9" t="s">
        <v>14</v>
      </c>
      <c r="E96" s="9" t="s">
        <v>364</v>
      </c>
    </row>
    <row r="97" spans="1:20">
      <c r="A97" s="9">
        <v>18</v>
      </c>
      <c r="B97" s="15" t="s">
        <v>5705</v>
      </c>
      <c r="C97" s="9" t="s">
        <v>6086</v>
      </c>
      <c r="D97" s="9" t="s">
        <v>14</v>
      </c>
      <c r="E97" s="9" t="s">
        <v>346</v>
      </c>
    </row>
    <row r="98" spans="1:20">
      <c r="A98" s="9">
        <v>19</v>
      </c>
      <c r="B98" s="15" t="s">
        <v>6092</v>
      </c>
      <c r="C98" s="9" t="s">
        <v>6086</v>
      </c>
      <c r="D98" s="9" t="s">
        <v>14</v>
      </c>
      <c r="E98" s="9" t="s">
        <v>359</v>
      </c>
    </row>
    <row r="99" spans="1:20">
      <c r="A99" s="9">
        <v>20</v>
      </c>
      <c r="B99" s="15" t="s">
        <v>6093</v>
      </c>
      <c r="C99" s="9" t="s">
        <v>6086</v>
      </c>
      <c r="D99" s="9" t="s">
        <v>14</v>
      </c>
      <c r="E99" s="9" t="s">
        <v>359</v>
      </c>
    </row>
    <row r="100" spans="1:20">
      <c r="A100" s="9">
        <v>21</v>
      </c>
      <c r="B100" s="15" t="s">
        <v>496</v>
      </c>
      <c r="C100" s="9" t="s">
        <v>5709</v>
      </c>
      <c r="D100" s="9" t="s">
        <v>14</v>
      </c>
      <c r="E100" s="9" t="s">
        <v>346</v>
      </c>
    </row>
    <row r="101" spans="1:20">
      <c r="A101" s="9">
        <v>22</v>
      </c>
      <c r="B101" s="15" t="s">
        <v>6094</v>
      </c>
      <c r="C101" s="9" t="s">
        <v>6086</v>
      </c>
      <c r="D101" s="9" t="s">
        <v>14</v>
      </c>
      <c r="E101" s="9" t="s">
        <v>364</v>
      </c>
    </row>
    <row r="102" spans="1:20">
      <c r="A102" s="2" t="s">
        <v>110</v>
      </c>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ht="15.5" spans="1:20">
      <c r="A104" s="3" t="s">
        <v>6095</v>
      </c>
      <c r="B104" s="2"/>
      <c r="C104" s="2"/>
      <c r="D104" s="2"/>
      <c r="E104" s="2"/>
      <c r="F104" s="2"/>
      <c r="G104" s="2"/>
      <c r="H104" s="2"/>
      <c r="I104" s="2"/>
      <c r="J104" s="2"/>
      <c r="K104" s="2"/>
      <c r="L104" s="2"/>
      <c r="M104" s="2"/>
      <c r="N104" s="2"/>
      <c r="O104" s="2"/>
      <c r="P104" s="2"/>
      <c r="Q104" s="2"/>
      <c r="R104" s="2"/>
      <c r="S104" s="2"/>
      <c r="T104" s="2"/>
    </row>
    <row r="105" ht="15.5" spans="1:20">
      <c r="A105" s="11" t="s">
        <v>47</v>
      </c>
      <c r="B105" s="11" t="s">
        <v>6081</v>
      </c>
      <c r="C105" s="11" t="s">
        <v>290</v>
      </c>
      <c r="D105" s="11" t="s">
        <v>300</v>
      </c>
      <c r="E105" s="11" t="s">
        <v>306</v>
      </c>
      <c r="F105" s="11" t="s">
        <v>316</v>
      </c>
      <c r="G105" s="11" t="s">
        <v>330</v>
      </c>
      <c r="H105" s="11" t="s">
        <v>346</v>
      </c>
      <c r="I105" s="11" t="s">
        <v>351</v>
      </c>
      <c r="J105" s="11" t="s">
        <v>359</v>
      </c>
      <c r="K105" s="11" t="s">
        <v>364</v>
      </c>
      <c r="L105" s="11" t="s">
        <v>14</v>
      </c>
      <c r="M105" s="2"/>
      <c r="N105" s="2"/>
      <c r="O105" s="2"/>
      <c r="P105" s="2"/>
      <c r="Q105" s="2"/>
      <c r="R105" s="2"/>
      <c r="S105" s="2"/>
      <c r="T105" s="2"/>
    </row>
    <row r="106" spans="1:20">
      <c r="A106" s="9" t="s">
        <v>84</v>
      </c>
      <c r="B106" s="9" t="s">
        <v>6096</v>
      </c>
      <c r="C106" s="9" t="s">
        <v>6097</v>
      </c>
      <c r="D106" s="9" t="s">
        <v>67</v>
      </c>
      <c r="E106" s="9" t="s">
        <v>67</v>
      </c>
      <c r="F106" s="9" t="s">
        <v>6098</v>
      </c>
      <c r="G106" s="9" t="s">
        <v>6096</v>
      </c>
      <c r="H106" s="16" t="s">
        <v>6099</v>
      </c>
      <c r="I106" s="9" t="s">
        <v>6100</v>
      </c>
      <c r="J106" s="9" t="s">
        <v>6100</v>
      </c>
      <c r="K106" s="9" t="s">
        <v>6101</v>
      </c>
      <c r="L106" s="17"/>
      <c r="M106" s="2"/>
      <c r="N106" s="2"/>
      <c r="O106" s="2"/>
      <c r="P106" s="2"/>
      <c r="Q106" s="2"/>
      <c r="R106" s="2"/>
      <c r="S106" s="2"/>
      <c r="T106" s="2"/>
    </row>
    <row r="107" spans="1:20">
      <c r="A107" s="9" t="s">
        <v>70</v>
      </c>
      <c r="B107" s="9" t="s">
        <v>6096</v>
      </c>
      <c r="C107" s="9" t="s">
        <v>6096</v>
      </c>
      <c r="D107" s="9" t="s">
        <v>6102</v>
      </c>
      <c r="E107" s="9" t="s">
        <v>67</v>
      </c>
      <c r="F107" s="9" t="s">
        <v>67</v>
      </c>
      <c r="G107" s="9" t="s">
        <v>67</v>
      </c>
      <c r="H107" s="16" t="s">
        <v>67</v>
      </c>
      <c r="I107" s="9" t="s">
        <v>67</v>
      </c>
      <c r="J107" s="9" t="s">
        <v>67</v>
      </c>
      <c r="K107" s="9" t="s">
        <v>67</v>
      </c>
    </row>
    <row r="108" spans="1:20">
      <c r="A108" s="9" t="s">
        <v>90</v>
      </c>
      <c r="B108" s="9" t="s">
        <v>6096</v>
      </c>
      <c r="C108" s="9" t="s">
        <v>6096</v>
      </c>
      <c r="D108" s="9" t="s">
        <v>6096</v>
      </c>
      <c r="E108" s="9" t="s">
        <v>6102</v>
      </c>
      <c r="F108" s="9" t="s">
        <v>67</v>
      </c>
      <c r="G108" s="9" t="s">
        <v>67</v>
      </c>
      <c r="H108" s="16" t="s">
        <v>67</v>
      </c>
      <c r="I108" s="9" t="s">
        <v>67</v>
      </c>
      <c r="J108" s="9" t="s">
        <v>67</v>
      </c>
      <c r="K108" s="9" t="s">
        <v>67</v>
      </c>
    </row>
    <row r="109" spans="1:20">
      <c r="A109" s="9" t="s">
        <v>95</v>
      </c>
      <c r="B109" s="9" t="s">
        <v>6096</v>
      </c>
      <c r="C109" s="9" t="s">
        <v>6096</v>
      </c>
      <c r="D109" s="9" t="s">
        <v>6096</v>
      </c>
      <c r="E109" s="9" t="s">
        <v>6096</v>
      </c>
      <c r="F109" s="9" t="s">
        <v>6102</v>
      </c>
      <c r="G109" s="9" t="s">
        <v>67</v>
      </c>
      <c r="H109" s="16" t="s">
        <v>67</v>
      </c>
      <c r="I109" s="9" t="s">
        <v>67</v>
      </c>
      <c r="J109" s="9" t="s">
        <v>67</v>
      </c>
      <c r="K109" s="9" t="s">
        <v>67</v>
      </c>
    </row>
    <row r="110" spans="1:20">
      <c r="A110" s="9" t="s">
        <v>86</v>
      </c>
      <c r="B110" s="9" t="s">
        <v>6096</v>
      </c>
      <c r="C110" s="9" t="s">
        <v>6096</v>
      </c>
      <c r="D110" s="9" t="s">
        <v>6096</v>
      </c>
      <c r="E110" s="9" t="s">
        <v>6096</v>
      </c>
      <c r="F110" s="9" t="s">
        <v>6102</v>
      </c>
      <c r="G110" s="9" t="s">
        <v>67</v>
      </c>
      <c r="H110" s="16" t="s">
        <v>67</v>
      </c>
      <c r="I110" s="9" t="s">
        <v>67</v>
      </c>
      <c r="J110" s="9" t="s">
        <v>67</v>
      </c>
      <c r="K110" s="9" t="s">
        <v>67</v>
      </c>
    </row>
    <row r="111" spans="1:20">
      <c r="A111" s="9" t="s">
        <v>117</v>
      </c>
      <c r="B111" s="9" t="s">
        <v>6096</v>
      </c>
      <c r="C111" s="9" t="s">
        <v>6096</v>
      </c>
      <c r="D111" s="9" t="s">
        <v>6096</v>
      </c>
      <c r="E111" s="9" t="s">
        <v>6096</v>
      </c>
      <c r="F111" s="9" t="s">
        <v>6097</v>
      </c>
      <c r="G111" s="9" t="s">
        <v>6098</v>
      </c>
      <c r="H111" s="16" t="s">
        <v>6099</v>
      </c>
      <c r="I111" s="9" t="s">
        <v>6100</v>
      </c>
      <c r="J111" s="9" t="s">
        <v>6100</v>
      </c>
      <c r="K111" s="9" t="s">
        <v>6100</v>
      </c>
    </row>
    <row r="112" spans="1:20">
      <c r="A112" s="9" t="s">
        <v>74</v>
      </c>
      <c r="B112" s="9" t="s">
        <v>6103</v>
      </c>
      <c r="C112" s="9" t="s">
        <v>6103</v>
      </c>
      <c r="D112" s="9" t="s">
        <v>6103</v>
      </c>
      <c r="E112" s="9" t="s">
        <v>6103</v>
      </c>
      <c r="F112" s="9" t="s">
        <v>6104</v>
      </c>
      <c r="G112" s="9" t="s">
        <v>6105</v>
      </c>
      <c r="H112" s="16" t="s">
        <v>6102</v>
      </c>
      <c r="I112" s="9" t="s">
        <v>67</v>
      </c>
      <c r="J112" s="9" t="s">
        <v>67</v>
      </c>
      <c r="K112" s="9" t="s">
        <v>67</v>
      </c>
    </row>
    <row r="113" spans="1:11">
      <c r="A113" s="9" t="s">
        <v>79</v>
      </c>
      <c r="B113" s="9" t="s">
        <v>6096</v>
      </c>
      <c r="C113" s="9" t="s">
        <v>6096</v>
      </c>
      <c r="D113" s="9" t="s">
        <v>6096</v>
      </c>
      <c r="E113" s="9" t="s">
        <v>6096</v>
      </c>
      <c r="F113" s="9" t="s">
        <v>6096</v>
      </c>
      <c r="G113" s="9" t="s">
        <v>6096</v>
      </c>
      <c r="H113" s="16" t="s">
        <v>6102</v>
      </c>
      <c r="I113" s="9" t="s">
        <v>67</v>
      </c>
      <c r="J113" s="9" t="s">
        <v>67</v>
      </c>
      <c r="K113" s="9" t="s">
        <v>67</v>
      </c>
    </row>
    <row r="114" spans="1:11">
      <c r="A114" s="9" t="s">
        <v>4</v>
      </c>
      <c r="B114" s="9" t="s">
        <v>6106</v>
      </c>
      <c r="C114" s="9" t="s">
        <v>6106</v>
      </c>
      <c r="D114" s="9" t="s">
        <v>6106</v>
      </c>
      <c r="E114" s="9" t="s">
        <v>6106</v>
      </c>
      <c r="F114" s="9" t="s">
        <v>6107</v>
      </c>
      <c r="G114" s="9" t="s">
        <v>6096</v>
      </c>
      <c r="H114" s="16" t="s">
        <v>6099</v>
      </c>
      <c r="I114" s="9" t="s">
        <v>6100</v>
      </c>
      <c r="J114" s="9" t="s">
        <v>6100</v>
      </c>
      <c r="K114" s="9" t="s">
        <v>6100</v>
      </c>
    </row>
    <row r="115" spans="1:11">
      <c r="A115" s="9" t="s">
        <v>5707</v>
      </c>
      <c r="B115" s="9" t="s">
        <v>6108</v>
      </c>
      <c r="C115" s="9" t="s">
        <v>6109</v>
      </c>
      <c r="D115" s="9" t="s">
        <v>6109</v>
      </c>
      <c r="E115" s="9" t="s">
        <v>6109</v>
      </c>
      <c r="F115" s="9" t="s">
        <v>6109</v>
      </c>
      <c r="G115" s="9" t="s">
        <v>6109</v>
      </c>
      <c r="H115" s="16" t="s">
        <v>6109</v>
      </c>
      <c r="I115" s="9" t="s">
        <v>6110</v>
      </c>
      <c r="J115" s="9" t="s">
        <v>6100</v>
      </c>
      <c r="K115" s="9" t="s">
        <v>6100</v>
      </c>
    </row>
    <row r="116" spans="1:11">
      <c r="A116" s="9" t="s">
        <v>5699</v>
      </c>
      <c r="B116" s="9" t="s">
        <v>6108</v>
      </c>
      <c r="C116" s="9" t="s">
        <v>6109</v>
      </c>
      <c r="D116" s="9" t="s">
        <v>6109</v>
      </c>
      <c r="E116" s="9" t="s">
        <v>6109</v>
      </c>
      <c r="F116" s="9" t="s">
        <v>6111</v>
      </c>
      <c r="G116" s="9" t="s">
        <v>67</v>
      </c>
      <c r="H116" s="16" t="s">
        <v>67</v>
      </c>
      <c r="I116" s="9" t="s">
        <v>67</v>
      </c>
      <c r="J116" s="9" t="s">
        <v>67</v>
      </c>
      <c r="K116" s="9" t="s">
        <v>67</v>
      </c>
    </row>
    <row r="117" spans="1:11">
      <c r="A117" s="9" t="s">
        <v>5938</v>
      </c>
      <c r="B117" s="9" t="s">
        <v>6108</v>
      </c>
      <c r="C117" s="9" t="s">
        <v>6111</v>
      </c>
      <c r="D117" s="9" t="s">
        <v>67</v>
      </c>
      <c r="E117" s="9" t="s">
        <v>67</v>
      </c>
      <c r="F117" s="9" t="s">
        <v>67</v>
      </c>
      <c r="G117" s="9" t="s">
        <v>67</v>
      </c>
      <c r="H117" s="16" t="s">
        <v>67</v>
      </c>
      <c r="I117" s="9" t="s">
        <v>67</v>
      </c>
      <c r="J117" s="9" t="s">
        <v>67</v>
      </c>
      <c r="K117" s="9" t="s">
        <v>67</v>
      </c>
    </row>
    <row r="118" spans="1:11">
      <c r="A118" s="9" t="s">
        <v>511</v>
      </c>
      <c r="B118" s="9" t="s">
        <v>67</v>
      </c>
      <c r="C118" s="9" t="s">
        <v>6108</v>
      </c>
      <c r="D118" s="9" t="s">
        <v>6109</v>
      </c>
      <c r="E118" s="9" t="s">
        <v>6109</v>
      </c>
      <c r="F118" s="9" t="s">
        <v>6109</v>
      </c>
      <c r="G118" s="9" t="s">
        <v>6109</v>
      </c>
      <c r="H118" s="16" t="s">
        <v>6109</v>
      </c>
      <c r="I118" s="9" t="s">
        <v>6111</v>
      </c>
      <c r="J118" s="9" t="s">
        <v>67</v>
      </c>
      <c r="K118" s="9" t="s">
        <v>67</v>
      </c>
    </row>
    <row r="119" spans="1:11">
      <c r="A119" s="9" t="s">
        <v>5702</v>
      </c>
      <c r="B119" s="9" t="s">
        <v>67</v>
      </c>
      <c r="C119" s="9" t="s">
        <v>6098</v>
      </c>
      <c r="D119" s="9" t="s">
        <v>6096</v>
      </c>
      <c r="E119" s="9" t="s">
        <v>6096</v>
      </c>
      <c r="F119" s="9" t="s">
        <v>6102</v>
      </c>
      <c r="G119" s="9" t="s">
        <v>67</v>
      </c>
      <c r="H119" s="16" t="s">
        <v>67</v>
      </c>
      <c r="I119" s="9" t="s">
        <v>67</v>
      </c>
      <c r="J119" s="9" t="s">
        <v>67</v>
      </c>
      <c r="K119" s="9" t="s">
        <v>67</v>
      </c>
    </row>
    <row r="120" spans="1:11">
      <c r="A120" s="9" t="s">
        <v>5697</v>
      </c>
      <c r="B120" s="9" t="s">
        <v>67</v>
      </c>
      <c r="C120" s="9" t="s">
        <v>67</v>
      </c>
      <c r="D120" s="9" t="s">
        <v>6098</v>
      </c>
      <c r="E120" s="9" t="s">
        <v>6096</v>
      </c>
      <c r="F120" s="9" t="s">
        <v>6102</v>
      </c>
      <c r="G120" s="9" t="s">
        <v>67</v>
      </c>
      <c r="H120" s="16" t="s">
        <v>67</v>
      </c>
      <c r="I120" s="9" t="s">
        <v>67</v>
      </c>
      <c r="J120" s="9" t="s">
        <v>67</v>
      </c>
      <c r="K120" s="9" t="s">
        <v>67</v>
      </c>
    </row>
    <row r="121" spans="1:11">
      <c r="A121" s="9" t="s">
        <v>5681</v>
      </c>
      <c r="B121" s="9" t="s">
        <v>67</v>
      </c>
      <c r="C121" s="9" t="s">
        <v>67</v>
      </c>
      <c r="D121" s="9" t="s">
        <v>67</v>
      </c>
      <c r="E121" s="9" t="s">
        <v>6098</v>
      </c>
      <c r="F121" s="9" t="s">
        <v>6096</v>
      </c>
      <c r="G121" s="9" t="s">
        <v>6096</v>
      </c>
      <c r="H121" s="16" t="s">
        <v>6102</v>
      </c>
      <c r="I121" s="9" t="s">
        <v>67</v>
      </c>
      <c r="J121" s="9" t="s">
        <v>67</v>
      </c>
      <c r="K121" s="9" t="s">
        <v>67</v>
      </c>
    </row>
    <row r="122" spans="1:11">
      <c r="A122" s="9" t="s">
        <v>5679</v>
      </c>
      <c r="B122" s="9" t="s">
        <v>67</v>
      </c>
      <c r="C122" s="9" t="s">
        <v>67</v>
      </c>
      <c r="D122" s="9" t="s">
        <v>67</v>
      </c>
      <c r="E122" s="9" t="s">
        <v>67</v>
      </c>
      <c r="F122" s="9" t="s">
        <v>6098</v>
      </c>
      <c r="G122" s="9" t="s">
        <v>6096</v>
      </c>
      <c r="H122" s="16" t="s">
        <v>6099</v>
      </c>
      <c r="I122" s="9" t="s">
        <v>6100</v>
      </c>
      <c r="J122" s="9" t="s">
        <v>6100</v>
      </c>
      <c r="K122" s="9" t="s">
        <v>6100</v>
      </c>
    </row>
    <row r="123" spans="1:11">
      <c r="A123" s="9" t="s">
        <v>199</v>
      </c>
      <c r="B123" s="9" t="s">
        <v>67</v>
      </c>
      <c r="C123" s="9" t="s">
        <v>67</v>
      </c>
      <c r="D123" s="9" t="s">
        <v>67</v>
      </c>
      <c r="E123" s="9" t="s">
        <v>67</v>
      </c>
      <c r="F123" s="9" t="s">
        <v>6108</v>
      </c>
      <c r="G123" s="9" t="s">
        <v>6109</v>
      </c>
      <c r="H123" s="16" t="s">
        <v>6110</v>
      </c>
      <c r="I123" s="9" t="s">
        <v>6100</v>
      </c>
      <c r="J123" s="9" t="s">
        <v>6100</v>
      </c>
      <c r="K123" s="9" t="s">
        <v>6100</v>
      </c>
    </row>
    <row r="124" spans="1:11">
      <c r="A124" s="9" t="s">
        <v>5695</v>
      </c>
      <c r="B124" s="9" t="s">
        <v>67</v>
      </c>
      <c r="C124" s="9" t="s">
        <v>67</v>
      </c>
      <c r="D124" s="9" t="s">
        <v>67</v>
      </c>
      <c r="E124" s="9" t="s">
        <v>67</v>
      </c>
      <c r="F124" s="9" t="s">
        <v>6098</v>
      </c>
      <c r="G124" s="9" t="s">
        <v>6096</v>
      </c>
      <c r="H124" s="16" t="s">
        <v>6099</v>
      </c>
      <c r="I124" s="9" t="s">
        <v>6100</v>
      </c>
      <c r="J124" s="9" t="s">
        <v>6101</v>
      </c>
      <c r="K124" s="9" t="s">
        <v>67</v>
      </c>
    </row>
    <row r="125" spans="1:11">
      <c r="A125" s="9" t="s">
        <v>5714</v>
      </c>
      <c r="B125" s="9" t="s">
        <v>67</v>
      </c>
      <c r="C125" s="9" t="s">
        <v>67</v>
      </c>
      <c r="D125" s="9" t="s">
        <v>67</v>
      </c>
      <c r="E125" s="9" t="s">
        <v>67</v>
      </c>
      <c r="F125" s="9" t="s">
        <v>6098</v>
      </c>
      <c r="G125" s="9" t="s">
        <v>6096</v>
      </c>
      <c r="H125" s="16" t="s">
        <v>6102</v>
      </c>
      <c r="I125" s="9" t="s">
        <v>67</v>
      </c>
      <c r="J125" s="9" t="s">
        <v>67</v>
      </c>
      <c r="K125" s="9" t="s">
        <v>67</v>
      </c>
    </row>
    <row r="126" spans="1:11">
      <c r="A126" s="9" t="s">
        <v>501</v>
      </c>
      <c r="B126" s="9" t="s">
        <v>67</v>
      </c>
      <c r="C126" s="9" t="s">
        <v>67</v>
      </c>
      <c r="D126" s="9" t="s">
        <v>67</v>
      </c>
      <c r="E126" s="9" t="s">
        <v>67</v>
      </c>
      <c r="F126" s="9" t="s">
        <v>67</v>
      </c>
      <c r="G126" s="9" t="s">
        <v>67</v>
      </c>
      <c r="H126" s="16" t="s">
        <v>6112</v>
      </c>
      <c r="I126" s="9" t="s">
        <v>6100</v>
      </c>
      <c r="J126" s="9" t="s">
        <v>6100</v>
      </c>
      <c r="K126" s="9" t="s">
        <v>6100</v>
      </c>
    </row>
    <row r="127" spans="1:11">
      <c r="A127" s="9" t="s">
        <v>5705</v>
      </c>
      <c r="B127" s="9" t="s">
        <v>67</v>
      </c>
      <c r="C127" s="9" t="s">
        <v>67</v>
      </c>
      <c r="D127" s="9" t="s">
        <v>67</v>
      </c>
      <c r="E127" s="9" t="s">
        <v>67</v>
      </c>
      <c r="F127" s="9" t="s">
        <v>67</v>
      </c>
      <c r="G127" s="9" t="s">
        <v>67</v>
      </c>
      <c r="H127" s="16" t="s">
        <v>6112</v>
      </c>
      <c r="I127" s="9" t="s">
        <v>6100</v>
      </c>
      <c r="J127" s="9" t="s">
        <v>6100</v>
      </c>
      <c r="K127" s="9" t="s">
        <v>6100</v>
      </c>
    </row>
    <row r="128" spans="1:11">
      <c r="A128" s="9" t="s">
        <v>496</v>
      </c>
      <c r="B128" s="9" t="s">
        <v>67</v>
      </c>
      <c r="C128" s="9" t="s">
        <v>67</v>
      </c>
      <c r="D128" s="9" t="s">
        <v>67</v>
      </c>
      <c r="E128" s="9" t="s">
        <v>67</v>
      </c>
      <c r="F128" s="9" t="s">
        <v>67</v>
      </c>
      <c r="G128" s="9" t="s">
        <v>67</v>
      </c>
      <c r="H128" s="16" t="s">
        <v>6108</v>
      </c>
      <c r="I128" s="9" t="s">
        <v>6110</v>
      </c>
      <c r="J128" s="9" t="s">
        <v>6100</v>
      </c>
      <c r="K128" s="9" t="s">
        <v>6100</v>
      </c>
    </row>
    <row r="129" spans="1:20">
      <c r="A129" s="9" t="s">
        <v>5677</v>
      </c>
      <c r="B129" s="9" t="s">
        <v>67</v>
      </c>
      <c r="C129" s="9" t="s">
        <v>67</v>
      </c>
      <c r="D129" s="9" t="s">
        <v>67</v>
      </c>
      <c r="E129" s="9" t="s">
        <v>67</v>
      </c>
      <c r="F129" s="9" t="s">
        <v>67</v>
      </c>
      <c r="G129" s="9" t="s">
        <v>67</v>
      </c>
      <c r="H129" s="16" t="s">
        <v>6112</v>
      </c>
      <c r="I129" s="9" t="s">
        <v>6100</v>
      </c>
      <c r="J129" s="9" t="s">
        <v>6101</v>
      </c>
      <c r="K129" s="9" t="s">
        <v>67</v>
      </c>
    </row>
    <row r="130" spans="1:20">
      <c r="A130" s="9" t="s">
        <v>6090</v>
      </c>
      <c r="B130" s="9" t="s">
        <v>67</v>
      </c>
      <c r="C130" s="9" t="s">
        <v>67</v>
      </c>
      <c r="D130" s="9" t="s">
        <v>67</v>
      </c>
      <c r="E130" s="9" t="s">
        <v>67</v>
      </c>
      <c r="F130" s="9" t="s">
        <v>67</v>
      </c>
      <c r="G130" s="9" t="s">
        <v>67</v>
      </c>
      <c r="H130" s="16" t="s">
        <v>67</v>
      </c>
      <c r="I130" s="9" t="s">
        <v>6112</v>
      </c>
      <c r="J130" s="9" t="s">
        <v>6100</v>
      </c>
      <c r="K130" s="9" t="s">
        <v>6101</v>
      </c>
    </row>
    <row r="131" spans="1:20">
      <c r="A131" s="9" t="s">
        <v>6092</v>
      </c>
      <c r="B131" s="9" t="s">
        <v>67</v>
      </c>
      <c r="C131" s="9" t="s">
        <v>67</v>
      </c>
      <c r="D131" s="9" t="s">
        <v>67</v>
      </c>
      <c r="E131" s="9" t="s">
        <v>67</v>
      </c>
      <c r="F131" s="9" t="s">
        <v>67</v>
      </c>
      <c r="G131" s="9" t="s">
        <v>67</v>
      </c>
      <c r="H131" s="16" t="s">
        <v>67</v>
      </c>
      <c r="I131" s="9" t="s">
        <v>67</v>
      </c>
      <c r="J131" s="9" t="s">
        <v>6112</v>
      </c>
      <c r="K131" s="9" t="s">
        <v>6100</v>
      </c>
    </row>
    <row r="132" spans="1:20">
      <c r="A132" s="9" t="s">
        <v>6093</v>
      </c>
      <c r="B132" s="9" t="s">
        <v>67</v>
      </c>
      <c r="C132" s="9" t="s">
        <v>67</v>
      </c>
      <c r="D132" s="9" t="s">
        <v>67</v>
      </c>
      <c r="E132" s="9" t="s">
        <v>67</v>
      </c>
      <c r="F132" s="9" t="s">
        <v>67</v>
      </c>
      <c r="G132" s="9" t="s">
        <v>67</v>
      </c>
      <c r="H132" s="16" t="s">
        <v>67</v>
      </c>
      <c r="I132" s="9" t="s">
        <v>67</v>
      </c>
      <c r="J132" s="9" t="s">
        <v>6112</v>
      </c>
      <c r="K132" s="9" t="s">
        <v>6100</v>
      </c>
    </row>
    <row r="133" spans="1:20">
      <c r="A133" s="9" t="s">
        <v>6094</v>
      </c>
      <c r="B133" s="9" t="s">
        <v>67</v>
      </c>
      <c r="C133" s="9" t="s">
        <v>67</v>
      </c>
      <c r="D133" s="9" t="s">
        <v>67</v>
      </c>
      <c r="E133" s="9" t="s">
        <v>67</v>
      </c>
      <c r="F133" s="9" t="s">
        <v>67</v>
      </c>
      <c r="G133" s="9" t="s">
        <v>67</v>
      </c>
      <c r="H133" s="16" t="s">
        <v>67</v>
      </c>
      <c r="I133" s="9" t="s">
        <v>67</v>
      </c>
      <c r="J133" s="9" t="s">
        <v>67</v>
      </c>
      <c r="K133" s="9" t="s">
        <v>6112</v>
      </c>
    </row>
    <row r="134" spans="1:20">
      <c r="A134" s="9" t="s">
        <v>6091</v>
      </c>
      <c r="B134" s="9" t="s">
        <v>67</v>
      </c>
      <c r="C134" s="9" t="s">
        <v>67</v>
      </c>
      <c r="D134" s="9" t="s">
        <v>67</v>
      </c>
      <c r="E134" s="9" t="s">
        <v>67</v>
      </c>
      <c r="F134" s="9" t="s">
        <v>67</v>
      </c>
      <c r="G134" s="9" t="s">
        <v>67</v>
      </c>
      <c r="H134" s="16" t="s">
        <v>67</v>
      </c>
      <c r="I134" s="9" t="s">
        <v>67</v>
      </c>
      <c r="J134" s="9" t="s">
        <v>67</v>
      </c>
      <c r="K134" s="9" t="s">
        <v>6112</v>
      </c>
    </row>
    <row r="135" spans="1:20">
      <c r="A135" s="2"/>
      <c r="B135" s="2"/>
      <c r="C135" s="12"/>
      <c r="D135" s="12"/>
      <c r="E135" s="12"/>
      <c r="F135" s="12"/>
      <c r="G135" s="12"/>
      <c r="H135" s="12"/>
      <c r="I135" s="12"/>
      <c r="J135" s="1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ht="15.5" spans="1:20">
      <c r="A137" s="3" t="s">
        <v>6113</v>
      </c>
      <c r="B137" s="2" t="s">
        <v>6114</v>
      </c>
      <c r="C137" s="2"/>
      <c r="D137" s="2"/>
      <c r="E137" s="2"/>
      <c r="F137" s="2"/>
      <c r="G137" s="2"/>
      <c r="H137" s="2"/>
      <c r="I137" s="2"/>
      <c r="J137" s="2"/>
      <c r="K137" s="2"/>
      <c r="L137" s="2"/>
      <c r="M137" s="2"/>
      <c r="N137" s="2"/>
      <c r="O137" s="2"/>
      <c r="P137" s="2"/>
      <c r="Q137" s="2"/>
      <c r="R137" s="2"/>
      <c r="S137" s="2"/>
      <c r="T137" s="2"/>
    </row>
    <row r="138" ht="15.5" spans="1:20">
      <c r="A138" s="11" t="s">
        <v>46</v>
      </c>
      <c r="B138" s="11" t="s">
        <v>191</v>
      </c>
      <c r="C138" s="18" t="s">
        <v>192</v>
      </c>
      <c r="D138" s="11" t="s">
        <v>13</v>
      </c>
      <c r="E138" s="18" t="s">
        <v>5914</v>
      </c>
      <c r="F138" s="18" t="s">
        <v>170</v>
      </c>
      <c r="G138" s="18" t="s">
        <v>6115</v>
      </c>
      <c r="H138" s="18" t="s">
        <v>194</v>
      </c>
      <c r="I138" s="18" t="s">
        <v>195</v>
      </c>
      <c r="J138" s="18" t="s">
        <v>197</v>
      </c>
      <c r="K138" s="2"/>
      <c r="L138" s="2"/>
      <c r="M138" s="2"/>
      <c r="N138" s="2"/>
      <c r="O138" s="2"/>
      <c r="P138" s="2"/>
      <c r="Q138" s="2"/>
      <c r="R138" s="2"/>
      <c r="S138" s="2"/>
      <c r="T138" s="2"/>
    </row>
    <row r="139" spans="1:20">
      <c r="A139" s="9">
        <v>1</v>
      </c>
      <c r="B139" s="19" t="s">
        <v>686</v>
      </c>
      <c r="C139" s="19" t="s">
        <v>8</v>
      </c>
      <c r="D139" s="20" t="s">
        <v>6116</v>
      </c>
      <c r="E139" s="21" t="s">
        <v>221</v>
      </c>
      <c r="F139" s="21" t="s">
        <v>6117</v>
      </c>
      <c r="G139" s="19" t="s">
        <v>6118</v>
      </c>
      <c r="H139" s="19" t="s">
        <v>6119</v>
      </c>
      <c r="I139" s="19" t="s">
        <v>216</v>
      </c>
      <c r="J139" s="22" t="s">
        <v>6120</v>
      </c>
      <c r="K139" s="2"/>
      <c r="L139" s="2"/>
      <c r="M139" s="2"/>
      <c r="N139" s="2"/>
      <c r="O139" s="2"/>
      <c r="P139" s="2"/>
      <c r="Q139" s="2"/>
      <c r="R139" s="2"/>
      <c r="S139" s="2"/>
      <c r="T139" s="2"/>
    </row>
    <row r="140" spans="1:20">
      <c r="A140" s="9">
        <v>2</v>
      </c>
      <c r="B140" s="19" t="s">
        <v>708</v>
      </c>
      <c r="C140" s="19" t="s">
        <v>8</v>
      </c>
      <c r="D140" s="20" t="s">
        <v>6121</v>
      </c>
      <c r="E140" s="21" t="s">
        <v>221</v>
      </c>
      <c r="F140" s="21" t="s">
        <v>6122</v>
      </c>
      <c r="G140" s="19" t="s">
        <v>895</v>
      </c>
      <c r="H140" s="19" t="s">
        <v>224</v>
      </c>
      <c r="I140" s="19" t="s">
        <v>6123</v>
      </c>
      <c r="J140" s="22" t="s">
        <v>6124</v>
      </c>
    </row>
    <row r="141" spans="1:20">
      <c r="A141" s="9">
        <v>3</v>
      </c>
      <c r="B141" s="19" t="s">
        <v>6125</v>
      </c>
      <c r="C141" s="19" t="s">
        <v>8</v>
      </c>
      <c r="D141" s="20" t="s">
        <v>6126</v>
      </c>
      <c r="E141" s="21" t="s">
        <v>6127</v>
      </c>
      <c r="F141" s="21" t="s">
        <v>6128</v>
      </c>
      <c r="G141" s="19" t="s">
        <v>984</v>
      </c>
      <c r="H141" s="19" t="s">
        <v>206</v>
      </c>
      <c r="I141" s="19" t="s">
        <v>207</v>
      </c>
      <c r="J141" s="22" t="s">
        <v>5775</v>
      </c>
    </row>
    <row r="142" spans="1:20">
      <c r="A142" s="9">
        <v>4</v>
      </c>
      <c r="B142" s="19" t="s">
        <v>6129</v>
      </c>
      <c r="C142" s="19" t="s">
        <v>8</v>
      </c>
      <c r="D142" s="20" t="s">
        <v>6130</v>
      </c>
      <c r="E142" s="21" t="s">
        <v>6131</v>
      </c>
      <c r="F142" s="21" t="s">
        <v>6132</v>
      </c>
      <c r="G142" s="19" t="s">
        <v>6133</v>
      </c>
      <c r="H142" s="19" t="s">
        <v>206</v>
      </c>
      <c r="I142" s="19" t="s">
        <v>257</v>
      </c>
      <c r="J142" s="22" t="s">
        <v>6134</v>
      </c>
    </row>
    <row r="143" spans="1:20">
      <c r="A143" s="9">
        <v>5</v>
      </c>
      <c r="B143" s="19" t="s">
        <v>776</v>
      </c>
      <c r="C143" s="19" t="s">
        <v>8</v>
      </c>
      <c r="D143" s="20" t="s">
        <v>6135</v>
      </c>
      <c r="E143" s="21" t="s">
        <v>67</v>
      </c>
      <c r="F143" s="21" t="s">
        <v>67</v>
      </c>
      <c r="G143" s="19" t="s">
        <v>6136</v>
      </c>
      <c r="H143" s="19" t="s">
        <v>6137</v>
      </c>
      <c r="I143" s="19" t="s">
        <v>207</v>
      </c>
      <c r="J143" s="22" t="s">
        <v>209</v>
      </c>
    </row>
    <row r="144" spans="1:20">
      <c r="A144" s="2" t="s">
        <v>110</v>
      </c>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ht="15.5" spans="1:20">
      <c r="A146" s="3" t="s">
        <v>6138</v>
      </c>
      <c r="B146" s="2" t="s">
        <v>6139</v>
      </c>
      <c r="C146" s="2"/>
      <c r="D146" s="2"/>
      <c r="E146" s="2"/>
      <c r="F146" s="2"/>
      <c r="G146" s="2"/>
      <c r="H146" s="2"/>
      <c r="I146" s="2"/>
      <c r="J146" s="2"/>
      <c r="K146" s="2"/>
      <c r="L146" s="2"/>
      <c r="M146" s="2"/>
      <c r="N146" s="2"/>
      <c r="O146" s="2"/>
      <c r="P146" s="2"/>
      <c r="Q146" s="2"/>
      <c r="R146" s="2"/>
      <c r="S146" s="2"/>
      <c r="T146" s="2"/>
    </row>
    <row r="147" ht="15.5" spans="1:20">
      <c r="A147" s="11" t="s">
        <v>46</v>
      </c>
      <c r="B147" s="11" t="s">
        <v>1379</v>
      </c>
      <c r="C147" s="11" t="s">
        <v>1380</v>
      </c>
      <c r="D147" s="11" t="s">
        <v>1152</v>
      </c>
      <c r="E147" s="11" t="s">
        <v>1381</v>
      </c>
      <c r="F147" s="11" t="s">
        <v>1157</v>
      </c>
      <c r="G147" s="23"/>
      <c r="H147" s="2"/>
      <c r="I147" s="2"/>
      <c r="J147" s="2"/>
      <c r="K147" s="2"/>
      <c r="L147" s="2"/>
      <c r="M147" s="2"/>
      <c r="N147" s="2"/>
      <c r="O147" s="2"/>
      <c r="P147" s="2"/>
      <c r="Q147" s="2"/>
      <c r="R147" s="2"/>
      <c r="S147" s="2"/>
      <c r="T147" s="2"/>
    </row>
    <row r="148" spans="1:20">
      <c r="A148" s="9">
        <v>1</v>
      </c>
      <c r="B148" s="8" t="s">
        <v>6140</v>
      </c>
      <c r="C148" s="9" t="s">
        <v>1276</v>
      </c>
      <c r="D148" s="9" t="s">
        <v>1160</v>
      </c>
      <c r="E148" s="9" t="s">
        <v>6141</v>
      </c>
      <c r="F148" s="9" t="s">
        <v>1178</v>
      </c>
      <c r="G148" s="2"/>
      <c r="H148" s="12"/>
      <c r="I148" s="2"/>
      <c r="J148" s="2"/>
      <c r="K148" s="2"/>
      <c r="L148" s="2"/>
      <c r="M148" s="2"/>
      <c r="N148" s="2"/>
      <c r="O148" s="2"/>
      <c r="P148" s="2"/>
      <c r="Q148" s="2"/>
      <c r="R148" s="2"/>
      <c r="S148" s="2"/>
      <c r="T148" s="2"/>
    </row>
    <row r="149" spans="1:20">
      <c r="A149" s="9">
        <v>2</v>
      </c>
      <c r="B149" s="8" t="s">
        <v>6142</v>
      </c>
      <c r="C149" s="9" t="s">
        <v>1279</v>
      </c>
      <c r="D149" s="9" t="s">
        <v>1175</v>
      </c>
      <c r="E149" s="9" t="s">
        <v>1493</v>
      </c>
      <c r="F149" s="9" t="s">
        <v>1281</v>
      </c>
    </row>
    <row r="150" spans="1:20">
      <c r="A150" s="9">
        <v>3</v>
      </c>
      <c r="B150" s="8" t="s">
        <v>6143</v>
      </c>
      <c r="C150" s="9" t="s">
        <v>6144</v>
      </c>
      <c r="D150" s="9" t="s">
        <v>6145</v>
      </c>
      <c r="E150" s="9" t="s">
        <v>6146</v>
      </c>
      <c r="F150" s="9" t="s">
        <v>1319</v>
      </c>
    </row>
    <row r="151" spans="1:20">
      <c r="A151" s="9">
        <v>4</v>
      </c>
      <c r="B151" s="8" t="s">
        <v>6147</v>
      </c>
      <c r="C151" s="9" t="s">
        <v>6144</v>
      </c>
      <c r="D151" s="9" t="s">
        <v>6145</v>
      </c>
      <c r="E151" s="9" t="s">
        <v>6146</v>
      </c>
      <c r="F151" s="9" t="s">
        <v>1319</v>
      </c>
    </row>
    <row r="152" spans="1:20">
      <c r="A152" s="9">
        <v>5</v>
      </c>
      <c r="B152" s="8" t="s">
        <v>6148</v>
      </c>
      <c r="C152" s="9" t="s">
        <v>1287</v>
      </c>
      <c r="D152" s="9" t="s">
        <v>1160</v>
      </c>
      <c r="E152" s="9" t="s">
        <v>6149</v>
      </c>
      <c r="F152" s="9" t="s">
        <v>1289</v>
      </c>
    </row>
    <row r="153" spans="1:20">
      <c r="A153" s="9">
        <v>6</v>
      </c>
      <c r="B153" s="8" t="s">
        <v>6150</v>
      </c>
      <c r="C153" s="9" t="s">
        <v>1486</v>
      </c>
      <c r="D153" s="9" t="s">
        <v>1160</v>
      </c>
      <c r="E153" s="9" t="s">
        <v>1487</v>
      </c>
      <c r="F153" s="9" t="s">
        <v>1178</v>
      </c>
    </row>
    <row r="154" spans="1:20">
      <c r="A154" s="9">
        <v>7</v>
      </c>
      <c r="B154" s="8" t="s">
        <v>6151</v>
      </c>
      <c r="C154" s="9" t="s">
        <v>1291</v>
      </c>
      <c r="D154" s="9" t="s">
        <v>1160</v>
      </c>
      <c r="E154" s="9" t="s">
        <v>6152</v>
      </c>
      <c r="F154" s="9" t="s">
        <v>1293</v>
      </c>
    </row>
    <row r="155" spans="1:20">
      <c r="A155" s="9">
        <v>8</v>
      </c>
      <c r="B155" s="8" t="s">
        <v>6153</v>
      </c>
      <c r="C155" s="9" t="s">
        <v>1295</v>
      </c>
      <c r="D155" s="9" t="s">
        <v>1160</v>
      </c>
      <c r="E155" s="9" t="s">
        <v>6154</v>
      </c>
      <c r="F155" s="9" t="s">
        <v>1297</v>
      </c>
    </row>
    <row r="156" spans="1:20">
      <c r="A156" s="9">
        <v>9</v>
      </c>
      <c r="B156" s="8" t="s">
        <v>6155</v>
      </c>
      <c r="C156" s="9" t="s">
        <v>1519</v>
      </c>
      <c r="D156" s="9" t="s">
        <v>1209</v>
      </c>
      <c r="E156" s="9" t="s">
        <v>6156</v>
      </c>
      <c r="F156" s="9" t="s">
        <v>1314</v>
      </c>
    </row>
    <row r="157" spans="1:20">
      <c r="A157" s="9">
        <v>10</v>
      </c>
      <c r="B157" s="8" t="s">
        <v>6157</v>
      </c>
      <c r="C157" s="9" t="s">
        <v>1299</v>
      </c>
      <c r="D157" s="9" t="s">
        <v>1175</v>
      </c>
      <c r="E157" s="9" t="s">
        <v>6158</v>
      </c>
      <c r="F157" s="9" t="s">
        <v>1178</v>
      </c>
    </row>
    <row r="158" spans="1:20">
      <c r="A158" s="9">
        <v>11</v>
      </c>
      <c r="B158" s="8" t="s">
        <v>6159</v>
      </c>
      <c r="C158" s="9" t="s">
        <v>1291</v>
      </c>
      <c r="D158" s="9" t="s">
        <v>1160</v>
      </c>
      <c r="E158" s="9" t="s">
        <v>6152</v>
      </c>
      <c r="F158" s="9" t="s">
        <v>1293</v>
      </c>
    </row>
    <row r="159" spans="1:20">
      <c r="A159" s="9">
        <v>12</v>
      </c>
      <c r="B159" s="8" t="s">
        <v>6160</v>
      </c>
      <c r="C159" s="9" t="s">
        <v>6161</v>
      </c>
      <c r="D159" s="9" t="s">
        <v>1160</v>
      </c>
      <c r="E159" s="9" t="s">
        <v>6162</v>
      </c>
      <c r="F159" s="9" t="s">
        <v>1178</v>
      </c>
    </row>
    <row r="160" spans="1:20">
      <c r="A160" s="9">
        <v>13</v>
      </c>
      <c r="B160" s="8" t="s">
        <v>6163</v>
      </c>
      <c r="C160" s="9" t="s">
        <v>1309</v>
      </c>
      <c r="D160" s="9" t="s">
        <v>1175</v>
      </c>
      <c r="E160" s="9" t="s">
        <v>6164</v>
      </c>
      <c r="F160" s="9" t="s">
        <v>1178</v>
      </c>
    </row>
    <row r="161" spans="1:6">
      <c r="A161" s="9">
        <v>14</v>
      </c>
      <c r="B161" s="8" t="s">
        <v>6165</v>
      </c>
      <c r="C161" s="9" t="s">
        <v>6161</v>
      </c>
      <c r="D161" s="9" t="s">
        <v>1160</v>
      </c>
      <c r="E161" s="9" t="s">
        <v>6166</v>
      </c>
      <c r="F161" s="9" t="s">
        <v>6167</v>
      </c>
    </row>
    <row r="162" spans="1:6">
      <c r="A162" s="9">
        <v>15</v>
      </c>
      <c r="B162" s="8" t="s">
        <v>6168</v>
      </c>
      <c r="C162" s="9" t="s">
        <v>1321</v>
      </c>
      <c r="D162" s="9" t="s">
        <v>1160</v>
      </c>
      <c r="E162" s="9" t="s">
        <v>6169</v>
      </c>
      <c r="F162" s="9" t="s">
        <v>1178</v>
      </c>
    </row>
    <row r="163" spans="1:6">
      <c r="A163" s="9">
        <v>16</v>
      </c>
      <c r="B163" s="8" t="s">
        <v>6170</v>
      </c>
      <c r="C163" s="9" t="s">
        <v>1323</v>
      </c>
      <c r="D163" s="9" t="s">
        <v>1160</v>
      </c>
      <c r="E163" s="9" t="s">
        <v>6171</v>
      </c>
      <c r="F163" s="9" t="s">
        <v>1307</v>
      </c>
    </row>
    <row r="164" spans="1:6">
      <c r="A164" s="9">
        <v>17</v>
      </c>
      <c r="B164" s="8" t="s">
        <v>6172</v>
      </c>
      <c r="C164" s="9" t="s">
        <v>1337</v>
      </c>
      <c r="D164" s="9" t="s">
        <v>1338</v>
      </c>
      <c r="E164" s="9" t="s">
        <v>6173</v>
      </c>
      <c r="F164" s="9" t="s">
        <v>1319</v>
      </c>
    </row>
    <row r="165" spans="1:6">
      <c r="A165" s="9">
        <v>18</v>
      </c>
      <c r="B165" s="8" t="s">
        <v>6174</v>
      </c>
      <c r="C165" s="9" t="s">
        <v>67</v>
      </c>
      <c r="D165" s="9" t="s">
        <v>1160</v>
      </c>
      <c r="E165" s="9" t="s">
        <v>6175</v>
      </c>
      <c r="F165" s="9" t="s">
        <v>1178</v>
      </c>
    </row>
    <row r="166" spans="1:6">
      <c r="A166" s="9">
        <v>19</v>
      </c>
      <c r="B166" s="8" t="s">
        <v>6176</v>
      </c>
      <c r="C166" s="9" t="s">
        <v>67</v>
      </c>
      <c r="D166" s="9" t="s">
        <v>1236</v>
      </c>
      <c r="E166" s="9" t="s">
        <v>6177</v>
      </c>
      <c r="F166" s="9" t="s">
        <v>1354</v>
      </c>
    </row>
    <row r="167" spans="1:6">
      <c r="A167" s="9">
        <v>20</v>
      </c>
      <c r="B167" s="8" t="s">
        <v>6178</v>
      </c>
      <c r="C167" s="9" t="s">
        <v>1356</v>
      </c>
      <c r="D167" s="9" t="s">
        <v>1175</v>
      </c>
      <c r="E167" s="9" t="s">
        <v>6179</v>
      </c>
      <c r="F167" s="9" t="s">
        <v>6180</v>
      </c>
    </row>
    <row r="168" spans="1:6">
      <c r="A168" s="9">
        <v>21</v>
      </c>
      <c r="B168" s="8" t="s">
        <v>6181</v>
      </c>
      <c r="C168" s="9" t="s">
        <v>1364</v>
      </c>
      <c r="D168" s="9" t="s">
        <v>1365</v>
      </c>
      <c r="E168" s="9" t="s">
        <v>6182</v>
      </c>
      <c r="F168" s="9" t="s">
        <v>1178</v>
      </c>
    </row>
    <row r="169" spans="1:6">
      <c r="A169" s="9">
        <v>22</v>
      </c>
      <c r="B169" s="8" t="s">
        <v>6183</v>
      </c>
      <c r="C169" s="9" t="s">
        <v>67</v>
      </c>
      <c r="D169" s="9" t="s">
        <v>1160</v>
      </c>
      <c r="E169" s="9" t="s">
        <v>6184</v>
      </c>
      <c r="F169" s="9" t="s">
        <v>1178</v>
      </c>
    </row>
    <row r="170" spans="1:6">
      <c r="A170" s="9">
        <v>23</v>
      </c>
      <c r="B170" s="8" t="s">
        <v>6185</v>
      </c>
      <c r="C170" s="9" t="s">
        <v>6186</v>
      </c>
      <c r="D170" s="9" t="s">
        <v>1160</v>
      </c>
      <c r="E170" s="9" t="s">
        <v>6187</v>
      </c>
      <c r="F170" s="9" t="s">
        <v>6167</v>
      </c>
    </row>
    <row r="171" spans="1:6">
      <c r="A171" s="9">
        <v>24</v>
      </c>
      <c r="B171" s="8" t="s">
        <v>6188</v>
      </c>
      <c r="C171" s="9" t="s">
        <v>6186</v>
      </c>
      <c r="D171" s="9" t="s">
        <v>1160</v>
      </c>
      <c r="E171" s="9" t="s">
        <v>6187</v>
      </c>
      <c r="F171" s="9" t="s">
        <v>1178</v>
      </c>
    </row>
    <row r="172" spans="1:6">
      <c r="A172" s="9">
        <v>25</v>
      </c>
      <c r="B172" s="8" t="s">
        <v>6189</v>
      </c>
      <c r="C172" s="9" t="s">
        <v>6190</v>
      </c>
      <c r="D172" s="9" t="s">
        <v>1160</v>
      </c>
      <c r="E172" s="9" t="s">
        <v>6191</v>
      </c>
      <c r="F172" s="9" t="s">
        <v>6167</v>
      </c>
    </row>
    <row r="173" spans="1:6">
      <c r="A173" s="9">
        <v>26</v>
      </c>
      <c r="B173" s="8" t="s">
        <v>6192</v>
      </c>
      <c r="C173" s="9" t="s">
        <v>6193</v>
      </c>
      <c r="D173" s="9" t="s">
        <v>6194</v>
      </c>
      <c r="E173" s="9" t="s">
        <v>6195</v>
      </c>
      <c r="F173" s="9" t="s">
        <v>1178</v>
      </c>
    </row>
    <row r="174" spans="1:6">
      <c r="A174" s="9">
        <v>27</v>
      </c>
      <c r="B174" s="8" t="s">
        <v>6196</v>
      </c>
      <c r="C174" s="9" t="s">
        <v>6197</v>
      </c>
      <c r="D174" s="9" t="s">
        <v>1160</v>
      </c>
      <c r="E174" s="9" t="s">
        <v>6198</v>
      </c>
      <c r="F174" s="9" t="s">
        <v>1178</v>
      </c>
    </row>
    <row r="175" spans="1:6">
      <c r="A175" s="9">
        <v>28</v>
      </c>
      <c r="B175" s="8" t="s">
        <v>6199</v>
      </c>
      <c r="C175" s="9" t="s">
        <v>6200</v>
      </c>
      <c r="D175" s="9" t="s">
        <v>6201</v>
      </c>
      <c r="E175" s="9" t="s">
        <v>6202</v>
      </c>
      <c r="F175" s="9" t="s">
        <v>1178</v>
      </c>
    </row>
    <row r="176" spans="1:6">
      <c r="A176" s="9">
        <v>29</v>
      </c>
      <c r="B176" s="8" t="s">
        <v>6203</v>
      </c>
      <c r="C176" s="9" t="s">
        <v>6204</v>
      </c>
      <c r="D176" s="9" t="s">
        <v>1317</v>
      </c>
      <c r="E176" s="9" t="s">
        <v>6205</v>
      </c>
      <c r="F176" s="9" t="s">
        <v>1274</v>
      </c>
    </row>
    <row r="177" spans="1:6">
      <c r="A177" s="9">
        <v>30</v>
      </c>
      <c r="B177" s="8" t="s">
        <v>6206</v>
      </c>
      <c r="C177" s="9" t="s">
        <v>6190</v>
      </c>
      <c r="D177" s="9" t="s">
        <v>1160</v>
      </c>
      <c r="E177" s="9" t="s">
        <v>6191</v>
      </c>
      <c r="F177" s="9" t="s">
        <v>1178</v>
      </c>
    </row>
    <row r="178" spans="1:6">
      <c r="A178" s="9">
        <v>31</v>
      </c>
      <c r="B178" s="8" t="s">
        <v>6207</v>
      </c>
      <c r="C178" s="9" t="s">
        <v>6208</v>
      </c>
      <c r="D178" s="9" t="s">
        <v>1160</v>
      </c>
      <c r="E178" s="9" t="s">
        <v>6209</v>
      </c>
      <c r="F178" s="9" t="s">
        <v>1178</v>
      </c>
    </row>
    <row r="179" spans="1:6">
      <c r="A179" s="9">
        <v>32</v>
      </c>
      <c r="B179" s="8" t="s">
        <v>6210</v>
      </c>
      <c r="C179" s="9" t="s">
        <v>6211</v>
      </c>
      <c r="D179" s="9" t="s">
        <v>1160</v>
      </c>
      <c r="E179" s="9" t="s">
        <v>6212</v>
      </c>
      <c r="F179" s="9" t="s">
        <v>1178</v>
      </c>
    </row>
    <row r="180" spans="1:6">
      <c r="A180" s="9">
        <v>33</v>
      </c>
      <c r="B180" s="8" t="s">
        <v>6210</v>
      </c>
      <c r="C180" s="9" t="s">
        <v>67</v>
      </c>
      <c r="D180" s="9" t="s">
        <v>1160</v>
      </c>
      <c r="E180" s="9" t="s">
        <v>6154</v>
      </c>
      <c r="F180" s="9" t="s">
        <v>6167</v>
      </c>
    </row>
    <row r="181" spans="1:6">
      <c r="A181" s="9">
        <v>34</v>
      </c>
      <c r="B181" s="8" t="s">
        <v>6213</v>
      </c>
      <c r="C181" s="9" t="s">
        <v>6193</v>
      </c>
      <c r="D181" s="9" t="s">
        <v>6194</v>
      </c>
      <c r="E181" s="9" t="s">
        <v>6214</v>
      </c>
      <c r="F181" s="9" t="s">
        <v>1178</v>
      </c>
    </row>
    <row r="182" spans="1:6">
      <c r="A182" s="9">
        <v>35</v>
      </c>
      <c r="B182" s="8" t="s">
        <v>6215</v>
      </c>
      <c r="C182" s="9" t="s">
        <v>6216</v>
      </c>
      <c r="D182" s="9" t="s">
        <v>6217</v>
      </c>
      <c r="E182" s="9" t="s">
        <v>6218</v>
      </c>
      <c r="F182" s="9" t="s">
        <v>1319</v>
      </c>
    </row>
    <row r="183" spans="1:6">
      <c r="A183" s="9">
        <v>36</v>
      </c>
      <c r="B183" s="8" t="s">
        <v>6219</v>
      </c>
      <c r="C183" s="9" t="s">
        <v>6220</v>
      </c>
      <c r="D183" s="9" t="s">
        <v>1160</v>
      </c>
      <c r="E183" s="9" t="s">
        <v>6221</v>
      </c>
      <c r="F183" s="9" t="s">
        <v>6222</v>
      </c>
    </row>
    <row r="184" spans="1:6">
      <c r="A184" s="9">
        <v>37</v>
      </c>
      <c r="B184" s="8" t="s">
        <v>6223</v>
      </c>
      <c r="C184" s="9" t="s">
        <v>6224</v>
      </c>
      <c r="D184" s="9" t="s">
        <v>1236</v>
      </c>
      <c r="E184" s="9" t="s">
        <v>6225</v>
      </c>
      <c r="F184" s="9" t="s">
        <v>6226</v>
      </c>
    </row>
    <row r="185" spans="1:6">
      <c r="A185" s="9">
        <v>38</v>
      </c>
      <c r="B185" s="8" t="s">
        <v>6227</v>
      </c>
      <c r="C185" s="9" t="s">
        <v>6224</v>
      </c>
      <c r="D185" s="9" t="s">
        <v>1236</v>
      </c>
      <c r="E185" s="9" t="s">
        <v>6228</v>
      </c>
      <c r="F185" s="9" t="s">
        <v>6226</v>
      </c>
    </row>
    <row r="186" spans="1:6">
      <c r="A186" s="9">
        <v>39</v>
      </c>
      <c r="B186" s="8" t="s">
        <v>6229</v>
      </c>
      <c r="C186" s="9" t="s">
        <v>6230</v>
      </c>
      <c r="D186" s="9" t="s">
        <v>1160</v>
      </c>
      <c r="E186" s="9" t="s">
        <v>6231</v>
      </c>
      <c r="F186" s="9" t="s">
        <v>1178</v>
      </c>
    </row>
    <row r="187" spans="1:6">
      <c r="A187" s="9">
        <v>40</v>
      </c>
      <c r="B187" s="8" t="s">
        <v>6232</v>
      </c>
      <c r="C187" s="9" t="s">
        <v>6233</v>
      </c>
      <c r="D187" s="9" t="s">
        <v>1317</v>
      </c>
      <c r="E187" s="9" t="s">
        <v>6234</v>
      </c>
      <c r="F187" s="9" t="s">
        <v>1293</v>
      </c>
    </row>
    <row r="188" spans="1:6">
      <c r="A188" s="9">
        <v>41</v>
      </c>
      <c r="B188" s="8" t="s">
        <v>6235</v>
      </c>
      <c r="C188" s="9" t="s">
        <v>6236</v>
      </c>
      <c r="D188" s="9" t="s">
        <v>1175</v>
      </c>
      <c r="E188" s="9" t="s">
        <v>6237</v>
      </c>
      <c r="F188" s="9" t="s">
        <v>6238</v>
      </c>
    </row>
    <row r="189" spans="1:6">
      <c r="A189" s="9">
        <v>42</v>
      </c>
      <c r="B189" s="8" t="s">
        <v>6239</v>
      </c>
      <c r="C189" s="9" t="s">
        <v>6240</v>
      </c>
      <c r="D189" s="9" t="s">
        <v>1160</v>
      </c>
      <c r="E189" s="9" t="s">
        <v>6241</v>
      </c>
      <c r="F189" s="9" t="s">
        <v>1178</v>
      </c>
    </row>
    <row r="190" spans="1:6">
      <c r="A190" s="9">
        <v>43</v>
      </c>
      <c r="B190" s="8" t="s">
        <v>6242</v>
      </c>
      <c r="C190" s="9" t="s">
        <v>6243</v>
      </c>
      <c r="D190" s="9" t="s">
        <v>6244</v>
      </c>
      <c r="E190" s="9" t="s">
        <v>6245</v>
      </c>
      <c r="F190" s="9" t="s">
        <v>1178</v>
      </c>
    </row>
    <row r="191" spans="1:6">
      <c r="A191" s="9">
        <v>44</v>
      </c>
      <c r="B191" s="8" t="s">
        <v>6246</v>
      </c>
      <c r="C191" s="9" t="s">
        <v>6236</v>
      </c>
      <c r="D191" s="9" t="s">
        <v>1175</v>
      </c>
      <c r="E191" s="9" t="s">
        <v>6237</v>
      </c>
      <c r="F191" s="9" t="s">
        <v>6238</v>
      </c>
    </row>
    <row r="192" spans="1:6">
      <c r="A192" s="9">
        <v>45</v>
      </c>
      <c r="B192" s="8" t="s">
        <v>6247</v>
      </c>
      <c r="C192" s="9" t="s">
        <v>6248</v>
      </c>
      <c r="D192" s="9" t="s">
        <v>1160</v>
      </c>
      <c r="E192" s="9" t="s">
        <v>6249</v>
      </c>
      <c r="F192" s="9" t="s">
        <v>1178</v>
      </c>
    </row>
    <row r="193" spans="1:20">
      <c r="A193" s="9">
        <v>46</v>
      </c>
      <c r="B193" s="8" t="s">
        <v>6250</v>
      </c>
      <c r="C193" s="9" t="s">
        <v>6251</v>
      </c>
      <c r="D193" s="9" t="s">
        <v>1160</v>
      </c>
      <c r="E193" s="9" t="s">
        <v>6252</v>
      </c>
      <c r="F193" s="9" t="s">
        <v>6253</v>
      </c>
    </row>
    <row r="194" spans="1:20">
      <c r="A194" s="9">
        <v>47</v>
      </c>
      <c r="B194" s="8" t="s">
        <v>6254</v>
      </c>
      <c r="C194" s="9" t="s">
        <v>6255</v>
      </c>
      <c r="D194" s="9" t="s">
        <v>1160</v>
      </c>
      <c r="E194" s="9" t="s">
        <v>6256</v>
      </c>
      <c r="F194" s="9" t="s">
        <v>1178</v>
      </c>
    </row>
    <row r="195" spans="1:20">
      <c r="A195" s="9">
        <v>48</v>
      </c>
      <c r="B195" s="8" t="s">
        <v>6257</v>
      </c>
      <c r="C195" s="9" t="s">
        <v>6258</v>
      </c>
      <c r="D195" s="9" t="s">
        <v>1160</v>
      </c>
      <c r="E195" s="9" t="s">
        <v>6259</v>
      </c>
      <c r="F195" s="9" t="s">
        <v>1178</v>
      </c>
    </row>
    <row r="196" spans="1:20">
      <c r="A196" s="9">
        <v>49</v>
      </c>
      <c r="B196" s="8" t="s">
        <v>6260</v>
      </c>
      <c r="C196" s="9" t="s">
        <v>6255</v>
      </c>
      <c r="D196" s="9" t="s">
        <v>1160</v>
      </c>
      <c r="E196" s="9" t="s">
        <v>6261</v>
      </c>
      <c r="F196" s="9" t="s">
        <v>1178</v>
      </c>
    </row>
    <row r="197" spans="1:20">
      <c r="A197" s="9">
        <v>50</v>
      </c>
      <c r="B197" s="8" t="s">
        <v>6262</v>
      </c>
      <c r="C197" s="9" t="s">
        <v>6255</v>
      </c>
      <c r="D197" s="9" t="s">
        <v>1160</v>
      </c>
      <c r="E197" s="9" t="s">
        <v>6256</v>
      </c>
      <c r="F197" s="9" t="s">
        <v>1178</v>
      </c>
    </row>
    <row r="198" ht="14.5" spans="1:20">
      <c r="A198" s="24" t="str">
        <f>HYPERLINK("https://www.tianyancha.com/company/441970624","打开天眼查，查看更多[历史开庭公告]")</f>
        <v>打开天眼查，查看更多[历史开庭公告]</v>
      </c>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ht="15.5" spans="1:20">
      <c r="A200" s="3" t="s">
        <v>6263</v>
      </c>
      <c r="B200" s="2" t="s">
        <v>6264</v>
      </c>
      <c r="C200" s="2"/>
      <c r="D200" s="2"/>
      <c r="E200" s="2"/>
      <c r="F200" s="2"/>
      <c r="G200" s="2"/>
      <c r="H200" s="2"/>
      <c r="I200" s="2"/>
      <c r="J200" s="2"/>
      <c r="K200" s="2"/>
      <c r="L200" s="2"/>
      <c r="M200" s="2"/>
      <c r="N200" s="2"/>
      <c r="O200" s="2"/>
      <c r="P200" s="2"/>
      <c r="Q200" s="2"/>
      <c r="R200" s="2"/>
      <c r="S200" s="2"/>
      <c r="T200" s="2"/>
    </row>
    <row r="201" ht="15.5" spans="1:20">
      <c r="A201" s="11" t="s">
        <v>46</v>
      </c>
      <c r="B201" s="11" t="s">
        <v>1443</v>
      </c>
      <c r="C201" s="11" t="s">
        <v>1380</v>
      </c>
      <c r="D201" s="11" t="s">
        <v>1152</v>
      </c>
      <c r="E201" s="11" t="s">
        <v>1381</v>
      </c>
      <c r="F201" s="11" t="s">
        <v>1444</v>
      </c>
      <c r="G201" s="11" t="s">
        <v>1445</v>
      </c>
      <c r="H201" s="11" t="s">
        <v>1446</v>
      </c>
      <c r="I201" s="11" t="s">
        <v>1447</v>
      </c>
      <c r="K201" s="2"/>
      <c r="L201" s="2"/>
      <c r="M201" s="2"/>
      <c r="N201" s="2"/>
      <c r="O201" s="2"/>
      <c r="P201" s="2"/>
      <c r="Q201" s="2"/>
      <c r="R201" s="2"/>
      <c r="S201" s="2"/>
      <c r="T201" s="2"/>
    </row>
    <row r="202" spans="1:20">
      <c r="A202" s="9">
        <v>1</v>
      </c>
      <c r="B202" s="9" t="s">
        <v>6265</v>
      </c>
      <c r="C202" s="16" t="s">
        <v>1323</v>
      </c>
      <c r="D202" s="9" t="s">
        <v>1185</v>
      </c>
      <c r="E202" s="9" t="s">
        <v>6266</v>
      </c>
      <c r="F202" s="9" t="s">
        <v>6267</v>
      </c>
      <c r="G202" s="9" t="s">
        <v>6268</v>
      </c>
      <c r="H202" s="8" t="s">
        <v>1324</v>
      </c>
      <c r="I202" s="9" t="s">
        <v>6269</v>
      </c>
      <c r="K202" s="2"/>
      <c r="L202" s="2"/>
      <c r="M202" s="2"/>
      <c r="N202" s="2"/>
      <c r="O202" s="2"/>
      <c r="P202" s="2"/>
      <c r="Q202" s="2"/>
      <c r="R202" s="2"/>
      <c r="S202" s="2"/>
      <c r="T202" s="2"/>
    </row>
    <row r="203" spans="1:20">
      <c r="A203" s="9">
        <v>2</v>
      </c>
      <c r="B203" s="9" t="s">
        <v>1480</v>
      </c>
      <c r="C203" s="16" t="s">
        <v>1316</v>
      </c>
      <c r="D203" s="9" t="s">
        <v>1317</v>
      </c>
      <c r="E203" s="9" t="s">
        <v>6270</v>
      </c>
      <c r="F203" s="9" t="s">
        <v>6271</v>
      </c>
      <c r="G203" s="9" t="s">
        <v>6272</v>
      </c>
      <c r="H203" s="8" t="s">
        <v>957</v>
      </c>
      <c r="I203" s="9" t="s">
        <v>6273</v>
      </c>
    </row>
    <row r="204" spans="1:20">
      <c r="A204" s="9">
        <v>3</v>
      </c>
      <c r="B204" s="9" t="s">
        <v>1448</v>
      </c>
      <c r="C204" s="16" t="s">
        <v>1356</v>
      </c>
      <c r="D204" s="9" t="s">
        <v>1160</v>
      </c>
      <c r="E204" s="9" t="s">
        <v>6179</v>
      </c>
      <c r="F204" s="9" t="s">
        <v>6267</v>
      </c>
      <c r="G204" s="9" t="s">
        <v>6274</v>
      </c>
      <c r="H204" s="8" t="s">
        <v>1357</v>
      </c>
      <c r="I204" s="9" t="s">
        <v>6275</v>
      </c>
    </row>
    <row r="205" spans="1:20">
      <c r="A205" s="9">
        <v>4</v>
      </c>
      <c r="B205" s="9" t="s">
        <v>1458</v>
      </c>
      <c r="C205" s="16" t="s">
        <v>6276</v>
      </c>
      <c r="D205" s="9" t="s">
        <v>1160</v>
      </c>
      <c r="E205" s="9" t="s">
        <v>6277</v>
      </c>
      <c r="F205" s="9" t="s">
        <v>6278</v>
      </c>
      <c r="G205" s="9" t="s">
        <v>6279</v>
      </c>
      <c r="H205" s="8" t="s">
        <v>6280</v>
      </c>
      <c r="I205" s="9" t="s">
        <v>2167</v>
      </c>
    </row>
    <row r="206" spans="1:20">
      <c r="A206" s="9">
        <v>5</v>
      </c>
      <c r="B206" s="9" t="s">
        <v>6281</v>
      </c>
      <c r="C206" s="16" t="s">
        <v>6282</v>
      </c>
      <c r="D206" s="9" t="s">
        <v>1333</v>
      </c>
      <c r="E206" s="9" t="s">
        <v>6283</v>
      </c>
      <c r="F206" s="9" t="s">
        <v>6284</v>
      </c>
      <c r="G206" s="9" t="s">
        <v>6285</v>
      </c>
      <c r="H206" s="8" t="s">
        <v>1335</v>
      </c>
      <c r="I206" s="9" t="s">
        <v>6286</v>
      </c>
    </row>
    <row r="207" spans="1:20">
      <c r="A207" s="9">
        <v>6</v>
      </c>
      <c r="B207" s="9" t="s">
        <v>6287</v>
      </c>
      <c r="C207" s="16" t="s">
        <v>1337</v>
      </c>
      <c r="D207" s="9" t="s">
        <v>1338</v>
      </c>
      <c r="E207" s="9" t="s">
        <v>6288</v>
      </c>
      <c r="F207" s="9" t="s">
        <v>6289</v>
      </c>
      <c r="G207" s="9" t="s">
        <v>6290</v>
      </c>
      <c r="H207" s="8" t="s">
        <v>1341</v>
      </c>
      <c r="I207" s="9" t="s">
        <v>6280</v>
      </c>
    </row>
    <row r="208" spans="1:20">
      <c r="A208" s="9">
        <v>7</v>
      </c>
      <c r="B208" s="9" t="s">
        <v>6291</v>
      </c>
      <c r="C208" s="16" t="s">
        <v>6193</v>
      </c>
      <c r="D208" s="9" t="s">
        <v>6292</v>
      </c>
      <c r="E208" s="9" t="s">
        <v>6293</v>
      </c>
      <c r="F208" s="9" t="s">
        <v>67</v>
      </c>
      <c r="G208" s="9" t="s">
        <v>6294</v>
      </c>
      <c r="H208" s="8" t="s">
        <v>6295</v>
      </c>
      <c r="I208" s="9" t="s">
        <v>6296</v>
      </c>
    </row>
    <row r="209" spans="1:9">
      <c r="A209" s="9">
        <v>8</v>
      </c>
      <c r="B209" s="9" t="s">
        <v>6297</v>
      </c>
      <c r="C209" s="16" t="s">
        <v>1345</v>
      </c>
      <c r="D209" s="9" t="s">
        <v>1346</v>
      </c>
      <c r="E209" s="9" t="s">
        <v>6298</v>
      </c>
      <c r="F209" s="9" t="s">
        <v>67</v>
      </c>
      <c r="G209" s="9" t="s">
        <v>6299</v>
      </c>
      <c r="H209" s="8" t="s">
        <v>1347</v>
      </c>
      <c r="I209" s="9" t="s">
        <v>6296</v>
      </c>
    </row>
    <row r="210" spans="1:9">
      <c r="A210" s="9">
        <v>9</v>
      </c>
      <c r="B210" s="9" t="s">
        <v>1448</v>
      </c>
      <c r="C210" s="16" t="s">
        <v>1349</v>
      </c>
      <c r="D210" s="9" t="s">
        <v>1160</v>
      </c>
      <c r="E210" s="9" t="s">
        <v>6300</v>
      </c>
      <c r="F210" s="9" t="s">
        <v>67</v>
      </c>
      <c r="G210" s="9" t="s">
        <v>6301</v>
      </c>
      <c r="H210" s="8" t="s">
        <v>1350</v>
      </c>
      <c r="I210" s="9" t="s">
        <v>6302</v>
      </c>
    </row>
    <row r="211" spans="1:9">
      <c r="A211" s="9">
        <v>10</v>
      </c>
      <c r="B211" s="9" t="s">
        <v>6303</v>
      </c>
      <c r="C211" s="16" t="s">
        <v>1352</v>
      </c>
      <c r="D211" s="9" t="s">
        <v>1236</v>
      </c>
      <c r="E211" s="9" t="s">
        <v>6304</v>
      </c>
      <c r="F211" s="9" t="s">
        <v>6305</v>
      </c>
      <c r="G211" s="9" t="s">
        <v>6306</v>
      </c>
      <c r="H211" s="8" t="s">
        <v>1353</v>
      </c>
      <c r="I211" s="9" t="s">
        <v>6307</v>
      </c>
    </row>
    <row r="212" spans="1:9">
      <c r="A212" s="9">
        <v>11</v>
      </c>
      <c r="B212" s="9" t="s">
        <v>6308</v>
      </c>
      <c r="C212" s="16" t="s">
        <v>6309</v>
      </c>
      <c r="D212" s="9" t="s">
        <v>1236</v>
      </c>
      <c r="E212" s="9" t="s">
        <v>6310</v>
      </c>
      <c r="F212" s="9" t="s">
        <v>67</v>
      </c>
      <c r="G212" s="9" t="s">
        <v>6311</v>
      </c>
      <c r="H212" s="8" t="s">
        <v>6312</v>
      </c>
      <c r="I212" s="9" t="s">
        <v>5521</v>
      </c>
    </row>
    <row r="213" spans="1:9">
      <c r="A213" s="9">
        <v>12</v>
      </c>
      <c r="B213" s="9" t="s">
        <v>6308</v>
      </c>
      <c r="C213" s="16" t="s">
        <v>1360</v>
      </c>
      <c r="D213" s="9" t="s">
        <v>1236</v>
      </c>
      <c r="E213" s="9" t="s">
        <v>6313</v>
      </c>
      <c r="F213" s="9" t="s">
        <v>6314</v>
      </c>
      <c r="G213" s="9" t="s">
        <v>6315</v>
      </c>
      <c r="H213" s="8" t="s">
        <v>1362</v>
      </c>
      <c r="I213" s="9" t="s">
        <v>6316</v>
      </c>
    </row>
    <row r="214" spans="1:9">
      <c r="A214" s="9">
        <v>13</v>
      </c>
      <c r="B214" s="9" t="s">
        <v>1448</v>
      </c>
      <c r="C214" s="16" t="s">
        <v>6317</v>
      </c>
      <c r="D214" s="9" t="s">
        <v>1160</v>
      </c>
      <c r="E214" s="9" t="s">
        <v>6184</v>
      </c>
      <c r="F214" s="9" t="s">
        <v>67</v>
      </c>
      <c r="G214" s="9" t="s">
        <v>6318</v>
      </c>
      <c r="H214" s="8" t="s">
        <v>6319</v>
      </c>
      <c r="I214" s="9" t="s">
        <v>6320</v>
      </c>
    </row>
    <row r="215" spans="1:9">
      <c r="A215" s="9">
        <v>14</v>
      </c>
      <c r="B215" s="9" t="s">
        <v>1448</v>
      </c>
      <c r="C215" s="16" t="s">
        <v>6321</v>
      </c>
      <c r="D215" s="9" t="s">
        <v>1160</v>
      </c>
      <c r="E215" s="9" t="s">
        <v>6322</v>
      </c>
      <c r="F215" s="9" t="s">
        <v>67</v>
      </c>
      <c r="G215" s="9" t="s">
        <v>6323</v>
      </c>
      <c r="H215" s="8" t="s">
        <v>6324</v>
      </c>
      <c r="I215" s="9" t="s">
        <v>6320</v>
      </c>
    </row>
    <row r="216" spans="1:9">
      <c r="A216" s="9">
        <v>15</v>
      </c>
      <c r="B216" s="9" t="s">
        <v>1468</v>
      </c>
      <c r="C216" s="16" t="s">
        <v>6325</v>
      </c>
      <c r="D216" s="9" t="s">
        <v>1160</v>
      </c>
      <c r="E216" s="9" t="s">
        <v>6326</v>
      </c>
      <c r="F216" s="9" t="s">
        <v>6327</v>
      </c>
      <c r="G216" s="9" t="s">
        <v>6328</v>
      </c>
      <c r="H216" s="8" t="s">
        <v>6329</v>
      </c>
      <c r="I216" s="9" t="s">
        <v>6330</v>
      </c>
    </row>
    <row r="217" spans="1:9">
      <c r="A217" s="9">
        <v>16</v>
      </c>
      <c r="B217" s="9" t="s">
        <v>1468</v>
      </c>
      <c r="C217" s="16" t="s">
        <v>1373</v>
      </c>
      <c r="D217" s="9" t="s">
        <v>1160</v>
      </c>
      <c r="E217" s="9" t="s">
        <v>6331</v>
      </c>
      <c r="F217" s="9" t="s">
        <v>67</v>
      </c>
      <c r="G217" s="9" t="s">
        <v>6332</v>
      </c>
      <c r="H217" s="8" t="s">
        <v>1376</v>
      </c>
      <c r="I217" s="9" t="s">
        <v>5525</v>
      </c>
    </row>
    <row r="218" spans="1:9">
      <c r="A218" s="9">
        <v>17</v>
      </c>
      <c r="B218" s="9" t="s">
        <v>6291</v>
      </c>
      <c r="C218" s="16" t="s">
        <v>6193</v>
      </c>
      <c r="D218" s="9" t="s">
        <v>6292</v>
      </c>
      <c r="E218" s="9" t="s">
        <v>6333</v>
      </c>
      <c r="F218" s="9" t="s">
        <v>67</v>
      </c>
      <c r="G218" s="9" t="s">
        <v>6334</v>
      </c>
      <c r="H218" s="8" t="s">
        <v>6335</v>
      </c>
      <c r="I218" s="9" t="s">
        <v>6336</v>
      </c>
    </row>
    <row r="219" spans="1:9">
      <c r="A219" s="9">
        <v>18</v>
      </c>
      <c r="B219" s="9" t="s">
        <v>6337</v>
      </c>
      <c r="C219" s="16" t="s">
        <v>1370</v>
      </c>
      <c r="D219" s="9" t="s">
        <v>1175</v>
      </c>
      <c r="E219" s="9" t="s">
        <v>6338</v>
      </c>
      <c r="F219" s="9" t="s">
        <v>6339</v>
      </c>
      <c r="G219" s="9" t="s">
        <v>6328</v>
      </c>
      <c r="H219" s="8" t="s">
        <v>1371</v>
      </c>
      <c r="I219" s="9" t="s">
        <v>6340</v>
      </c>
    </row>
    <row r="220" spans="1:9">
      <c r="A220" s="9">
        <v>19</v>
      </c>
      <c r="B220" s="9" t="s">
        <v>1448</v>
      </c>
      <c r="C220" s="16" t="s">
        <v>6190</v>
      </c>
      <c r="D220" s="9" t="s">
        <v>1160</v>
      </c>
      <c r="E220" s="9" t="s">
        <v>6341</v>
      </c>
      <c r="F220" s="9" t="s">
        <v>6342</v>
      </c>
      <c r="G220" s="9" t="s">
        <v>6343</v>
      </c>
      <c r="H220" s="8" t="s">
        <v>6335</v>
      </c>
      <c r="I220" s="9" t="s">
        <v>982</v>
      </c>
    </row>
    <row r="221" spans="1:9">
      <c r="A221" s="9">
        <v>20</v>
      </c>
      <c r="B221" s="9" t="s">
        <v>1448</v>
      </c>
      <c r="C221" s="16" t="s">
        <v>6344</v>
      </c>
      <c r="D221" s="9" t="s">
        <v>1160</v>
      </c>
      <c r="E221" s="9" t="s">
        <v>6345</v>
      </c>
      <c r="F221" s="9" t="s">
        <v>67</v>
      </c>
      <c r="G221" s="9" t="s">
        <v>6346</v>
      </c>
      <c r="H221" s="8" t="s">
        <v>6347</v>
      </c>
      <c r="I221" s="9" t="s">
        <v>982</v>
      </c>
    </row>
    <row r="222" spans="1:9">
      <c r="A222" s="9">
        <v>21</v>
      </c>
      <c r="B222" s="9" t="s">
        <v>6337</v>
      </c>
      <c r="C222" s="16" t="s">
        <v>6348</v>
      </c>
      <c r="D222" s="9" t="s">
        <v>1175</v>
      </c>
      <c r="E222" s="9" t="s">
        <v>6349</v>
      </c>
      <c r="F222" s="9" t="s">
        <v>67</v>
      </c>
      <c r="G222" s="9" t="s">
        <v>6350</v>
      </c>
      <c r="H222" s="8" t="s">
        <v>5534</v>
      </c>
      <c r="I222" s="9" t="s">
        <v>6351</v>
      </c>
    </row>
    <row r="223" spans="1:9">
      <c r="A223" s="9">
        <v>22</v>
      </c>
      <c r="B223" s="9" t="s">
        <v>1448</v>
      </c>
      <c r="C223" s="16" t="s">
        <v>6197</v>
      </c>
      <c r="D223" s="9" t="s">
        <v>1160</v>
      </c>
      <c r="E223" s="9" t="s">
        <v>6352</v>
      </c>
      <c r="F223" s="9" t="s">
        <v>6353</v>
      </c>
      <c r="G223" s="9" t="s">
        <v>6354</v>
      </c>
      <c r="H223" s="8" t="s">
        <v>6355</v>
      </c>
      <c r="I223" s="9" t="s">
        <v>6356</v>
      </c>
    </row>
    <row r="224" spans="1:9">
      <c r="A224" s="9">
        <v>23</v>
      </c>
      <c r="B224" s="9" t="s">
        <v>1448</v>
      </c>
      <c r="C224" s="16" t="s">
        <v>6357</v>
      </c>
      <c r="D224" s="9" t="s">
        <v>1160</v>
      </c>
      <c r="E224" s="9" t="s">
        <v>6358</v>
      </c>
      <c r="F224" s="9" t="s">
        <v>6353</v>
      </c>
      <c r="G224" s="9" t="s">
        <v>6359</v>
      </c>
      <c r="H224" s="8" t="s">
        <v>6360</v>
      </c>
      <c r="I224" s="9" t="s">
        <v>6356</v>
      </c>
    </row>
    <row r="225" spans="1:9">
      <c r="A225" s="9">
        <v>24</v>
      </c>
      <c r="B225" s="9" t="s">
        <v>1480</v>
      </c>
      <c r="C225" s="16" t="s">
        <v>6361</v>
      </c>
      <c r="D225" s="9" t="s">
        <v>1317</v>
      </c>
      <c r="E225" s="9" t="s">
        <v>6362</v>
      </c>
      <c r="F225" s="9" t="s">
        <v>6363</v>
      </c>
      <c r="G225" s="9" t="s">
        <v>6364</v>
      </c>
      <c r="H225" s="8" t="s">
        <v>6365</v>
      </c>
      <c r="I225" s="9" t="s">
        <v>6366</v>
      </c>
    </row>
    <row r="226" spans="1:9">
      <c r="A226" s="9">
        <v>25</v>
      </c>
      <c r="B226" s="9" t="s">
        <v>1468</v>
      </c>
      <c r="C226" s="16" t="s">
        <v>6367</v>
      </c>
      <c r="D226" s="9" t="s">
        <v>1160</v>
      </c>
      <c r="E226" s="9" t="s">
        <v>6368</v>
      </c>
      <c r="F226" s="9" t="s">
        <v>6369</v>
      </c>
      <c r="G226" s="9" t="s">
        <v>6370</v>
      </c>
      <c r="H226" s="8" t="s">
        <v>6371</v>
      </c>
      <c r="I226" s="9" t="s">
        <v>6372</v>
      </c>
    </row>
    <row r="227" spans="1:9">
      <c r="A227" s="9">
        <v>26</v>
      </c>
      <c r="B227" s="9" t="s">
        <v>1458</v>
      </c>
      <c r="C227" s="16" t="s">
        <v>6373</v>
      </c>
      <c r="D227" s="9" t="s">
        <v>1160</v>
      </c>
      <c r="E227" s="9" t="s">
        <v>6374</v>
      </c>
      <c r="F227" s="9" t="s">
        <v>67</v>
      </c>
      <c r="G227" s="9" t="s">
        <v>6375</v>
      </c>
      <c r="H227" s="8" t="s">
        <v>6355</v>
      </c>
      <c r="I227" s="9" t="s">
        <v>6376</v>
      </c>
    </row>
    <row r="228" spans="1:9">
      <c r="A228" s="9">
        <v>27</v>
      </c>
      <c r="B228" s="9" t="s">
        <v>1468</v>
      </c>
      <c r="C228" s="16" t="s">
        <v>6377</v>
      </c>
      <c r="D228" s="9" t="s">
        <v>1160</v>
      </c>
      <c r="E228" s="9" t="s">
        <v>6378</v>
      </c>
      <c r="F228" s="9" t="s">
        <v>6379</v>
      </c>
      <c r="G228" s="9" t="s">
        <v>6380</v>
      </c>
      <c r="H228" s="8" t="s">
        <v>1032</v>
      </c>
      <c r="I228" s="9" t="s">
        <v>6381</v>
      </c>
    </row>
    <row r="229" spans="1:9">
      <c r="A229" s="9">
        <v>28</v>
      </c>
      <c r="B229" s="9" t="s">
        <v>6308</v>
      </c>
      <c r="C229" s="16" t="s">
        <v>6204</v>
      </c>
      <c r="D229" s="9" t="s">
        <v>1236</v>
      </c>
      <c r="E229" s="9" t="s">
        <v>6382</v>
      </c>
      <c r="F229" s="9" t="s">
        <v>67</v>
      </c>
      <c r="G229" s="9" t="s">
        <v>6383</v>
      </c>
      <c r="H229" s="8" t="s">
        <v>6384</v>
      </c>
      <c r="I229" s="9" t="s">
        <v>1032</v>
      </c>
    </row>
    <row r="230" spans="1:9">
      <c r="A230" s="9">
        <v>29</v>
      </c>
      <c r="B230" s="9" t="s">
        <v>1468</v>
      </c>
      <c r="C230" s="16" t="s">
        <v>6385</v>
      </c>
      <c r="D230" s="9" t="s">
        <v>1160</v>
      </c>
      <c r="E230" s="9" t="s">
        <v>6386</v>
      </c>
      <c r="F230" s="9" t="s">
        <v>6387</v>
      </c>
      <c r="G230" s="9" t="s">
        <v>6388</v>
      </c>
      <c r="H230" s="8" t="s">
        <v>6389</v>
      </c>
      <c r="I230" s="9" t="s">
        <v>6390</v>
      </c>
    </row>
    <row r="231" spans="1:9">
      <c r="A231" s="9">
        <v>30</v>
      </c>
      <c r="B231" s="9" t="s">
        <v>1468</v>
      </c>
      <c r="C231" s="16" t="s">
        <v>6391</v>
      </c>
      <c r="D231" s="9" t="s">
        <v>1160</v>
      </c>
      <c r="E231" s="9" t="s">
        <v>6392</v>
      </c>
      <c r="F231" s="9" t="s">
        <v>6393</v>
      </c>
      <c r="G231" s="9" t="s">
        <v>6380</v>
      </c>
      <c r="H231" s="8" t="s">
        <v>2175</v>
      </c>
      <c r="I231" s="9" t="s">
        <v>6394</v>
      </c>
    </row>
    <row r="232" spans="1:9">
      <c r="A232" s="9">
        <v>31</v>
      </c>
      <c r="B232" s="9" t="s">
        <v>6395</v>
      </c>
      <c r="C232" s="16" t="s">
        <v>6396</v>
      </c>
      <c r="D232" s="9" t="s">
        <v>6292</v>
      </c>
      <c r="E232" s="9" t="s">
        <v>6397</v>
      </c>
      <c r="F232" s="9" t="s">
        <v>67</v>
      </c>
      <c r="G232" s="9" t="s">
        <v>6375</v>
      </c>
      <c r="H232" s="8" t="s">
        <v>6398</v>
      </c>
      <c r="I232" s="9" t="s">
        <v>6394</v>
      </c>
    </row>
    <row r="233" spans="1:9">
      <c r="A233" s="9">
        <v>32</v>
      </c>
      <c r="B233" s="9" t="s">
        <v>6399</v>
      </c>
      <c r="C233" s="16" t="s">
        <v>6200</v>
      </c>
      <c r="D233" s="9" t="s">
        <v>6201</v>
      </c>
      <c r="E233" s="9" t="s">
        <v>6202</v>
      </c>
      <c r="F233" s="9" t="s">
        <v>67</v>
      </c>
      <c r="G233" s="9" t="s">
        <v>6400</v>
      </c>
      <c r="H233" s="8" t="s">
        <v>6401</v>
      </c>
      <c r="I233" s="9" t="s">
        <v>6402</v>
      </c>
    </row>
    <row r="234" spans="1:9">
      <c r="A234" s="9">
        <v>33</v>
      </c>
      <c r="B234" s="9" t="s">
        <v>6303</v>
      </c>
      <c r="C234" s="16" t="s">
        <v>6403</v>
      </c>
      <c r="D234" s="9" t="s">
        <v>1236</v>
      </c>
      <c r="E234" s="9" t="s">
        <v>6404</v>
      </c>
      <c r="F234" s="9" t="s">
        <v>6405</v>
      </c>
      <c r="G234" s="9" t="s">
        <v>6406</v>
      </c>
      <c r="H234" s="8" t="s">
        <v>6407</v>
      </c>
      <c r="I234" s="9" t="s">
        <v>6408</v>
      </c>
    </row>
    <row r="235" spans="1:9">
      <c r="A235" s="9">
        <v>34</v>
      </c>
      <c r="B235" s="9" t="s">
        <v>6409</v>
      </c>
      <c r="C235" s="16" t="s">
        <v>6224</v>
      </c>
      <c r="D235" s="9" t="s">
        <v>1236</v>
      </c>
      <c r="E235" s="9" t="s">
        <v>6228</v>
      </c>
      <c r="F235" s="9" t="s">
        <v>6405</v>
      </c>
      <c r="G235" s="9" t="s">
        <v>6410</v>
      </c>
      <c r="H235" s="8" t="s">
        <v>6411</v>
      </c>
      <c r="I235" s="9" t="s">
        <v>6408</v>
      </c>
    </row>
    <row r="236" spans="1:9">
      <c r="A236" s="9">
        <v>35</v>
      </c>
      <c r="B236" s="9" t="s">
        <v>1448</v>
      </c>
      <c r="C236" s="16" t="s">
        <v>6208</v>
      </c>
      <c r="D236" s="9" t="s">
        <v>1160</v>
      </c>
      <c r="E236" s="9" t="s">
        <v>6412</v>
      </c>
      <c r="F236" s="9" t="s">
        <v>6413</v>
      </c>
      <c r="G236" s="9" t="s">
        <v>6414</v>
      </c>
      <c r="H236" s="8" t="s">
        <v>6415</v>
      </c>
      <c r="I236" s="9" t="s">
        <v>6416</v>
      </c>
    </row>
    <row r="237" spans="1:9">
      <c r="A237" s="9">
        <v>36</v>
      </c>
      <c r="B237" s="9" t="s">
        <v>1448</v>
      </c>
      <c r="C237" s="16" t="s">
        <v>6417</v>
      </c>
      <c r="D237" s="9" t="s">
        <v>1160</v>
      </c>
      <c r="E237" s="9" t="s">
        <v>6418</v>
      </c>
      <c r="F237" s="9" t="s">
        <v>67</v>
      </c>
      <c r="G237" s="9" t="s">
        <v>6419</v>
      </c>
      <c r="H237" s="8" t="s">
        <v>6420</v>
      </c>
      <c r="I237" s="9" t="s">
        <v>6416</v>
      </c>
    </row>
    <row r="238" spans="1:9">
      <c r="A238" s="9">
        <v>37</v>
      </c>
      <c r="B238" s="9" t="s">
        <v>6421</v>
      </c>
      <c r="C238" s="16" t="s">
        <v>6422</v>
      </c>
      <c r="D238" s="9" t="s">
        <v>6244</v>
      </c>
      <c r="E238" s="9" t="s">
        <v>6423</v>
      </c>
      <c r="F238" s="9" t="s">
        <v>67</v>
      </c>
      <c r="G238" s="9" t="s">
        <v>6424</v>
      </c>
      <c r="H238" s="8" t="s">
        <v>6425</v>
      </c>
      <c r="I238" s="9" t="s">
        <v>6426</v>
      </c>
    </row>
    <row r="239" spans="1:9">
      <c r="A239" s="9">
        <v>38</v>
      </c>
      <c r="B239" s="9" t="s">
        <v>1458</v>
      </c>
      <c r="C239" s="16" t="s">
        <v>6216</v>
      </c>
      <c r="D239" s="9" t="s">
        <v>1160</v>
      </c>
      <c r="E239" s="9" t="s">
        <v>6427</v>
      </c>
      <c r="F239" s="9" t="s">
        <v>67</v>
      </c>
      <c r="G239" s="9" t="s">
        <v>6428</v>
      </c>
      <c r="H239" s="8" t="s">
        <v>6429</v>
      </c>
      <c r="I239" s="9" t="s">
        <v>2178</v>
      </c>
    </row>
    <row r="240" spans="1:9">
      <c r="A240" s="9">
        <v>39</v>
      </c>
      <c r="B240" s="9" t="s">
        <v>1448</v>
      </c>
      <c r="C240" s="16" t="s">
        <v>6255</v>
      </c>
      <c r="D240" s="9" t="s">
        <v>1160</v>
      </c>
      <c r="E240" s="9" t="s">
        <v>6256</v>
      </c>
      <c r="F240" s="9" t="s">
        <v>6430</v>
      </c>
      <c r="G240" s="9" t="s">
        <v>6431</v>
      </c>
      <c r="H240" s="8" t="s">
        <v>6432</v>
      </c>
      <c r="I240" s="9" t="s">
        <v>2178</v>
      </c>
    </row>
    <row r="241" spans="1:20">
      <c r="A241" s="9">
        <v>40</v>
      </c>
      <c r="B241" s="9" t="s">
        <v>1448</v>
      </c>
      <c r="C241" s="16" t="s">
        <v>6211</v>
      </c>
      <c r="D241" s="9" t="s">
        <v>1160</v>
      </c>
      <c r="E241" s="9" t="s">
        <v>6212</v>
      </c>
      <c r="F241" s="9" t="s">
        <v>6433</v>
      </c>
      <c r="G241" s="9" t="s">
        <v>6434</v>
      </c>
      <c r="H241" s="8" t="s">
        <v>6435</v>
      </c>
      <c r="I241" s="9" t="s">
        <v>5641</v>
      </c>
    </row>
    <row r="242" spans="1:20">
      <c r="A242" s="9">
        <v>41</v>
      </c>
      <c r="B242" s="9" t="s">
        <v>1458</v>
      </c>
      <c r="C242" s="16" t="s">
        <v>6436</v>
      </c>
      <c r="D242" s="9" t="s">
        <v>1160</v>
      </c>
      <c r="E242" s="9" t="s">
        <v>6437</v>
      </c>
      <c r="F242" s="9" t="s">
        <v>6438</v>
      </c>
      <c r="G242" s="9" t="s">
        <v>6439</v>
      </c>
      <c r="H242" s="8" t="s">
        <v>6440</v>
      </c>
      <c r="I242" s="9" t="s">
        <v>6441</v>
      </c>
    </row>
    <row r="243" spans="1:20">
      <c r="A243" s="9">
        <v>42</v>
      </c>
      <c r="B243" s="9" t="s">
        <v>6308</v>
      </c>
      <c r="C243" s="16" t="s">
        <v>6442</v>
      </c>
      <c r="D243" s="9" t="s">
        <v>1236</v>
      </c>
      <c r="E243" s="9" t="s">
        <v>6443</v>
      </c>
      <c r="F243" s="9" t="s">
        <v>67</v>
      </c>
      <c r="G243" s="9" t="s">
        <v>6444</v>
      </c>
      <c r="H243" s="8" t="s">
        <v>6440</v>
      </c>
      <c r="I243" s="9" t="s">
        <v>6445</v>
      </c>
    </row>
    <row r="244" spans="1:20">
      <c r="A244" s="9">
        <v>43</v>
      </c>
      <c r="B244" s="9" t="s">
        <v>6446</v>
      </c>
      <c r="C244" s="16" t="s">
        <v>6447</v>
      </c>
      <c r="D244" s="9" t="s">
        <v>6448</v>
      </c>
      <c r="E244" s="9" t="s">
        <v>6449</v>
      </c>
      <c r="F244" s="9" t="s">
        <v>67</v>
      </c>
      <c r="G244" s="9" t="s">
        <v>6450</v>
      </c>
      <c r="H244" s="8" t="s">
        <v>6451</v>
      </c>
      <c r="I244" s="9" t="s">
        <v>6452</v>
      </c>
    </row>
    <row r="245" spans="1:20">
      <c r="A245" s="9">
        <v>44</v>
      </c>
      <c r="B245" s="9" t="s">
        <v>6308</v>
      </c>
      <c r="C245" s="16" t="s">
        <v>6453</v>
      </c>
      <c r="D245" s="9" t="s">
        <v>1236</v>
      </c>
      <c r="E245" s="9" t="s">
        <v>6454</v>
      </c>
      <c r="F245" s="9" t="s">
        <v>6455</v>
      </c>
      <c r="G245" s="9" t="s">
        <v>6456</v>
      </c>
      <c r="H245" s="8" t="s">
        <v>6457</v>
      </c>
      <c r="I245" s="9" t="s">
        <v>6458</v>
      </c>
    </row>
    <row r="246" spans="1:20">
      <c r="A246" s="9">
        <v>45</v>
      </c>
      <c r="B246" s="9" t="s">
        <v>1448</v>
      </c>
      <c r="C246" s="16" t="s">
        <v>6459</v>
      </c>
      <c r="D246" s="9" t="s">
        <v>1160</v>
      </c>
      <c r="E246" s="9" t="s">
        <v>6460</v>
      </c>
      <c r="F246" s="9" t="s">
        <v>67</v>
      </c>
      <c r="G246" s="9" t="s">
        <v>6461</v>
      </c>
      <c r="H246" s="8" t="s">
        <v>6462</v>
      </c>
      <c r="I246" s="9" t="s">
        <v>6463</v>
      </c>
    </row>
    <row r="247" spans="1:20">
      <c r="A247" s="9">
        <v>46</v>
      </c>
      <c r="B247" s="9" t="s">
        <v>1468</v>
      </c>
      <c r="C247" s="16" t="s">
        <v>6464</v>
      </c>
      <c r="D247" s="9" t="s">
        <v>1160</v>
      </c>
      <c r="E247" s="9" t="s">
        <v>6465</v>
      </c>
      <c r="F247" s="9" t="s">
        <v>6466</v>
      </c>
      <c r="G247" s="9" t="s">
        <v>6467</v>
      </c>
      <c r="H247" s="8" t="s">
        <v>995</v>
      </c>
      <c r="I247" s="9" t="s">
        <v>6468</v>
      </c>
    </row>
    <row r="248" spans="1:20">
      <c r="A248" s="9">
        <v>47</v>
      </c>
      <c r="B248" s="9" t="s">
        <v>1468</v>
      </c>
      <c r="C248" s="16" t="s">
        <v>6469</v>
      </c>
      <c r="D248" s="9" t="s">
        <v>1160</v>
      </c>
      <c r="E248" s="9" t="s">
        <v>6470</v>
      </c>
      <c r="F248" s="9" t="s">
        <v>6471</v>
      </c>
      <c r="G248" s="9" t="s">
        <v>6380</v>
      </c>
      <c r="H248" s="8" t="s">
        <v>6472</v>
      </c>
      <c r="I248" s="9" t="s">
        <v>6468</v>
      </c>
    </row>
    <row r="249" spans="1:20">
      <c r="A249" s="9">
        <v>48</v>
      </c>
      <c r="B249" s="9" t="s">
        <v>1468</v>
      </c>
      <c r="C249" s="16" t="s">
        <v>6473</v>
      </c>
      <c r="D249" s="9" t="s">
        <v>1160</v>
      </c>
      <c r="E249" s="9" t="s">
        <v>6474</v>
      </c>
      <c r="F249" s="9" t="s">
        <v>6475</v>
      </c>
      <c r="G249" s="9" t="s">
        <v>6328</v>
      </c>
      <c r="H249" s="8" t="s">
        <v>6476</v>
      </c>
      <c r="I249" s="9" t="s">
        <v>6477</v>
      </c>
    </row>
    <row r="250" spans="1:20">
      <c r="A250" s="9">
        <v>49</v>
      </c>
      <c r="B250" s="9" t="s">
        <v>6478</v>
      </c>
      <c r="C250" s="16" t="s">
        <v>6243</v>
      </c>
      <c r="D250" s="9" t="s">
        <v>6244</v>
      </c>
      <c r="E250" s="9" t="s">
        <v>6479</v>
      </c>
      <c r="F250" s="9" t="s">
        <v>67</v>
      </c>
      <c r="G250" s="9" t="s">
        <v>6480</v>
      </c>
      <c r="H250" s="8" t="s">
        <v>6481</v>
      </c>
      <c r="I250" s="9" t="s">
        <v>997</v>
      </c>
    </row>
    <row r="251" spans="1:20">
      <c r="A251" s="9">
        <v>50</v>
      </c>
      <c r="B251" s="9" t="s">
        <v>1468</v>
      </c>
      <c r="C251" s="16" t="s">
        <v>6482</v>
      </c>
      <c r="D251" s="9" t="s">
        <v>1160</v>
      </c>
      <c r="E251" s="9" t="s">
        <v>6483</v>
      </c>
      <c r="F251" s="9" t="s">
        <v>67</v>
      </c>
      <c r="G251" s="9" t="s">
        <v>6484</v>
      </c>
      <c r="H251" s="8" t="s">
        <v>6485</v>
      </c>
      <c r="I251" s="9" t="s">
        <v>6486</v>
      </c>
    </row>
    <row r="252" ht="14.5" spans="1:20">
      <c r="A252" s="24" t="str">
        <f>HYPERLINK("https://www.tianyancha.com/company/441970624","打开天眼查，查看更多[历史裁判文书]")</f>
        <v>打开天眼查，查看更多[历史裁判文书]</v>
      </c>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ht="15.5" spans="1:20">
      <c r="A254" s="3" t="s">
        <v>6487</v>
      </c>
      <c r="B254" s="2" t="s">
        <v>6488</v>
      </c>
      <c r="C254" s="2"/>
      <c r="D254" s="2"/>
      <c r="E254" s="2"/>
      <c r="F254" s="2"/>
      <c r="G254" s="2"/>
      <c r="H254" s="2"/>
      <c r="I254" s="2"/>
      <c r="J254" s="2"/>
      <c r="K254" s="2"/>
      <c r="L254" s="2"/>
      <c r="M254" s="2"/>
      <c r="N254" s="2"/>
      <c r="O254" s="2"/>
      <c r="P254" s="2"/>
      <c r="Q254" s="2"/>
      <c r="R254" s="2"/>
      <c r="S254" s="2"/>
      <c r="T254" s="2"/>
    </row>
    <row r="255" ht="15.5" spans="1:20">
      <c r="A255" s="11" t="s">
        <v>46</v>
      </c>
      <c r="B255" s="11" t="s">
        <v>1380</v>
      </c>
      <c r="C255" s="11" t="s">
        <v>1152</v>
      </c>
      <c r="D255" s="11" t="s">
        <v>1381</v>
      </c>
      <c r="E255" s="11" t="s">
        <v>1512</v>
      </c>
      <c r="F255" s="18" t="s">
        <v>1513</v>
      </c>
      <c r="G255" s="11" t="s">
        <v>1514</v>
      </c>
      <c r="H255" s="2"/>
      <c r="I255" s="2"/>
      <c r="J255" s="2"/>
      <c r="K255" s="2"/>
      <c r="L255" s="2"/>
      <c r="M255" s="2"/>
      <c r="N255" s="2"/>
      <c r="O255" s="2"/>
      <c r="P255" s="2"/>
      <c r="Q255" s="2"/>
      <c r="R255" s="2"/>
      <c r="S255" s="2"/>
      <c r="T255" s="2"/>
    </row>
    <row r="256" spans="1:20">
      <c r="A256" s="9">
        <v>1</v>
      </c>
      <c r="B256" s="9" t="s">
        <v>67</v>
      </c>
      <c r="C256" s="9" t="s">
        <v>1160</v>
      </c>
      <c r="D256" s="9" t="s">
        <v>6489</v>
      </c>
      <c r="E256" s="9" t="s">
        <v>1526</v>
      </c>
      <c r="F256" s="8" t="s">
        <v>1178</v>
      </c>
      <c r="G256" s="8" t="s">
        <v>982</v>
      </c>
      <c r="H256" s="2"/>
      <c r="I256" s="2"/>
      <c r="J256" s="2"/>
      <c r="K256" s="2"/>
      <c r="L256" s="2"/>
      <c r="M256" s="2"/>
      <c r="N256" s="2"/>
      <c r="O256" s="2"/>
      <c r="P256" s="2"/>
      <c r="Q256" s="2"/>
      <c r="R256" s="2"/>
      <c r="S256" s="2"/>
      <c r="T256" s="2"/>
    </row>
    <row r="257" spans="1:20">
      <c r="A257" s="9">
        <v>2</v>
      </c>
      <c r="B257" s="9" t="s">
        <v>6490</v>
      </c>
      <c r="C257" s="9" t="s">
        <v>6491</v>
      </c>
      <c r="D257" s="9" t="s">
        <v>6492</v>
      </c>
      <c r="E257" s="9" t="s">
        <v>1442</v>
      </c>
      <c r="F257" s="8" t="s">
        <v>6493</v>
      </c>
      <c r="G257" s="8" t="s">
        <v>6494</v>
      </c>
    </row>
    <row r="258" spans="1:20">
      <c r="A258" s="9">
        <v>3</v>
      </c>
      <c r="B258" s="9" t="s">
        <v>6495</v>
      </c>
      <c r="C258" s="9" t="s">
        <v>6491</v>
      </c>
      <c r="D258" s="9" t="s">
        <v>6496</v>
      </c>
      <c r="E258" s="9" t="s">
        <v>1442</v>
      </c>
      <c r="F258" s="8" t="s">
        <v>6497</v>
      </c>
      <c r="G258" s="8" t="s">
        <v>6498</v>
      </c>
    </row>
    <row r="259" spans="1:20">
      <c r="A259" s="9">
        <v>4</v>
      </c>
      <c r="B259" s="9" t="s">
        <v>6490</v>
      </c>
      <c r="C259" s="9" t="s">
        <v>6491</v>
      </c>
      <c r="D259" s="9" t="s">
        <v>6499</v>
      </c>
      <c r="E259" s="9" t="s">
        <v>1526</v>
      </c>
      <c r="F259" s="8" t="s">
        <v>6493</v>
      </c>
      <c r="G259" s="8" t="s">
        <v>6500</v>
      </c>
    </row>
    <row r="260" spans="1:20">
      <c r="A260" s="9">
        <v>5</v>
      </c>
      <c r="B260" s="9" t="s">
        <v>67</v>
      </c>
      <c r="C260" s="9" t="s">
        <v>6501</v>
      </c>
      <c r="D260" s="9" t="s">
        <v>6502</v>
      </c>
      <c r="E260" s="9" t="s">
        <v>1708</v>
      </c>
      <c r="F260" s="8" t="s">
        <v>6503</v>
      </c>
      <c r="G260" s="8" t="s">
        <v>6504</v>
      </c>
    </row>
    <row r="261" spans="1:20">
      <c r="A261" s="9">
        <v>6</v>
      </c>
      <c r="B261" s="9" t="s">
        <v>67</v>
      </c>
      <c r="C261" s="9" t="s">
        <v>6501</v>
      </c>
      <c r="D261" s="9" t="s">
        <v>6505</v>
      </c>
      <c r="E261" s="9" t="s">
        <v>1708</v>
      </c>
      <c r="F261" s="8" t="s">
        <v>6503</v>
      </c>
      <c r="G261" s="8" t="s">
        <v>6506</v>
      </c>
    </row>
    <row r="262" spans="1:20">
      <c r="A262" s="2" t="s">
        <v>110</v>
      </c>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row r="264" ht="15.5" spans="1:20">
      <c r="A264" s="3" t="s">
        <v>6507</v>
      </c>
      <c r="B264" s="2" t="s">
        <v>110</v>
      </c>
      <c r="C264" s="2"/>
      <c r="D264" s="2"/>
      <c r="E264" s="2"/>
      <c r="F264" s="2"/>
      <c r="G264" s="2"/>
      <c r="H264" s="2"/>
      <c r="I264" s="2"/>
      <c r="J264" s="2"/>
      <c r="K264" s="2"/>
      <c r="L264" s="2"/>
      <c r="M264" s="2"/>
      <c r="N264" s="2"/>
      <c r="O264" s="2"/>
      <c r="P264" s="2"/>
      <c r="Q264" s="2"/>
      <c r="R264" s="2"/>
      <c r="S264" s="2"/>
      <c r="T264" s="2"/>
    </row>
    <row r="265" spans="1:20">
      <c r="A265" s="2" t="s">
        <v>110</v>
      </c>
      <c r="B265" s="2"/>
      <c r="C265" s="2"/>
      <c r="D265" s="2"/>
      <c r="E265" s="2"/>
      <c r="F265" s="2"/>
      <c r="G265" s="2"/>
      <c r="H265" s="2"/>
      <c r="I265" s="2"/>
      <c r="J265" s="2"/>
      <c r="K265" s="2"/>
      <c r="L265" s="2"/>
      <c r="M265" s="2"/>
      <c r="N265" s="2"/>
      <c r="O265" s="2"/>
      <c r="P265" s="2"/>
      <c r="Q265" s="2"/>
      <c r="R265" s="2"/>
      <c r="S265" s="2"/>
      <c r="T265" s="2"/>
    </row>
    <row r="266" spans="1:20">
      <c r="A266" s="2"/>
      <c r="B266" s="2"/>
      <c r="C266" s="2"/>
      <c r="D266" s="2"/>
      <c r="E266" s="2"/>
      <c r="F266" s="2"/>
      <c r="G266" s="2"/>
      <c r="H266" s="2"/>
      <c r="I266" s="2"/>
      <c r="J266" s="2"/>
      <c r="K266" s="2"/>
      <c r="L266" s="2"/>
      <c r="M266" s="2"/>
      <c r="N266" s="2"/>
      <c r="O266" s="2"/>
      <c r="P266" s="2"/>
      <c r="Q266" s="2"/>
      <c r="R266" s="2"/>
      <c r="S266" s="2"/>
      <c r="T266" s="2"/>
    </row>
    <row r="267" ht="15.5" spans="1:20">
      <c r="A267" s="3" t="s">
        <v>6508</v>
      </c>
      <c r="B267" s="2" t="s">
        <v>110</v>
      </c>
      <c r="C267" s="2"/>
      <c r="D267" s="2"/>
      <c r="E267" s="2"/>
      <c r="F267" s="2"/>
      <c r="G267" s="2"/>
      <c r="H267" s="2"/>
      <c r="I267" s="2"/>
      <c r="J267" s="2"/>
      <c r="K267" s="2"/>
      <c r="L267" s="2"/>
      <c r="M267" s="2"/>
      <c r="N267" s="2"/>
      <c r="O267" s="2"/>
      <c r="P267" s="2"/>
      <c r="Q267" s="2"/>
      <c r="R267" s="2"/>
      <c r="S267" s="2"/>
      <c r="T267" s="2"/>
    </row>
    <row r="268" spans="1:20">
      <c r="A268" s="2" t="s">
        <v>110</v>
      </c>
      <c r="B268" s="2"/>
      <c r="C268" s="2"/>
      <c r="D268" s="2"/>
      <c r="E268" s="2"/>
      <c r="F268" s="2"/>
      <c r="G268" s="2"/>
      <c r="H268" s="2"/>
      <c r="I268" s="2"/>
      <c r="J268" s="2"/>
      <c r="K268" s="2"/>
      <c r="L268" s="2"/>
      <c r="M268" s="2"/>
      <c r="N268" s="2"/>
      <c r="O268" s="2"/>
      <c r="P268" s="2"/>
      <c r="Q268" s="2"/>
      <c r="R268" s="2"/>
      <c r="S268" s="2"/>
      <c r="T268" s="2"/>
    </row>
    <row r="269" spans="1:20">
      <c r="A269" s="2"/>
      <c r="B269" s="2"/>
      <c r="C269" s="2"/>
      <c r="D269" s="2"/>
      <c r="E269" s="2"/>
      <c r="F269" s="2"/>
      <c r="G269" s="2"/>
      <c r="H269" s="2"/>
      <c r="I269" s="2"/>
      <c r="J269" s="2"/>
      <c r="K269" s="2"/>
      <c r="L269" s="2"/>
      <c r="M269" s="2"/>
      <c r="N269" s="2"/>
      <c r="O269" s="2"/>
      <c r="P269" s="2"/>
      <c r="Q269" s="2"/>
      <c r="R269" s="2"/>
      <c r="S269" s="2"/>
      <c r="T269" s="2"/>
    </row>
    <row r="270" ht="15.5" spans="1:20">
      <c r="A270" s="3" t="s">
        <v>6509</v>
      </c>
      <c r="B270" s="2" t="s">
        <v>110</v>
      </c>
      <c r="C270" s="2"/>
      <c r="D270" s="2"/>
      <c r="E270" s="2"/>
      <c r="F270" s="2"/>
      <c r="G270" s="2"/>
      <c r="H270" s="2"/>
      <c r="I270" s="2"/>
      <c r="J270" s="2"/>
      <c r="K270" s="2"/>
      <c r="L270" s="2"/>
      <c r="M270" s="2"/>
      <c r="N270" s="2"/>
      <c r="O270" s="2"/>
      <c r="P270" s="2"/>
      <c r="Q270" s="2"/>
      <c r="R270" s="2"/>
      <c r="S270" s="2"/>
      <c r="T270" s="2"/>
    </row>
    <row r="271" spans="1:20">
      <c r="A271" s="2" t="s">
        <v>110</v>
      </c>
      <c r="B271" s="2"/>
      <c r="C271" s="2"/>
      <c r="D271" s="2"/>
      <c r="E271" s="2"/>
      <c r="F271" s="2"/>
      <c r="G271" s="2"/>
      <c r="H271" s="2"/>
      <c r="I271" s="2"/>
      <c r="J271" s="2"/>
      <c r="K271" s="2"/>
      <c r="L271" s="2"/>
      <c r="M271" s="2"/>
      <c r="N271" s="2"/>
      <c r="O271" s="2"/>
      <c r="P271" s="2"/>
      <c r="Q271" s="2"/>
      <c r="R271" s="2"/>
      <c r="S271" s="2"/>
      <c r="T271" s="2"/>
    </row>
    <row r="272" spans="1:20">
      <c r="A272" s="2"/>
      <c r="B272" s="2"/>
      <c r="C272" s="2"/>
      <c r="D272" s="2"/>
      <c r="E272" s="2"/>
      <c r="F272" s="2"/>
      <c r="G272" s="2"/>
      <c r="H272" s="2"/>
      <c r="I272" s="2"/>
      <c r="J272" s="2"/>
      <c r="K272" s="2"/>
      <c r="L272" s="2"/>
      <c r="M272" s="2"/>
      <c r="N272" s="2"/>
      <c r="O272" s="2"/>
      <c r="P272" s="2"/>
      <c r="Q272" s="2"/>
      <c r="R272" s="2"/>
      <c r="S272" s="2"/>
      <c r="T272" s="2"/>
    </row>
    <row r="273" ht="15.5" spans="1:20">
      <c r="A273" s="3" t="s">
        <v>6510</v>
      </c>
      <c r="B273" s="2" t="s">
        <v>110</v>
      </c>
      <c r="C273" s="2"/>
      <c r="D273" s="2"/>
      <c r="E273" s="2"/>
      <c r="F273" s="2"/>
      <c r="G273" s="2"/>
      <c r="H273" s="2"/>
      <c r="I273" s="2"/>
      <c r="J273" s="2"/>
      <c r="K273" s="2"/>
      <c r="L273" s="2"/>
      <c r="M273" s="2"/>
      <c r="N273" s="2"/>
      <c r="O273" s="2"/>
      <c r="P273" s="2"/>
      <c r="Q273" s="2"/>
      <c r="R273" s="2"/>
      <c r="S273" s="2"/>
      <c r="T273" s="2"/>
    </row>
    <row r="274" spans="1:20">
      <c r="A274" s="2" t="s">
        <v>110</v>
      </c>
      <c r="B274" s="2"/>
      <c r="C274" s="2"/>
      <c r="D274" s="2"/>
      <c r="E274" s="2"/>
      <c r="F274" s="2"/>
      <c r="G274" s="2"/>
      <c r="H274" s="2"/>
      <c r="I274" s="2"/>
      <c r="J274" s="2"/>
      <c r="K274" s="2"/>
      <c r="L274" s="2"/>
      <c r="M274" s="2"/>
      <c r="N274" s="2"/>
      <c r="O274" s="2"/>
      <c r="P274" s="2"/>
      <c r="Q274" s="2"/>
      <c r="R274" s="2"/>
      <c r="S274" s="2"/>
      <c r="T274" s="2"/>
    </row>
    <row r="275" spans="1:20">
      <c r="A275" s="2"/>
      <c r="B275" s="2"/>
      <c r="C275" s="2"/>
      <c r="D275" s="2"/>
      <c r="E275" s="2"/>
      <c r="F275" s="2"/>
      <c r="G275" s="2"/>
      <c r="H275" s="2"/>
      <c r="I275" s="2"/>
      <c r="J275" s="2"/>
      <c r="K275" s="2"/>
      <c r="L275" s="2"/>
      <c r="M275" s="2"/>
      <c r="N275" s="2"/>
      <c r="O275" s="2"/>
      <c r="P275" s="2"/>
      <c r="Q275" s="2"/>
      <c r="R275" s="2"/>
      <c r="S275" s="2"/>
      <c r="T275" s="2"/>
    </row>
    <row r="276" ht="15.5" spans="1:20">
      <c r="A276" s="3" t="s">
        <v>6511</v>
      </c>
      <c r="B276" s="2" t="s">
        <v>110</v>
      </c>
      <c r="C276" s="2"/>
      <c r="D276" s="2"/>
      <c r="E276" s="2"/>
      <c r="F276" s="2"/>
      <c r="G276" s="2"/>
      <c r="H276" s="2"/>
      <c r="I276" s="2"/>
      <c r="J276" s="2"/>
      <c r="K276" s="2"/>
      <c r="L276" s="2"/>
      <c r="M276" s="2"/>
      <c r="N276" s="2"/>
      <c r="O276" s="2"/>
      <c r="P276" s="2"/>
      <c r="Q276" s="2"/>
      <c r="R276" s="2"/>
      <c r="S276" s="2"/>
      <c r="T276" s="2"/>
    </row>
    <row r="277" spans="1:20">
      <c r="A277" s="2" t="s">
        <v>110</v>
      </c>
      <c r="B277" s="2"/>
      <c r="C277" s="2"/>
      <c r="D277" s="2"/>
      <c r="E277" s="2"/>
      <c r="F277" s="2"/>
      <c r="G277" s="2"/>
      <c r="H277" s="2"/>
      <c r="I277" s="2"/>
      <c r="J277" s="2"/>
      <c r="K277" s="2"/>
      <c r="L277" s="2"/>
      <c r="M277" s="2"/>
      <c r="N277" s="2"/>
      <c r="O277" s="2"/>
      <c r="P277" s="2"/>
      <c r="Q277" s="2"/>
      <c r="R277" s="2"/>
      <c r="S277" s="2"/>
      <c r="T277" s="2"/>
    </row>
    <row r="278" spans="1:20">
      <c r="A278" s="2"/>
      <c r="B278" s="2"/>
      <c r="C278" s="2"/>
      <c r="D278" s="2"/>
      <c r="E278" s="2"/>
      <c r="F278" s="2"/>
      <c r="G278" s="2"/>
      <c r="H278" s="2"/>
      <c r="I278" s="2"/>
      <c r="J278" s="2"/>
      <c r="K278" s="2"/>
      <c r="L278" s="2"/>
      <c r="M278" s="2"/>
      <c r="N278" s="2"/>
      <c r="O278" s="2"/>
      <c r="P278" s="2"/>
      <c r="Q278" s="2"/>
      <c r="R278" s="2"/>
      <c r="S278" s="2"/>
      <c r="T278" s="2"/>
    </row>
    <row r="279" ht="15.5" spans="1:20">
      <c r="A279" s="3" t="s">
        <v>6512</v>
      </c>
      <c r="B279" s="2" t="s">
        <v>110</v>
      </c>
      <c r="C279" s="2"/>
      <c r="D279" s="2"/>
      <c r="E279" s="2"/>
      <c r="F279" s="2"/>
      <c r="G279" s="2"/>
      <c r="H279" s="2"/>
      <c r="I279" s="2"/>
      <c r="J279" s="2"/>
      <c r="K279" s="2"/>
      <c r="L279" s="2"/>
      <c r="M279" s="2"/>
      <c r="N279" s="2"/>
      <c r="O279" s="2"/>
      <c r="P279" s="2"/>
      <c r="Q279" s="2"/>
      <c r="R279" s="2"/>
      <c r="S279" s="2"/>
      <c r="T279" s="2"/>
    </row>
    <row r="280" spans="1:20">
      <c r="A280" s="2" t="s">
        <v>110</v>
      </c>
      <c r="B280" s="2"/>
      <c r="C280" s="2"/>
      <c r="D280" s="2"/>
      <c r="E280" s="2"/>
      <c r="F280" s="2"/>
      <c r="G280" s="2"/>
      <c r="H280" s="2"/>
      <c r="I280" s="2"/>
      <c r="J280" s="2"/>
      <c r="K280" s="2"/>
      <c r="L280" s="2"/>
      <c r="M280" s="2"/>
      <c r="N280" s="2"/>
      <c r="O280" s="2"/>
      <c r="P280" s="2"/>
      <c r="Q280" s="2"/>
      <c r="R280" s="2"/>
      <c r="S280" s="2"/>
      <c r="T280" s="2"/>
    </row>
    <row r="281" spans="1:20">
      <c r="A281" s="2"/>
      <c r="B281" s="2"/>
      <c r="C281" s="2"/>
      <c r="D281" s="2"/>
      <c r="E281" s="2"/>
      <c r="F281" s="2"/>
      <c r="G281" s="2"/>
      <c r="H281" s="2"/>
      <c r="I281" s="2"/>
      <c r="J281" s="2"/>
      <c r="K281" s="2"/>
      <c r="L281" s="2"/>
      <c r="M281" s="2"/>
      <c r="N281" s="2"/>
      <c r="O281" s="2"/>
      <c r="P281" s="2"/>
      <c r="Q281" s="2"/>
      <c r="R281" s="2"/>
      <c r="S281" s="2"/>
      <c r="T281" s="2"/>
    </row>
    <row r="282" ht="15.5" spans="1:20">
      <c r="A282" s="3" t="s">
        <v>6513</v>
      </c>
      <c r="B282" s="2" t="s">
        <v>6114</v>
      </c>
      <c r="C282" s="2"/>
      <c r="D282" s="2"/>
      <c r="E282" s="2"/>
      <c r="F282" s="2"/>
      <c r="G282" s="2"/>
      <c r="H282" s="2"/>
      <c r="I282" s="2"/>
      <c r="J282" s="2"/>
      <c r="K282" s="2"/>
      <c r="L282" s="2"/>
      <c r="M282" s="2"/>
      <c r="N282" s="2"/>
      <c r="O282" s="2"/>
      <c r="P282" s="2"/>
      <c r="Q282" s="2"/>
      <c r="R282" s="2"/>
      <c r="S282" s="2"/>
      <c r="T282" s="2"/>
    </row>
    <row r="283" ht="15.5" spans="1:20">
      <c r="A283" s="11" t="s">
        <v>46</v>
      </c>
      <c r="B283" s="11" t="s">
        <v>1447</v>
      </c>
      <c r="C283" s="11" t="s">
        <v>6514</v>
      </c>
      <c r="D283" s="11" t="s">
        <v>1380</v>
      </c>
      <c r="E283" s="11" t="s">
        <v>1152</v>
      </c>
      <c r="F283" s="11" t="s">
        <v>1154</v>
      </c>
      <c r="G283" s="11" t="s">
        <v>1157</v>
      </c>
      <c r="H283" s="2"/>
      <c r="I283" s="2"/>
      <c r="J283" s="2"/>
      <c r="K283" s="2"/>
      <c r="L283" s="2"/>
      <c r="M283" s="2"/>
      <c r="N283" s="2"/>
      <c r="O283" s="2"/>
      <c r="P283" s="2"/>
      <c r="Q283" s="2"/>
      <c r="R283" s="2"/>
      <c r="S283" s="2"/>
      <c r="T283" s="2"/>
    </row>
    <row r="284" spans="1:20">
      <c r="A284" s="9">
        <v>1</v>
      </c>
      <c r="B284" s="8" t="s">
        <v>6515</v>
      </c>
      <c r="C284" s="9" t="s">
        <v>1214</v>
      </c>
      <c r="D284" s="9" t="s">
        <v>1214</v>
      </c>
      <c r="E284" s="8" t="s">
        <v>1160</v>
      </c>
      <c r="F284" s="9" t="s">
        <v>6516</v>
      </c>
      <c r="G284" s="2" t="s">
        <v>1219</v>
      </c>
      <c r="H284" s="2"/>
      <c r="I284" s="2"/>
      <c r="J284" s="2"/>
      <c r="K284" s="2"/>
      <c r="L284" s="2"/>
      <c r="M284" s="2"/>
      <c r="N284" s="2"/>
      <c r="O284" s="2"/>
      <c r="P284" s="2"/>
      <c r="Q284" s="2"/>
      <c r="R284" s="2"/>
      <c r="S284" s="2"/>
      <c r="T284" s="2"/>
    </row>
    <row r="285" spans="1:20">
      <c r="A285" s="9">
        <v>2</v>
      </c>
      <c r="B285" s="8" t="s">
        <v>1518</v>
      </c>
      <c r="C285" s="9" t="s">
        <v>1515</v>
      </c>
      <c r="D285" s="9" t="s">
        <v>1515</v>
      </c>
      <c r="E285" s="8" t="s">
        <v>1209</v>
      </c>
      <c r="F285" s="9" t="s">
        <v>6517</v>
      </c>
      <c r="G285" s="2" t="s">
        <v>1517</v>
      </c>
    </row>
    <row r="286" spans="1:20">
      <c r="A286" s="9">
        <v>3</v>
      </c>
      <c r="B286" s="8" t="s">
        <v>1522</v>
      </c>
      <c r="C286" s="9" t="s">
        <v>1519</v>
      </c>
      <c r="D286" s="9" t="s">
        <v>1519</v>
      </c>
      <c r="E286" s="8" t="s">
        <v>1209</v>
      </c>
      <c r="F286" s="9" t="s">
        <v>6518</v>
      </c>
      <c r="G286" s="2" t="s">
        <v>1314</v>
      </c>
    </row>
    <row r="287" spans="1:20">
      <c r="A287" s="9">
        <v>4</v>
      </c>
      <c r="B287" s="8" t="s">
        <v>6494</v>
      </c>
      <c r="C287" s="9" t="s">
        <v>6490</v>
      </c>
      <c r="D287" s="9" t="s">
        <v>6490</v>
      </c>
      <c r="E287" s="8" t="s">
        <v>6491</v>
      </c>
      <c r="F287" s="9" t="s">
        <v>6519</v>
      </c>
      <c r="G287" s="2" t="s">
        <v>6520</v>
      </c>
    </row>
    <row r="288" spans="1:20">
      <c r="A288" s="9">
        <v>5</v>
      </c>
      <c r="B288" s="8" t="s">
        <v>6500</v>
      </c>
      <c r="C288" s="9" t="s">
        <v>6490</v>
      </c>
      <c r="D288" s="9" t="s">
        <v>6490</v>
      </c>
      <c r="E288" s="8" t="s">
        <v>6491</v>
      </c>
      <c r="F288" s="9" t="s">
        <v>6521</v>
      </c>
      <c r="G288" s="2" t="s">
        <v>6493</v>
      </c>
    </row>
    <row r="289" spans="1:20">
      <c r="A289" s="9" t="s">
        <v>110</v>
      </c>
      <c r="B289" s="9"/>
      <c r="C289" s="9"/>
      <c r="D289" s="9"/>
      <c r="E289" s="9"/>
      <c r="F289" s="9"/>
      <c r="G289" s="2"/>
      <c r="H289" s="2"/>
      <c r="I289" s="2"/>
      <c r="J289" s="2"/>
      <c r="K289" s="2"/>
      <c r="L289" s="2"/>
      <c r="M289" s="2"/>
      <c r="N289" s="2"/>
      <c r="O289" s="2"/>
      <c r="P289" s="2"/>
      <c r="Q289" s="2"/>
      <c r="R289" s="2"/>
      <c r="S289" s="2"/>
      <c r="T289" s="2"/>
    </row>
    <row r="290" spans="1:20">
      <c r="A290" s="2"/>
      <c r="B290" s="2"/>
      <c r="C290" s="2"/>
      <c r="D290" s="2"/>
      <c r="E290" s="2"/>
      <c r="F290" s="2"/>
      <c r="G290" s="2"/>
      <c r="H290" s="2"/>
      <c r="I290" s="2"/>
      <c r="J290" s="2"/>
      <c r="K290" s="2"/>
      <c r="L290" s="2"/>
      <c r="M290" s="2"/>
      <c r="N290" s="2"/>
      <c r="O290" s="2"/>
      <c r="P290" s="2"/>
      <c r="Q290" s="2"/>
      <c r="R290" s="2"/>
      <c r="S290" s="2"/>
      <c r="T290" s="2"/>
    </row>
    <row r="291" ht="15.5" spans="1:20">
      <c r="A291" s="3" t="s">
        <v>6522</v>
      </c>
      <c r="B291" s="2" t="s">
        <v>6523</v>
      </c>
      <c r="C291" s="2"/>
      <c r="D291" s="2"/>
      <c r="E291" s="2"/>
      <c r="F291" s="2"/>
      <c r="G291" s="2"/>
      <c r="H291" s="2"/>
      <c r="I291" s="2"/>
      <c r="J291" s="2"/>
      <c r="K291" s="2"/>
      <c r="L291" s="2"/>
      <c r="M291" s="2"/>
      <c r="N291" s="2"/>
      <c r="O291" s="2"/>
      <c r="P291" s="2"/>
      <c r="Q291" s="2"/>
      <c r="R291" s="2"/>
      <c r="S291" s="2"/>
      <c r="T291" s="2"/>
    </row>
    <row r="292" ht="15.5" spans="1:20">
      <c r="A292" s="11" t="s">
        <v>46</v>
      </c>
      <c r="B292" s="11" t="s">
        <v>1535</v>
      </c>
      <c r="C292" s="11" t="s">
        <v>1380</v>
      </c>
      <c r="D292" s="11" t="s">
        <v>1154</v>
      </c>
      <c r="E292" s="11" t="s">
        <v>1157</v>
      </c>
      <c r="F292" s="23"/>
      <c r="G292" s="2"/>
      <c r="H292" s="2"/>
      <c r="I292" s="2"/>
      <c r="J292" s="2"/>
      <c r="K292" s="2"/>
      <c r="L292" s="2"/>
      <c r="M292" s="2"/>
      <c r="N292" s="2"/>
      <c r="O292" s="2"/>
      <c r="P292" s="2"/>
      <c r="Q292" s="2"/>
      <c r="R292" s="2"/>
      <c r="S292" s="2"/>
      <c r="T292" s="2"/>
    </row>
    <row r="293" spans="1:20">
      <c r="A293" s="9">
        <v>1</v>
      </c>
      <c r="B293" s="8" t="s">
        <v>6524</v>
      </c>
      <c r="C293" s="9" t="s">
        <v>1337</v>
      </c>
      <c r="D293" s="9" t="s">
        <v>6173</v>
      </c>
      <c r="E293" s="9" t="s">
        <v>1319</v>
      </c>
      <c r="F293" s="2"/>
      <c r="G293" s="2"/>
      <c r="H293" s="2"/>
      <c r="I293" s="2"/>
      <c r="J293" s="2"/>
      <c r="K293" s="2"/>
      <c r="L293" s="2"/>
      <c r="M293" s="2"/>
      <c r="N293" s="2"/>
      <c r="O293" s="2"/>
      <c r="P293" s="2"/>
      <c r="Q293" s="2"/>
      <c r="R293" s="2"/>
      <c r="S293" s="2"/>
      <c r="T293" s="2"/>
    </row>
    <row r="294" spans="1:20">
      <c r="A294" s="9">
        <v>2</v>
      </c>
      <c r="B294" s="8" t="s">
        <v>6525</v>
      </c>
      <c r="C294" s="9" t="s">
        <v>1352</v>
      </c>
      <c r="D294" s="9" t="s">
        <v>6526</v>
      </c>
      <c r="E294" s="9" t="s">
        <v>1354</v>
      </c>
    </row>
    <row r="295" spans="1:20">
      <c r="A295" s="9">
        <v>3</v>
      </c>
      <c r="B295" s="8" t="s">
        <v>6527</v>
      </c>
      <c r="C295" s="9" t="s">
        <v>1349</v>
      </c>
      <c r="D295" s="9" t="s">
        <v>6528</v>
      </c>
      <c r="E295" s="9" t="s">
        <v>6167</v>
      </c>
    </row>
    <row r="296" spans="1:20">
      <c r="A296" s="9">
        <v>4</v>
      </c>
      <c r="B296" s="8" t="s">
        <v>6529</v>
      </c>
      <c r="C296" s="9" t="s">
        <v>1356</v>
      </c>
      <c r="D296" s="9" t="s">
        <v>6530</v>
      </c>
      <c r="E296" s="9" t="s">
        <v>6180</v>
      </c>
    </row>
    <row r="297" spans="1:20">
      <c r="A297" s="9">
        <v>5</v>
      </c>
      <c r="B297" s="8" t="s">
        <v>6295</v>
      </c>
      <c r="C297" s="9" t="s">
        <v>1370</v>
      </c>
      <c r="D297" s="9" t="s">
        <v>6531</v>
      </c>
      <c r="E297" s="9" t="s">
        <v>6532</v>
      </c>
    </row>
    <row r="298" spans="1:20">
      <c r="A298" s="9">
        <v>6</v>
      </c>
      <c r="B298" s="8" t="s">
        <v>6533</v>
      </c>
      <c r="C298" s="9" t="s">
        <v>6348</v>
      </c>
      <c r="D298" s="9" t="s">
        <v>6531</v>
      </c>
      <c r="E298" s="9" t="s">
        <v>1319</v>
      </c>
    </row>
    <row r="299" spans="1:20">
      <c r="A299" s="9">
        <v>7</v>
      </c>
      <c r="B299" s="8" t="s">
        <v>6365</v>
      </c>
      <c r="C299" s="9" t="s">
        <v>6361</v>
      </c>
      <c r="D299" s="9" t="s">
        <v>6534</v>
      </c>
      <c r="E299" s="9" t="s">
        <v>6180</v>
      </c>
    </row>
    <row r="300" spans="1:20">
      <c r="A300" s="9">
        <v>8</v>
      </c>
      <c r="B300" s="8" t="s">
        <v>6535</v>
      </c>
      <c r="C300" s="9" t="s">
        <v>6377</v>
      </c>
      <c r="D300" s="9" t="s">
        <v>6536</v>
      </c>
      <c r="E300" s="9" t="s">
        <v>6167</v>
      </c>
    </row>
    <row r="301" spans="1:20">
      <c r="A301" s="9">
        <v>9</v>
      </c>
      <c r="B301" s="8" t="s">
        <v>2178</v>
      </c>
      <c r="C301" s="9" t="s">
        <v>6325</v>
      </c>
      <c r="D301" s="9" t="s">
        <v>6537</v>
      </c>
      <c r="E301" s="9" t="s">
        <v>6538</v>
      </c>
    </row>
    <row r="302" spans="1:20">
      <c r="A302" s="9">
        <v>10</v>
      </c>
      <c r="B302" s="8" t="s">
        <v>6539</v>
      </c>
      <c r="C302" s="9" t="s">
        <v>6200</v>
      </c>
      <c r="D302" s="9" t="s">
        <v>6345</v>
      </c>
      <c r="E302" s="9" t="s">
        <v>6167</v>
      </c>
    </row>
    <row r="303" spans="1:20">
      <c r="A303" s="9">
        <v>11</v>
      </c>
      <c r="B303" s="8" t="s">
        <v>6540</v>
      </c>
      <c r="C303" s="9" t="s">
        <v>6391</v>
      </c>
      <c r="D303" s="9" t="s">
        <v>6541</v>
      </c>
      <c r="E303" s="9" t="s">
        <v>6532</v>
      </c>
    </row>
    <row r="304" spans="1:20">
      <c r="A304" s="9">
        <v>12</v>
      </c>
      <c r="B304" s="8" t="s">
        <v>6540</v>
      </c>
      <c r="C304" s="9" t="s">
        <v>6361</v>
      </c>
      <c r="D304" s="9" t="s">
        <v>6534</v>
      </c>
      <c r="E304" s="9" t="s">
        <v>1293</v>
      </c>
    </row>
    <row r="305" spans="1:5">
      <c r="A305" s="9">
        <v>13</v>
      </c>
      <c r="B305" s="8" t="s">
        <v>6542</v>
      </c>
      <c r="C305" s="9" t="s">
        <v>6367</v>
      </c>
      <c r="D305" s="9" t="s">
        <v>6543</v>
      </c>
      <c r="E305" s="9" t="s">
        <v>6167</v>
      </c>
    </row>
    <row r="306" spans="1:5">
      <c r="A306" s="9">
        <v>14</v>
      </c>
      <c r="B306" s="8" t="s">
        <v>6544</v>
      </c>
      <c r="C306" s="9" t="s">
        <v>6193</v>
      </c>
      <c r="D306" s="9" t="s">
        <v>6545</v>
      </c>
      <c r="E306" s="9" t="s">
        <v>6167</v>
      </c>
    </row>
    <row r="307" spans="1:5">
      <c r="A307" s="9">
        <v>15</v>
      </c>
      <c r="B307" s="8" t="s">
        <v>6546</v>
      </c>
      <c r="C307" s="9" t="s">
        <v>6211</v>
      </c>
      <c r="D307" s="9" t="s">
        <v>6536</v>
      </c>
      <c r="E307" s="9" t="s">
        <v>6167</v>
      </c>
    </row>
    <row r="308" spans="1:5">
      <c r="A308" s="9">
        <v>16</v>
      </c>
      <c r="B308" s="8" t="s">
        <v>6547</v>
      </c>
      <c r="C308" s="9" t="s">
        <v>6403</v>
      </c>
      <c r="D308" s="9" t="s">
        <v>6548</v>
      </c>
      <c r="E308" s="9" t="s">
        <v>1319</v>
      </c>
    </row>
    <row r="309" spans="1:5">
      <c r="A309" s="9">
        <v>17</v>
      </c>
      <c r="B309" s="8" t="s">
        <v>6429</v>
      </c>
      <c r="C309" s="9" t="s">
        <v>6436</v>
      </c>
      <c r="D309" s="9" t="s">
        <v>6549</v>
      </c>
      <c r="E309" s="9" t="s">
        <v>1319</v>
      </c>
    </row>
    <row r="310" spans="1:5">
      <c r="A310" s="9">
        <v>18</v>
      </c>
      <c r="B310" s="8" t="s">
        <v>6550</v>
      </c>
      <c r="C310" s="9" t="s">
        <v>6204</v>
      </c>
      <c r="D310" s="9" t="s">
        <v>6551</v>
      </c>
      <c r="E310" s="9" t="s">
        <v>1274</v>
      </c>
    </row>
    <row r="311" spans="1:5">
      <c r="A311" s="9">
        <v>19</v>
      </c>
      <c r="B311" s="8" t="s">
        <v>6552</v>
      </c>
      <c r="C311" s="9" t="s">
        <v>6469</v>
      </c>
      <c r="D311" s="9" t="s">
        <v>6553</v>
      </c>
      <c r="E311" s="9" t="s">
        <v>1165</v>
      </c>
    </row>
    <row r="312" spans="1:5">
      <c r="A312" s="9">
        <v>20</v>
      </c>
      <c r="B312" s="8" t="s">
        <v>6486</v>
      </c>
      <c r="C312" s="9" t="s">
        <v>6220</v>
      </c>
      <c r="D312" s="9" t="s">
        <v>6221</v>
      </c>
      <c r="E312" s="9" t="s">
        <v>6222</v>
      </c>
    </row>
    <row r="313" spans="1:5">
      <c r="A313" s="9">
        <v>21</v>
      </c>
      <c r="B313" s="8" t="s">
        <v>6554</v>
      </c>
      <c r="C313" s="9" t="s">
        <v>6473</v>
      </c>
      <c r="D313" s="9" t="s">
        <v>6555</v>
      </c>
      <c r="E313" s="9" t="s">
        <v>1178</v>
      </c>
    </row>
    <row r="314" spans="1:5">
      <c r="A314" s="9">
        <v>22</v>
      </c>
      <c r="B314" s="8" t="s">
        <v>6556</v>
      </c>
      <c r="C314" s="9" t="s">
        <v>6224</v>
      </c>
      <c r="D314" s="9" t="s">
        <v>6557</v>
      </c>
      <c r="E314" s="9" t="s">
        <v>6558</v>
      </c>
    </row>
    <row r="315" spans="1:5">
      <c r="A315" s="9">
        <v>23</v>
      </c>
      <c r="B315" s="8" t="s">
        <v>6559</v>
      </c>
      <c r="C315" s="9" t="s">
        <v>6482</v>
      </c>
      <c r="D315" s="9" t="s">
        <v>6553</v>
      </c>
      <c r="E315" s="9" t="s">
        <v>1319</v>
      </c>
    </row>
    <row r="316" spans="1:5">
      <c r="A316" s="9">
        <v>24</v>
      </c>
      <c r="B316" s="8" t="s">
        <v>6560</v>
      </c>
      <c r="C316" s="9" t="s">
        <v>6230</v>
      </c>
      <c r="D316" s="9" t="s">
        <v>6543</v>
      </c>
      <c r="E316" s="9" t="s">
        <v>1178</v>
      </c>
    </row>
    <row r="317" spans="1:5">
      <c r="A317" s="9">
        <v>25</v>
      </c>
      <c r="B317" s="8" t="s">
        <v>6561</v>
      </c>
      <c r="C317" s="9" t="s">
        <v>6562</v>
      </c>
      <c r="D317" s="9" t="s">
        <v>6563</v>
      </c>
      <c r="E317" s="9" t="s">
        <v>6564</v>
      </c>
    </row>
    <row r="318" spans="1:5">
      <c r="A318" s="9">
        <v>26</v>
      </c>
      <c r="B318" s="8" t="s">
        <v>6565</v>
      </c>
      <c r="C318" s="9" t="s">
        <v>6240</v>
      </c>
      <c r="D318" s="9" t="s">
        <v>6566</v>
      </c>
      <c r="E318" s="9" t="s">
        <v>1178</v>
      </c>
    </row>
    <row r="319" spans="1:5">
      <c r="A319" s="9">
        <v>27</v>
      </c>
      <c r="B319" s="8" t="s">
        <v>6567</v>
      </c>
      <c r="C319" s="9" t="s">
        <v>6243</v>
      </c>
      <c r="D319" s="9" t="s">
        <v>6214</v>
      </c>
      <c r="E319" s="9" t="s">
        <v>1178</v>
      </c>
    </row>
    <row r="320" spans="1:5">
      <c r="A320" s="9">
        <v>28</v>
      </c>
      <c r="B320" s="8" t="s">
        <v>6568</v>
      </c>
      <c r="C320" s="9" t="s">
        <v>6236</v>
      </c>
      <c r="D320" s="9" t="s">
        <v>6569</v>
      </c>
      <c r="E320" s="9" t="s">
        <v>6238</v>
      </c>
    </row>
    <row r="321" spans="1:5">
      <c r="A321" s="9">
        <v>29</v>
      </c>
      <c r="B321" s="8" t="s">
        <v>6570</v>
      </c>
      <c r="C321" s="9" t="s">
        <v>6248</v>
      </c>
      <c r="D321" s="9" t="s">
        <v>6555</v>
      </c>
      <c r="E321" s="9" t="s">
        <v>1178</v>
      </c>
    </row>
    <row r="322" spans="1:5">
      <c r="A322" s="9">
        <v>30</v>
      </c>
      <c r="B322" s="8" t="s">
        <v>6571</v>
      </c>
      <c r="C322" s="9" t="s">
        <v>6572</v>
      </c>
      <c r="D322" s="9" t="s">
        <v>6573</v>
      </c>
      <c r="E322" s="9" t="s">
        <v>1178</v>
      </c>
    </row>
    <row r="323" spans="1:5">
      <c r="A323" s="9">
        <v>31</v>
      </c>
      <c r="B323" s="8" t="s">
        <v>6574</v>
      </c>
      <c r="C323" s="9" t="s">
        <v>6575</v>
      </c>
      <c r="D323" s="9" t="s">
        <v>6576</v>
      </c>
      <c r="E323" s="9" t="s">
        <v>1319</v>
      </c>
    </row>
    <row r="324" spans="1:5">
      <c r="A324" s="9">
        <v>32</v>
      </c>
      <c r="B324" s="8" t="s">
        <v>6577</v>
      </c>
      <c r="C324" s="9" t="s">
        <v>6578</v>
      </c>
      <c r="D324" s="9" t="s">
        <v>6579</v>
      </c>
      <c r="E324" s="9" t="s">
        <v>1319</v>
      </c>
    </row>
    <row r="325" spans="1:5">
      <c r="A325" s="9">
        <v>33</v>
      </c>
      <c r="B325" s="8" t="s">
        <v>6580</v>
      </c>
      <c r="C325" s="9" t="s">
        <v>6581</v>
      </c>
      <c r="D325" s="9" t="s">
        <v>6582</v>
      </c>
      <c r="E325" s="9" t="s">
        <v>6583</v>
      </c>
    </row>
    <row r="326" spans="1:5">
      <c r="A326" s="9">
        <v>34</v>
      </c>
      <c r="B326" s="8" t="s">
        <v>6584</v>
      </c>
      <c r="C326" s="9" t="s">
        <v>6585</v>
      </c>
      <c r="D326" s="9" t="s">
        <v>6586</v>
      </c>
      <c r="E326" s="9" t="s">
        <v>1178</v>
      </c>
    </row>
    <row r="327" spans="1:5">
      <c r="A327" s="9">
        <v>35</v>
      </c>
      <c r="B327" s="8" t="s">
        <v>6587</v>
      </c>
      <c r="C327" s="9" t="s">
        <v>6251</v>
      </c>
      <c r="D327" s="9" t="s">
        <v>6588</v>
      </c>
      <c r="E327" s="9" t="s">
        <v>6253</v>
      </c>
    </row>
    <row r="328" spans="1:5">
      <c r="A328" s="9">
        <v>36</v>
      </c>
      <c r="B328" s="8" t="s">
        <v>342</v>
      </c>
      <c r="C328" s="9" t="s">
        <v>6589</v>
      </c>
      <c r="D328" s="9" t="s">
        <v>6590</v>
      </c>
      <c r="E328" s="9" t="s">
        <v>1178</v>
      </c>
    </row>
    <row r="329" spans="1:5">
      <c r="A329" s="9">
        <v>37</v>
      </c>
      <c r="B329" s="8" t="s">
        <v>1143</v>
      </c>
      <c r="C329" s="9" t="s">
        <v>6591</v>
      </c>
      <c r="D329" s="9" t="s">
        <v>6592</v>
      </c>
      <c r="E329" s="9" t="s">
        <v>1274</v>
      </c>
    </row>
    <row r="330" spans="1:5">
      <c r="A330" s="9">
        <v>38</v>
      </c>
      <c r="B330" s="8" t="s">
        <v>6593</v>
      </c>
      <c r="C330" s="9" t="s">
        <v>6594</v>
      </c>
      <c r="D330" s="9" t="s">
        <v>6595</v>
      </c>
      <c r="E330" s="9" t="s">
        <v>6596</v>
      </c>
    </row>
    <row r="331" spans="1:5">
      <c r="A331" s="9">
        <v>39</v>
      </c>
      <c r="B331" s="8" t="s">
        <v>6593</v>
      </c>
      <c r="C331" s="9" t="s">
        <v>6597</v>
      </c>
      <c r="D331" s="9" t="s">
        <v>6595</v>
      </c>
      <c r="E331" s="9" t="s">
        <v>6596</v>
      </c>
    </row>
    <row r="332" spans="1:5">
      <c r="A332" s="9">
        <v>40</v>
      </c>
      <c r="B332" s="8" t="s">
        <v>6598</v>
      </c>
      <c r="C332" s="9" t="s">
        <v>6599</v>
      </c>
      <c r="D332" s="9" t="s">
        <v>6600</v>
      </c>
      <c r="E332" s="9" t="s">
        <v>6601</v>
      </c>
    </row>
    <row r="333" spans="1:5">
      <c r="A333" s="9">
        <v>41</v>
      </c>
      <c r="B333" s="8" t="s">
        <v>6602</v>
      </c>
      <c r="C333" s="9" t="s">
        <v>6603</v>
      </c>
      <c r="D333" s="9" t="s">
        <v>6604</v>
      </c>
      <c r="E333" s="9" t="s">
        <v>6167</v>
      </c>
    </row>
    <row r="334" spans="1:5">
      <c r="A334" s="9">
        <v>42</v>
      </c>
      <c r="B334" s="8" t="s">
        <v>6605</v>
      </c>
      <c r="C334" s="9" t="s">
        <v>6606</v>
      </c>
      <c r="D334" s="9" t="s">
        <v>6607</v>
      </c>
      <c r="E334" s="9" t="s">
        <v>1178</v>
      </c>
    </row>
    <row r="335" spans="1:5">
      <c r="A335" s="9">
        <v>43</v>
      </c>
      <c r="B335" s="8" t="s">
        <v>6608</v>
      </c>
      <c r="C335" s="9" t="s">
        <v>6609</v>
      </c>
      <c r="D335" s="9" t="s">
        <v>6610</v>
      </c>
      <c r="E335" s="9" t="s">
        <v>1178</v>
      </c>
    </row>
    <row r="336" spans="1:5">
      <c r="A336" s="9">
        <v>44</v>
      </c>
      <c r="B336" s="8" t="s">
        <v>6611</v>
      </c>
      <c r="C336" s="9" t="s">
        <v>6612</v>
      </c>
      <c r="D336" s="9" t="s">
        <v>6613</v>
      </c>
      <c r="E336" s="9" t="s">
        <v>6167</v>
      </c>
    </row>
    <row r="337" spans="1:20">
      <c r="A337" s="9">
        <v>45</v>
      </c>
      <c r="B337" s="8" t="s">
        <v>6614</v>
      </c>
      <c r="C337" s="9" t="s">
        <v>6615</v>
      </c>
      <c r="D337" s="9" t="s">
        <v>6616</v>
      </c>
      <c r="E337" s="9" t="s">
        <v>6617</v>
      </c>
    </row>
    <row r="338" spans="1:20">
      <c r="A338" s="9">
        <v>46</v>
      </c>
      <c r="B338" s="8" t="s">
        <v>6618</v>
      </c>
      <c r="C338" s="9" t="s">
        <v>6619</v>
      </c>
      <c r="D338" s="9" t="s">
        <v>6573</v>
      </c>
      <c r="E338" s="9" t="s">
        <v>6167</v>
      </c>
    </row>
    <row r="339" spans="1:20">
      <c r="A339" s="9">
        <v>47</v>
      </c>
      <c r="B339" s="8" t="s">
        <v>6620</v>
      </c>
      <c r="C339" s="9" t="s">
        <v>6621</v>
      </c>
      <c r="D339" s="9" t="s">
        <v>6622</v>
      </c>
      <c r="E339" s="9" t="s">
        <v>6623</v>
      </c>
    </row>
    <row r="340" spans="1:20">
      <c r="A340" s="9">
        <v>48</v>
      </c>
      <c r="B340" s="8" t="s">
        <v>6624</v>
      </c>
      <c r="C340" s="9" t="s">
        <v>6625</v>
      </c>
      <c r="D340" s="9" t="s">
        <v>6626</v>
      </c>
      <c r="E340" s="9" t="s">
        <v>6627</v>
      </c>
    </row>
    <row r="341" spans="1:20">
      <c r="A341" s="9">
        <v>49</v>
      </c>
      <c r="B341" s="8" t="s">
        <v>6628</v>
      </c>
      <c r="C341" s="9" t="s">
        <v>6629</v>
      </c>
      <c r="D341" s="9" t="s">
        <v>6630</v>
      </c>
      <c r="E341" s="9" t="s">
        <v>1274</v>
      </c>
    </row>
    <row r="342" spans="1:20">
      <c r="A342" s="9">
        <v>50</v>
      </c>
      <c r="B342" s="8" t="s">
        <v>6631</v>
      </c>
      <c r="C342" s="9" t="s">
        <v>6632</v>
      </c>
      <c r="D342" s="9" t="s">
        <v>6616</v>
      </c>
      <c r="E342" s="9" t="s">
        <v>6617</v>
      </c>
    </row>
    <row r="343" ht="14.5" spans="1:20">
      <c r="A343" s="24" t="str">
        <f>HYPERLINK("https://www.tianyancha.com/company/441970624","打开天眼查，查看更多[历史立案信息]")</f>
        <v>打开天眼查，查看更多[历史立案信息]</v>
      </c>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ht="15.5" spans="1:20">
      <c r="A345" s="3" t="s">
        <v>6633</v>
      </c>
      <c r="B345" s="2" t="s">
        <v>110</v>
      </c>
      <c r="C345" s="2"/>
      <c r="D345" s="2"/>
      <c r="E345" s="2"/>
      <c r="F345" s="2"/>
      <c r="G345" s="2"/>
      <c r="H345" s="2"/>
      <c r="I345" s="2"/>
      <c r="J345" s="2"/>
      <c r="K345" s="2"/>
      <c r="L345" s="2"/>
      <c r="M345" s="2"/>
      <c r="N345" s="2"/>
      <c r="O345" s="2"/>
      <c r="P345" s="2"/>
      <c r="Q345" s="2"/>
      <c r="R345" s="2"/>
      <c r="S345" s="2"/>
      <c r="T345" s="2"/>
    </row>
    <row r="346" spans="1:20">
      <c r="A346" s="2" t="s">
        <v>110</v>
      </c>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ht="15.5" spans="1:20">
      <c r="A348" s="3" t="s">
        <v>6634</v>
      </c>
      <c r="B348" s="2" t="s">
        <v>110</v>
      </c>
      <c r="C348" s="2"/>
      <c r="D348" s="2"/>
      <c r="E348" s="2"/>
      <c r="F348" s="2"/>
      <c r="G348" s="2"/>
      <c r="H348" s="2"/>
      <c r="I348" s="2"/>
      <c r="J348" s="2"/>
      <c r="K348" s="2"/>
      <c r="L348" s="2"/>
      <c r="M348" s="2"/>
      <c r="N348" s="2"/>
      <c r="O348" s="2"/>
      <c r="P348" s="2"/>
      <c r="Q348" s="2"/>
      <c r="R348" s="2"/>
      <c r="S348" s="2"/>
      <c r="T348" s="2"/>
    </row>
    <row r="349" spans="1:20">
      <c r="A349" s="2" t="s">
        <v>110</v>
      </c>
      <c r="B349" s="2"/>
      <c r="C349" s="2"/>
      <c r="D349" s="2"/>
      <c r="E349" s="2"/>
      <c r="F349" s="2"/>
      <c r="G349" s="2"/>
      <c r="H349" s="2"/>
      <c r="I349" s="2"/>
      <c r="J349" s="2"/>
      <c r="K349" s="2"/>
      <c r="L349" s="2"/>
      <c r="M349" s="2"/>
      <c r="N349" s="2"/>
      <c r="O349" s="2"/>
      <c r="P349" s="2"/>
      <c r="Q349" s="2"/>
      <c r="R349" s="2"/>
      <c r="S349" s="2"/>
      <c r="T349" s="2"/>
    </row>
    <row r="350" ht="15.5" spans="1:20">
      <c r="A350" s="3"/>
      <c r="B350" s="2"/>
      <c r="C350" s="2"/>
      <c r="D350" s="2"/>
      <c r="E350" s="2"/>
      <c r="F350" s="2"/>
      <c r="G350" s="2"/>
      <c r="H350" s="2"/>
      <c r="I350" s="2"/>
      <c r="J350" s="2"/>
      <c r="K350" s="2"/>
      <c r="L350" s="2"/>
      <c r="M350" s="2"/>
      <c r="N350" s="2"/>
      <c r="O350" s="2"/>
      <c r="P350" s="2"/>
      <c r="Q350" s="2"/>
      <c r="R350" s="2"/>
      <c r="S350" s="2"/>
      <c r="T350" s="2"/>
    </row>
    <row r="351" ht="15.5" spans="1:20">
      <c r="A351" s="3" t="s">
        <v>6635</v>
      </c>
      <c r="B351" s="2" t="s">
        <v>110</v>
      </c>
      <c r="C351" s="2"/>
      <c r="D351" s="2"/>
      <c r="E351" s="2"/>
      <c r="F351" s="2"/>
      <c r="G351" s="2"/>
      <c r="H351" s="2"/>
      <c r="I351" s="2"/>
      <c r="J351" s="2"/>
      <c r="K351" s="2"/>
      <c r="L351" s="2"/>
      <c r="M351" s="2"/>
      <c r="N351" s="2"/>
      <c r="O351" s="2"/>
      <c r="P351" s="2"/>
      <c r="Q351" s="2"/>
      <c r="R351" s="2"/>
      <c r="S351" s="2"/>
      <c r="T351" s="2"/>
    </row>
    <row r="352" spans="1:20">
      <c r="A352" s="2" t="s">
        <v>110</v>
      </c>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ht="15.5" spans="1:20">
      <c r="A354" s="3" t="s">
        <v>6636</v>
      </c>
      <c r="B354" s="2" t="s">
        <v>110</v>
      </c>
      <c r="C354" s="2"/>
      <c r="D354" s="2"/>
      <c r="E354" s="2"/>
      <c r="F354" s="2"/>
      <c r="G354" s="2"/>
      <c r="H354" s="2"/>
      <c r="I354" s="2"/>
      <c r="J354" s="2"/>
      <c r="K354" s="2"/>
      <c r="L354" s="2"/>
      <c r="M354" s="2"/>
      <c r="N354" s="2"/>
      <c r="O354" s="2"/>
      <c r="P354" s="2"/>
      <c r="Q354" s="2"/>
      <c r="R354" s="2"/>
      <c r="S354" s="2"/>
      <c r="T354" s="2"/>
    </row>
    <row r="355" spans="1:20">
      <c r="A355" s="2" t="s">
        <v>110</v>
      </c>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ht="15.5" spans="1:20">
      <c r="A357" s="3" t="s">
        <v>6637</v>
      </c>
      <c r="B357" s="2" t="s">
        <v>110</v>
      </c>
      <c r="C357" s="2"/>
      <c r="D357" s="2"/>
      <c r="E357" s="2"/>
      <c r="F357" s="2"/>
      <c r="G357" s="2"/>
      <c r="H357" s="2"/>
      <c r="I357" s="2"/>
      <c r="J357" s="2"/>
      <c r="K357" s="2"/>
      <c r="L357" s="2"/>
      <c r="M357" s="2"/>
      <c r="N357" s="2"/>
      <c r="O357" s="2"/>
      <c r="P357" s="2"/>
      <c r="Q357" s="2"/>
      <c r="R357" s="2"/>
      <c r="S357" s="2"/>
      <c r="T357" s="2"/>
    </row>
    <row r="358" spans="1:20">
      <c r="A358" s="2" t="s">
        <v>110</v>
      </c>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ht="15.5" spans="1:20">
      <c r="A360" s="3" t="s">
        <v>6638</v>
      </c>
      <c r="B360" s="2" t="s">
        <v>110</v>
      </c>
      <c r="C360" s="2" t="s">
        <v>110</v>
      </c>
      <c r="D360" s="2" t="s">
        <v>110</v>
      </c>
      <c r="E360" s="2"/>
      <c r="F360" s="2"/>
      <c r="G360" s="2"/>
      <c r="H360" s="2"/>
      <c r="I360" s="2"/>
      <c r="J360" s="2"/>
      <c r="K360" s="2"/>
      <c r="L360" s="2"/>
      <c r="M360" s="2"/>
      <c r="N360" s="2"/>
      <c r="O360" s="2"/>
      <c r="P360" s="2"/>
      <c r="Q360" s="2"/>
      <c r="R360" s="2"/>
      <c r="S360" s="2"/>
      <c r="T360" s="2"/>
    </row>
    <row r="361" spans="1:20">
      <c r="A361" s="2" t="s">
        <v>110</v>
      </c>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ht="15.5" spans="1:20">
      <c r="A363" s="3" t="s">
        <v>6639</v>
      </c>
      <c r="B363" s="2" t="s">
        <v>110</v>
      </c>
      <c r="C363" s="2"/>
      <c r="D363" s="2"/>
      <c r="E363" s="2"/>
      <c r="F363" s="2"/>
      <c r="G363" s="2"/>
      <c r="H363" s="2"/>
      <c r="I363" s="2"/>
      <c r="J363" s="2"/>
      <c r="K363" s="2"/>
      <c r="L363" s="2"/>
      <c r="M363" s="2"/>
      <c r="N363" s="2"/>
      <c r="O363" s="2"/>
      <c r="P363" s="2"/>
      <c r="Q363" s="2"/>
      <c r="R363" s="2"/>
      <c r="S363" s="2"/>
      <c r="T363" s="2"/>
    </row>
    <row r="364" spans="1:20">
      <c r="A364" s="2" t="s">
        <v>110</v>
      </c>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ht="15.5" spans="1:20">
      <c r="A366" s="3" t="s">
        <v>6640</v>
      </c>
      <c r="B366" s="2" t="s">
        <v>110</v>
      </c>
      <c r="C366" s="2"/>
      <c r="D366" s="2"/>
      <c r="E366" s="2"/>
      <c r="F366" s="2"/>
      <c r="G366" s="2"/>
      <c r="H366" s="2"/>
      <c r="I366" s="2"/>
      <c r="J366" s="2"/>
      <c r="K366" s="2"/>
      <c r="L366" s="2"/>
      <c r="M366" s="2"/>
      <c r="N366" s="2"/>
      <c r="O366" s="2"/>
      <c r="P366" s="2"/>
      <c r="Q366" s="2"/>
      <c r="R366" s="2"/>
      <c r="S366" s="2"/>
      <c r="T366" s="2"/>
    </row>
    <row r="367" spans="1:20">
      <c r="A367" s="2" t="s">
        <v>110</v>
      </c>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ht="15.5" spans="1:20">
      <c r="A369" s="3" t="s">
        <v>6641</v>
      </c>
      <c r="B369" s="9" t="s">
        <v>110</v>
      </c>
      <c r="C369" s="2" t="s">
        <v>110</v>
      </c>
      <c r="D369" s="2" t="s">
        <v>110</v>
      </c>
      <c r="E369" s="2"/>
      <c r="F369" s="2"/>
      <c r="G369" s="2"/>
      <c r="H369" s="2"/>
      <c r="I369" s="2"/>
      <c r="J369" s="2"/>
      <c r="K369" s="2"/>
      <c r="L369" s="2"/>
      <c r="M369" s="2"/>
      <c r="N369" s="2"/>
      <c r="O369" s="2"/>
      <c r="P369" s="2"/>
      <c r="Q369" s="2"/>
      <c r="R369" s="2"/>
      <c r="S369" s="2"/>
      <c r="T369" s="2"/>
    </row>
    <row r="370" spans="1:20">
      <c r="A370" s="2" t="s">
        <v>110</v>
      </c>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ht="15.5" spans="1:20">
      <c r="A372" s="3" t="s">
        <v>6642</v>
      </c>
      <c r="B372" s="9" t="s">
        <v>110</v>
      </c>
      <c r="C372" s="2" t="s">
        <v>110</v>
      </c>
      <c r="D372" s="2" t="s">
        <v>110</v>
      </c>
      <c r="E372" s="2"/>
      <c r="F372" s="2"/>
      <c r="G372" s="2"/>
      <c r="H372" s="2"/>
      <c r="I372" s="2"/>
      <c r="J372" s="2"/>
      <c r="K372" s="2"/>
      <c r="L372" s="2"/>
      <c r="M372" s="2"/>
      <c r="N372" s="2"/>
      <c r="O372" s="2"/>
      <c r="P372" s="2"/>
      <c r="Q372" s="2"/>
      <c r="R372" s="2"/>
      <c r="S372" s="2"/>
      <c r="T372" s="2"/>
    </row>
    <row r="373" spans="1:20">
      <c r="A373" s="2" t="s">
        <v>110</v>
      </c>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row r="375" ht="15.5" spans="1:20">
      <c r="A375" s="3" t="s">
        <v>6643</v>
      </c>
      <c r="B375" s="2" t="s">
        <v>112</v>
      </c>
      <c r="C375" s="2"/>
      <c r="D375" s="2"/>
      <c r="E375" s="2"/>
      <c r="F375" s="2"/>
      <c r="G375" s="2"/>
      <c r="H375" s="2"/>
      <c r="I375" s="2"/>
      <c r="J375" s="2"/>
      <c r="K375" s="2"/>
      <c r="L375" s="2"/>
      <c r="M375" s="2"/>
      <c r="N375" s="2"/>
      <c r="O375" s="2"/>
      <c r="P375" s="2"/>
      <c r="Q375" s="2"/>
      <c r="R375" s="2"/>
      <c r="S375" s="2"/>
      <c r="T375" s="2"/>
    </row>
    <row r="376" ht="15.5" spans="1:20">
      <c r="A376" s="11" t="s">
        <v>46</v>
      </c>
      <c r="B376" s="11" t="s">
        <v>1835</v>
      </c>
      <c r="C376" s="11" t="s">
        <v>1836</v>
      </c>
      <c r="D376" s="11" t="s">
        <v>1837</v>
      </c>
      <c r="E376" s="11" t="s">
        <v>1838</v>
      </c>
      <c r="F376" s="11" t="s">
        <v>1839</v>
      </c>
      <c r="G376" s="11" t="s">
        <v>1840</v>
      </c>
      <c r="H376" s="23"/>
      <c r="I376" s="2"/>
      <c r="J376" s="2"/>
      <c r="K376" s="2"/>
      <c r="L376" s="2"/>
      <c r="M376" s="2"/>
      <c r="N376" s="2"/>
      <c r="O376" s="2"/>
      <c r="P376" s="2"/>
      <c r="Q376" s="2"/>
      <c r="R376" s="2"/>
      <c r="S376" s="2"/>
      <c r="T376" s="2"/>
    </row>
    <row r="377" ht="13.5" spans="1:20">
      <c r="A377" s="9">
        <v>1</v>
      </c>
      <c r="B377" s="9" t="s">
        <v>6644</v>
      </c>
      <c r="C377" s="9" t="s">
        <v>5470</v>
      </c>
      <c r="D377" s="9" t="s">
        <v>6645</v>
      </c>
      <c r="E377" s="9" t="s">
        <v>6646</v>
      </c>
      <c r="F377" s="9" t="s">
        <v>6647</v>
      </c>
      <c r="G377" s="9" t="s">
        <v>6648</v>
      </c>
      <c r="H377" s="25"/>
      <c r="I377" s="2"/>
      <c r="J377" s="2"/>
      <c r="K377" s="2"/>
      <c r="L377" s="2"/>
      <c r="M377" s="2"/>
      <c r="N377" s="2"/>
      <c r="O377" s="2"/>
      <c r="P377" s="2"/>
      <c r="Q377" s="2"/>
      <c r="R377" s="2"/>
      <c r="S377" s="2"/>
      <c r="T377" s="2"/>
    </row>
    <row r="378" spans="1:20">
      <c r="A378" s="9">
        <v>2</v>
      </c>
      <c r="B378" s="9" t="s">
        <v>6649</v>
      </c>
      <c r="C378" s="9" t="s">
        <v>5470</v>
      </c>
      <c r="D378" s="9" t="s">
        <v>6650</v>
      </c>
      <c r="E378" s="9" t="s">
        <v>6646</v>
      </c>
      <c r="F378" s="9" t="s">
        <v>6647</v>
      </c>
      <c r="G378" s="9" t="s">
        <v>6651</v>
      </c>
    </row>
    <row r="379" spans="1:20">
      <c r="A379" s="9">
        <v>3</v>
      </c>
      <c r="B379" s="9" t="s">
        <v>5030</v>
      </c>
      <c r="C379" s="9" t="s">
        <v>6652</v>
      </c>
      <c r="D379" s="9" t="s">
        <v>6653</v>
      </c>
      <c r="E379" s="9" t="s">
        <v>6654</v>
      </c>
      <c r="F379" s="9" t="s">
        <v>6655</v>
      </c>
      <c r="G379" s="9" t="s">
        <v>6656</v>
      </c>
    </row>
    <row r="380" spans="1:20">
      <c r="A380" s="9">
        <v>4</v>
      </c>
      <c r="B380" s="9" t="s">
        <v>6657</v>
      </c>
      <c r="C380" s="9" t="s">
        <v>6658</v>
      </c>
      <c r="D380" s="9" t="s">
        <v>6659</v>
      </c>
      <c r="E380" s="9" t="s">
        <v>6660</v>
      </c>
      <c r="F380" s="9" t="s">
        <v>6647</v>
      </c>
      <c r="G380" s="9" t="s">
        <v>6661</v>
      </c>
    </row>
    <row r="381" spans="1:20">
      <c r="A381" s="9">
        <v>5</v>
      </c>
      <c r="B381" s="9" t="s">
        <v>6662</v>
      </c>
      <c r="C381" s="9" t="s">
        <v>6663</v>
      </c>
      <c r="D381" s="9" t="s">
        <v>67</v>
      </c>
      <c r="E381" s="9" t="s">
        <v>1860</v>
      </c>
      <c r="F381" s="9" t="s">
        <v>6664</v>
      </c>
      <c r="G381" s="9" t="s">
        <v>6665</v>
      </c>
    </row>
    <row r="382" spans="1:20">
      <c r="A382" s="9">
        <v>6</v>
      </c>
      <c r="B382" s="9" t="s">
        <v>6666</v>
      </c>
      <c r="C382" s="9" t="s">
        <v>6667</v>
      </c>
      <c r="D382" s="9" t="s">
        <v>6668</v>
      </c>
      <c r="E382" s="9" t="s">
        <v>67</v>
      </c>
      <c r="F382" s="9" t="s">
        <v>6669</v>
      </c>
      <c r="G382" s="9" t="s">
        <v>6670</v>
      </c>
    </row>
    <row r="383" spans="1:20">
      <c r="A383" s="9">
        <v>7</v>
      </c>
      <c r="B383" s="9" t="s">
        <v>229</v>
      </c>
      <c r="C383" s="9" t="s">
        <v>6671</v>
      </c>
      <c r="D383" s="9" t="s">
        <v>6672</v>
      </c>
      <c r="E383" s="9" t="s">
        <v>67</v>
      </c>
      <c r="F383" s="9" t="s">
        <v>6669</v>
      </c>
      <c r="G383" s="9" t="s">
        <v>6673</v>
      </c>
    </row>
    <row r="384" spans="1:20">
      <c r="A384" s="9">
        <v>8</v>
      </c>
      <c r="B384" s="9" t="s">
        <v>67</v>
      </c>
      <c r="C384" s="9" t="s">
        <v>67</v>
      </c>
      <c r="D384" s="9" t="s">
        <v>6674</v>
      </c>
      <c r="E384" s="9" t="s">
        <v>6675</v>
      </c>
      <c r="F384" s="9" t="s">
        <v>6669</v>
      </c>
      <c r="G384" s="9" t="s">
        <v>6670</v>
      </c>
    </row>
    <row r="385" spans="1:20">
      <c r="A385" s="9">
        <v>9</v>
      </c>
      <c r="B385" s="9" t="s">
        <v>67</v>
      </c>
      <c r="C385" s="9" t="s">
        <v>67</v>
      </c>
      <c r="D385" s="9" t="s">
        <v>6676</v>
      </c>
      <c r="E385" s="9" t="s">
        <v>6675</v>
      </c>
      <c r="F385" s="9" t="s">
        <v>6669</v>
      </c>
      <c r="G385" s="9" t="s">
        <v>6673</v>
      </c>
    </row>
    <row r="386" spans="1:20">
      <c r="A386" s="2" t="s">
        <v>110</v>
      </c>
      <c r="B386" s="2"/>
      <c r="C386" s="2"/>
      <c r="D386" s="2"/>
      <c r="E386" s="2"/>
      <c r="F386" s="2"/>
      <c r="G386" s="2"/>
      <c r="H386" s="2"/>
      <c r="I386" s="2"/>
      <c r="J386" s="2"/>
      <c r="K386" s="2"/>
      <c r="L386" s="2"/>
      <c r="M386" s="2"/>
      <c r="N386" s="2"/>
      <c r="O386" s="2"/>
      <c r="P386" s="2"/>
      <c r="Q386" s="2"/>
      <c r="R386" s="2"/>
      <c r="S386" s="2"/>
      <c r="T386" s="2"/>
    </row>
    <row r="387" spans="1:20">
      <c r="A387" s="2"/>
      <c r="B387" s="2"/>
      <c r="C387" s="2"/>
      <c r="D387" s="2"/>
      <c r="E387" s="2"/>
      <c r="F387" s="2"/>
      <c r="G387" s="2"/>
      <c r="H387" s="2"/>
      <c r="I387" s="2"/>
      <c r="J387" s="2"/>
      <c r="K387" s="2"/>
      <c r="L387" s="2"/>
      <c r="M387" s="2"/>
      <c r="N387" s="2"/>
      <c r="O387" s="2"/>
      <c r="P387" s="2"/>
      <c r="Q387" s="2"/>
      <c r="R387" s="2"/>
      <c r="S387" s="2"/>
      <c r="T387" s="2"/>
    </row>
    <row r="388" ht="15.5" spans="1:20">
      <c r="A388" s="3" t="s">
        <v>6677</v>
      </c>
      <c r="B388" s="9" t="s">
        <v>168</v>
      </c>
      <c r="C388" s="2"/>
      <c r="D388" s="2"/>
      <c r="E388" s="2"/>
      <c r="F388" s="2"/>
      <c r="G388" s="2"/>
      <c r="H388" s="2"/>
      <c r="I388" s="2"/>
      <c r="J388" s="2"/>
      <c r="K388" s="2"/>
      <c r="L388" s="2"/>
      <c r="M388" s="2"/>
      <c r="N388" s="2"/>
      <c r="O388" s="2"/>
      <c r="P388" s="2"/>
      <c r="Q388" s="2"/>
      <c r="R388" s="2"/>
      <c r="S388" s="2"/>
      <c r="T388" s="2"/>
    </row>
    <row r="389" ht="15.5" spans="1:20">
      <c r="A389" s="11" t="s">
        <v>46</v>
      </c>
      <c r="B389" s="11" t="s">
        <v>5072</v>
      </c>
      <c r="C389" s="11" t="s">
        <v>5073</v>
      </c>
      <c r="D389" s="11" t="s">
        <v>5074</v>
      </c>
      <c r="E389" s="11" t="s">
        <v>5075</v>
      </c>
      <c r="F389" s="6" t="s">
        <v>4906</v>
      </c>
      <c r="G389" s="11" t="s">
        <v>5076</v>
      </c>
      <c r="H389" s="6" t="s">
        <v>5077</v>
      </c>
      <c r="I389" s="11" t="s">
        <v>5078</v>
      </c>
      <c r="J389" s="11" t="s">
        <v>6678</v>
      </c>
      <c r="K389" s="2"/>
      <c r="L389" s="2"/>
      <c r="M389" s="2"/>
      <c r="N389" s="2"/>
      <c r="O389" s="2"/>
      <c r="P389" s="2"/>
      <c r="Q389" s="2"/>
      <c r="R389" s="2"/>
      <c r="S389" s="2"/>
      <c r="T389" s="2"/>
    </row>
    <row r="390" spans="1:20">
      <c r="A390" s="9" t="s">
        <v>633</v>
      </c>
      <c r="B390" s="9" t="s">
        <v>6679</v>
      </c>
      <c r="C390" s="9" t="s">
        <v>5185</v>
      </c>
      <c r="D390" s="9" t="s">
        <v>5186</v>
      </c>
      <c r="E390" s="9" t="s">
        <v>6680</v>
      </c>
      <c r="F390" s="9" t="s">
        <v>6681</v>
      </c>
      <c r="G390" s="9" t="s">
        <v>6682</v>
      </c>
      <c r="H390" s="9" t="s">
        <v>5281</v>
      </c>
      <c r="I390" s="9" t="s">
        <v>6683</v>
      </c>
      <c r="J390" s="9" t="s">
        <v>6684</v>
      </c>
      <c r="K390" s="2"/>
      <c r="L390" s="2"/>
      <c r="M390" s="2"/>
      <c r="N390" s="2"/>
      <c r="O390" s="2"/>
      <c r="P390" s="2"/>
      <c r="Q390" s="2"/>
      <c r="R390" s="2"/>
      <c r="S390" s="2"/>
      <c r="T390" s="2"/>
    </row>
    <row r="391" spans="1:20">
      <c r="A391" s="9" t="s">
        <v>233</v>
      </c>
      <c r="B391" s="9" t="s">
        <v>6685</v>
      </c>
      <c r="C391" s="9" t="s">
        <v>5185</v>
      </c>
      <c r="D391" s="9" t="s">
        <v>5186</v>
      </c>
      <c r="E391" s="9" t="s">
        <v>6686</v>
      </c>
      <c r="F391" s="9" t="s">
        <v>63</v>
      </c>
      <c r="G391" s="9" t="s">
        <v>6687</v>
      </c>
      <c r="H391" s="9" t="s">
        <v>6688</v>
      </c>
      <c r="I391" s="9" t="s">
        <v>6689</v>
      </c>
      <c r="J391" s="9" t="s">
        <v>6684</v>
      </c>
    </row>
    <row r="392" spans="1:20">
      <c r="A392" s="9" t="s">
        <v>636</v>
      </c>
      <c r="B392" s="9" t="s">
        <v>6690</v>
      </c>
      <c r="C392" s="9" t="s">
        <v>5284</v>
      </c>
      <c r="D392" s="9" t="s">
        <v>5186</v>
      </c>
      <c r="E392" s="9" t="s">
        <v>6691</v>
      </c>
      <c r="F392" s="9" t="s">
        <v>6692</v>
      </c>
      <c r="G392" s="9" t="s">
        <v>6693</v>
      </c>
      <c r="H392" s="9" t="s">
        <v>6694</v>
      </c>
      <c r="I392" s="9" t="s">
        <v>6695</v>
      </c>
      <c r="J392" s="9" t="s">
        <v>6684</v>
      </c>
    </row>
    <row r="393" spans="1:20">
      <c r="A393" s="9" t="s">
        <v>638</v>
      </c>
      <c r="B393" s="9" t="s">
        <v>6696</v>
      </c>
      <c r="C393" s="9" t="s">
        <v>5284</v>
      </c>
      <c r="D393" s="9" t="s">
        <v>6697</v>
      </c>
      <c r="E393" s="9" t="s">
        <v>6698</v>
      </c>
      <c r="F393" s="9" t="s">
        <v>6699</v>
      </c>
      <c r="G393" s="9" t="s">
        <v>6700</v>
      </c>
      <c r="H393" s="9" t="s">
        <v>6701</v>
      </c>
      <c r="I393" s="9" t="s">
        <v>6702</v>
      </c>
      <c r="J393" s="9" t="s">
        <v>686</v>
      </c>
    </row>
    <row r="394" spans="1:20">
      <c r="A394" s="9" t="s">
        <v>110</v>
      </c>
      <c r="B394" s="9"/>
      <c r="C394" s="9"/>
      <c r="D394" s="9"/>
      <c r="E394" s="9"/>
      <c r="F394" s="9"/>
      <c r="G394" s="9"/>
      <c r="H394" s="9"/>
      <c r="I394" s="9"/>
      <c r="J394" s="2"/>
      <c r="K394" s="2"/>
      <c r="L394" s="2"/>
      <c r="M394" s="2"/>
      <c r="N394" s="2"/>
      <c r="O394" s="2"/>
      <c r="P394" s="2"/>
      <c r="Q394" s="2"/>
      <c r="R394" s="2"/>
      <c r="S394" s="2"/>
      <c r="T394" s="2"/>
    </row>
    <row r="395" spans="1:20">
      <c r="A395" s="2"/>
      <c r="B395" s="2"/>
      <c r="C395" s="2"/>
      <c r="D395" s="2"/>
      <c r="E395" s="2"/>
      <c r="F395" s="2"/>
      <c r="G395" s="2"/>
      <c r="H395" s="2"/>
      <c r="I395" s="2"/>
      <c r="J395" s="2"/>
      <c r="K395" s="2"/>
      <c r="L395" s="2"/>
      <c r="M395" s="2"/>
      <c r="N395" s="2"/>
      <c r="O395" s="2"/>
      <c r="P395" s="2"/>
      <c r="Q395" s="2"/>
      <c r="R395" s="2"/>
      <c r="S395" s="2"/>
      <c r="T395" s="2"/>
    </row>
    <row r="396" ht="15.5" spans="1:20">
      <c r="A396" s="3" t="s">
        <v>6703</v>
      </c>
      <c r="B396" s="2" t="s">
        <v>451</v>
      </c>
      <c r="C396" s="2"/>
      <c r="D396" s="2"/>
      <c r="E396" s="2"/>
      <c r="F396" s="2"/>
      <c r="G396" s="2"/>
      <c r="H396" s="2"/>
      <c r="I396" s="2"/>
      <c r="J396" s="2"/>
      <c r="K396" s="2"/>
      <c r="L396" s="2"/>
      <c r="M396" s="2"/>
      <c r="N396" s="2"/>
      <c r="O396" s="2"/>
      <c r="P396" s="2"/>
      <c r="Q396" s="2"/>
      <c r="R396" s="2"/>
      <c r="S396" s="2"/>
      <c r="T396" s="2"/>
    </row>
    <row r="397" ht="15.5" spans="1:20">
      <c r="A397" s="11" t="s">
        <v>46</v>
      </c>
      <c r="B397" s="11" t="s">
        <v>5623</v>
      </c>
      <c r="C397" s="11" t="s">
        <v>5624</v>
      </c>
      <c r="D397" s="11" t="s">
        <v>5625</v>
      </c>
      <c r="E397" s="11" t="s">
        <v>5626</v>
      </c>
      <c r="F397" s="11" t="s">
        <v>5627</v>
      </c>
      <c r="G397" s="26"/>
      <c r="H397" s="2"/>
      <c r="I397" s="2"/>
      <c r="J397" s="2"/>
      <c r="K397" s="2"/>
      <c r="L397" s="2"/>
      <c r="M397" s="2"/>
      <c r="N397" s="2"/>
      <c r="O397" s="2"/>
      <c r="P397" s="2"/>
      <c r="Q397" s="2"/>
      <c r="R397" s="2"/>
      <c r="S397" s="2"/>
      <c r="T397" s="2"/>
    </row>
    <row r="398" spans="1:20">
      <c r="A398" s="9">
        <v>1</v>
      </c>
      <c r="B398" s="9" t="s">
        <v>6704</v>
      </c>
      <c r="C398" s="9" t="s">
        <v>67</v>
      </c>
      <c r="D398" s="9" t="s">
        <v>6705</v>
      </c>
      <c r="E398" s="9" t="s">
        <v>6706</v>
      </c>
      <c r="F398" s="9" t="s">
        <v>6707</v>
      </c>
      <c r="G398" s="9"/>
      <c r="H398" s="2"/>
      <c r="I398" s="2"/>
      <c r="J398" s="2"/>
      <c r="K398" s="2"/>
      <c r="L398" s="2"/>
      <c r="M398" s="2"/>
      <c r="N398" s="2"/>
      <c r="O398" s="2"/>
      <c r="P398" s="2"/>
      <c r="Q398" s="2"/>
      <c r="R398" s="2"/>
      <c r="S398" s="2"/>
      <c r="T398" s="2"/>
    </row>
    <row r="399" spans="1:20">
      <c r="A399" s="9">
        <v>2</v>
      </c>
      <c r="B399" s="9" t="s">
        <v>6704</v>
      </c>
      <c r="C399" s="9" t="s">
        <v>2</v>
      </c>
      <c r="D399" s="9" t="s">
        <v>625</v>
      </c>
      <c r="E399" s="9" t="s">
        <v>5635</v>
      </c>
      <c r="F399" s="9" t="s">
        <v>6708</v>
      </c>
    </row>
    <row r="400" spans="1:20">
      <c r="A400" s="9">
        <v>3</v>
      </c>
      <c r="B400" s="9" t="s">
        <v>6704</v>
      </c>
      <c r="C400" s="9" t="s">
        <v>2</v>
      </c>
      <c r="D400" s="9" t="s">
        <v>625</v>
      </c>
      <c r="E400" s="9" t="s">
        <v>6709</v>
      </c>
      <c r="F400" s="9" t="s">
        <v>6708</v>
      </c>
    </row>
    <row r="401" spans="1:20">
      <c r="A401" s="2" t="s">
        <v>110</v>
      </c>
      <c r="B401" s="2"/>
      <c r="C401" s="2"/>
      <c r="D401" s="2"/>
      <c r="E401" s="2"/>
      <c r="F401" s="2"/>
      <c r="G401" s="2"/>
      <c r="H401" s="2"/>
      <c r="I401" s="2"/>
      <c r="J401" s="2"/>
      <c r="K401" s="2"/>
      <c r="L401" s="2"/>
      <c r="M401" s="2"/>
      <c r="N401" s="2"/>
      <c r="O401" s="2"/>
      <c r="P401" s="2"/>
      <c r="Q401" s="2"/>
      <c r="R401" s="2"/>
      <c r="S401" s="2"/>
      <c r="T401" s="2"/>
    </row>
    <row r="402" spans="1:20">
      <c r="A402" s="2"/>
      <c r="B402" s="2"/>
      <c r="C402" s="2"/>
      <c r="D402" s="2"/>
      <c r="E402" s="2"/>
      <c r="F402" s="2"/>
      <c r="G402" s="2"/>
      <c r="H402" s="2"/>
      <c r="I402" s="2"/>
      <c r="J402" s="2"/>
      <c r="K402" s="2"/>
      <c r="L402" s="2"/>
      <c r="M402" s="2"/>
      <c r="N402" s="2"/>
      <c r="O402" s="2"/>
      <c r="P402" s="2"/>
      <c r="Q402" s="2"/>
      <c r="R402" s="2"/>
      <c r="S402" s="2"/>
      <c r="T402" s="2"/>
    </row>
    <row r="403" ht="15.5" spans="1:20">
      <c r="A403" s="3" t="s">
        <v>6710</v>
      </c>
      <c r="B403" s="2" t="s">
        <v>110</v>
      </c>
      <c r="C403" s="2"/>
      <c r="D403" s="2"/>
      <c r="E403" s="2"/>
      <c r="F403" s="2"/>
      <c r="G403" s="2"/>
      <c r="H403" s="2"/>
      <c r="I403" s="2"/>
      <c r="J403" s="2"/>
      <c r="K403" s="2"/>
      <c r="L403" s="2"/>
      <c r="M403" s="2"/>
      <c r="N403" s="2"/>
      <c r="O403" s="2"/>
      <c r="P403" s="2"/>
      <c r="Q403" s="2"/>
      <c r="R403" s="2"/>
      <c r="S403" s="2"/>
      <c r="T403" s="2"/>
    </row>
    <row r="404" spans="1:20">
      <c r="A404" s="2" t="s">
        <v>110</v>
      </c>
      <c r="B404" s="2"/>
      <c r="C404" s="2"/>
      <c r="D404" s="2"/>
      <c r="E404" s="2"/>
      <c r="F404" s="2"/>
      <c r="G404" s="2"/>
      <c r="H404" s="2"/>
      <c r="I404" s="2"/>
      <c r="J404" s="2"/>
      <c r="K404" s="2"/>
      <c r="L404" s="2"/>
      <c r="M404" s="2"/>
      <c r="N404" s="2"/>
      <c r="O404" s="2"/>
      <c r="P404" s="2"/>
      <c r="Q404" s="2"/>
      <c r="R404" s="2"/>
      <c r="S404" s="2"/>
      <c r="T404" s="2"/>
    </row>
    <row r="405" spans="1:20">
      <c r="A405" s="2"/>
      <c r="B405" s="2"/>
      <c r="C405" s="2"/>
      <c r="D405" s="2"/>
      <c r="E405" s="2"/>
      <c r="F405" s="2"/>
      <c r="G405" s="2"/>
      <c r="H405" s="2"/>
      <c r="I405" s="2"/>
      <c r="J405" s="2"/>
      <c r="K405" s="2"/>
      <c r="L405" s="2"/>
      <c r="M405" s="2"/>
      <c r="N405" s="2"/>
      <c r="O405" s="2"/>
      <c r="P405" s="2"/>
      <c r="Q405" s="2"/>
      <c r="R405" s="2"/>
      <c r="S405" s="2"/>
      <c r="T405" s="2"/>
    </row>
    <row r="406" spans="1:20">
      <c r="A406" s="2"/>
      <c r="B406" s="2"/>
      <c r="C406" s="2"/>
      <c r="D406" s="2"/>
      <c r="E406" s="2"/>
      <c r="F406" s="2"/>
      <c r="G406" s="2"/>
      <c r="H406" s="2"/>
      <c r="I406" s="2"/>
      <c r="J406" s="2"/>
      <c r="K406" s="2"/>
      <c r="L406" s="2"/>
      <c r="M406" s="2"/>
      <c r="N406" s="2"/>
      <c r="O406" s="2"/>
      <c r="P406" s="2"/>
      <c r="Q406" s="2"/>
      <c r="R406" s="2"/>
      <c r="S406" s="2"/>
      <c r="T406" s="2"/>
    </row>
    <row r="407" spans="1:20">
      <c r="A407" s="2"/>
      <c r="B407" s="2"/>
      <c r="C407" s="2"/>
      <c r="D407" s="2"/>
      <c r="E407" s="2"/>
      <c r="F407" s="2"/>
      <c r="G407" s="2"/>
      <c r="H407" s="2"/>
      <c r="I407" s="2"/>
      <c r="J407" s="2"/>
      <c r="K407" s="2"/>
      <c r="L407" s="2"/>
      <c r="M407" s="2"/>
      <c r="N407" s="2"/>
      <c r="O407" s="2"/>
      <c r="P407" s="2"/>
      <c r="Q407" s="2"/>
      <c r="R407" s="2"/>
      <c r="S407" s="2"/>
      <c r="T407" s="2"/>
    </row>
    <row r="408" spans="1:20">
      <c r="A408" s="2"/>
      <c r="B408" s="2"/>
      <c r="C408" s="2"/>
      <c r="D408" s="2"/>
      <c r="E408" s="2"/>
      <c r="F408" s="2"/>
      <c r="G408" s="2"/>
      <c r="H408" s="2"/>
      <c r="I408" s="2"/>
      <c r="J408" s="2"/>
      <c r="K408" s="2"/>
      <c r="L408" s="2"/>
      <c r="M408" s="2"/>
      <c r="N408" s="2"/>
      <c r="O408" s="2"/>
      <c r="P408" s="2"/>
      <c r="Q408" s="2"/>
      <c r="R408" s="2"/>
      <c r="S408" s="2"/>
      <c r="T408" s="2"/>
    </row>
    <row r="409" spans="1:20">
      <c r="A409" s="2"/>
      <c r="B409" s="2"/>
      <c r="C409" s="2"/>
      <c r="D409" s="2"/>
      <c r="E409" s="2"/>
      <c r="F409" s="2"/>
      <c r="G409" s="2"/>
      <c r="H409" s="2"/>
      <c r="I409" s="2"/>
      <c r="J409" s="2"/>
      <c r="K409" s="2"/>
      <c r="L409" s="2"/>
      <c r="M409" s="2"/>
      <c r="N409" s="2"/>
      <c r="O409" s="2"/>
      <c r="P409" s="2"/>
      <c r="Q409" s="2"/>
      <c r="R409" s="2"/>
      <c r="S409" s="2"/>
      <c r="T409" s="2"/>
    </row>
    <row r="410" spans="1:20">
      <c r="A410" s="2"/>
      <c r="B410" s="2"/>
      <c r="C410" s="2"/>
      <c r="D410" s="2"/>
      <c r="E410" s="2"/>
      <c r="F410" s="2"/>
      <c r="G410" s="2"/>
      <c r="H410" s="2"/>
      <c r="I410" s="2"/>
      <c r="J410" s="2"/>
      <c r="K410" s="2"/>
      <c r="L410" s="2"/>
      <c r="M410" s="2"/>
      <c r="N410" s="2"/>
      <c r="O410" s="2"/>
      <c r="P410" s="2"/>
      <c r="Q410" s="2"/>
      <c r="R410" s="2"/>
      <c r="S410" s="2"/>
      <c r="T410" s="2"/>
    </row>
    <row r="411" spans="1:20">
      <c r="A411" s="2"/>
      <c r="B411" s="2"/>
      <c r="C411" s="2"/>
      <c r="D411" s="2"/>
      <c r="E411" s="2"/>
      <c r="F411" s="2"/>
      <c r="G411" s="2"/>
      <c r="H411" s="2"/>
      <c r="I411" s="2"/>
      <c r="J411" s="2"/>
      <c r="K411" s="2"/>
      <c r="L411" s="2"/>
      <c r="M411" s="2"/>
      <c r="N411" s="2"/>
      <c r="O411" s="2"/>
      <c r="P411" s="2"/>
      <c r="Q411" s="2"/>
      <c r="R411" s="2"/>
      <c r="S411" s="2"/>
      <c r="T411" s="2"/>
    </row>
    <row r="412" spans="1:20">
      <c r="A412" s="2"/>
      <c r="B412" s="2"/>
      <c r="C412" s="2"/>
      <c r="D412" s="2"/>
      <c r="E412" s="2"/>
      <c r="F412" s="2"/>
      <c r="G412" s="2"/>
      <c r="H412" s="2"/>
      <c r="I412" s="2"/>
      <c r="J412" s="2"/>
      <c r="K412" s="2"/>
      <c r="L412" s="2"/>
      <c r="M412" s="2"/>
      <c r="N412" s="2"/>
      <c r="O412" s="2"/>
      <c r="P412" s="2"/>
      <c r="Q412" s="2"/>
      <c r="R412" s="2"/>
      <c r="S412" s="2"/>
      <c r="T412" s="2"/>
    </row>
    <row r="413" spans="1:20">
      <c r="A413" s="2"/>
      <c r="B413" s="2"/>
      <c r="C413" s="2"/>
      <c r="D413" s="2"/>
      <c r="E413" s="2"/>
      <c r="F413" s="2"/>
      <c r="G413" s="2"/>
      <c r="H413" s="2"/>
      <c r="I413" s="2"/>
      <c r="J413" s="2"/>
      <c r="K413" s="2"/>
      <c r="L413" s="2"/>
      <c r="M413" s="2"/>
      <c r="N413" s="2"/>
      <c r="O413" s="2"/>
      <c r="P413" s="2"/>
      <c r="Q413" s="2"/>
      <c r="R413" s="2"/>
      <c r="S413" s="2"/>
      <c r="T413" s="2"/>
    </row>
    <row r="414" spans="1:20">
      <c r="A414" s="2"/>
      <c r="B414" s="2"/>
      <c r="C414" s="2"/>
      <c r="D414" s="2"/>
      <c r="E414" s="2"/>
      <c r="F414" s="2"/>
      <c r="G414" s="2"/>
      <c r="H414" s="2"/>
      <c r="I414" s="2"/>
      <c r="J414" s="2"/>
      <c r="K414" s="2"/>
      <c r="L414" s="2"/>
      <c r="M414" s="2"/>
      <c r="N414" s="2"/>
      <c r="O414" s="2"/>
      <c r="P414" s="2"/>
      <c r="Q414" s="2"/>
      <c r="R414" s="2"/>
      <c r="S414" s="2"/>
      <c r="T414" s="2"/>
    </row>
    <row r="415" spans="1:20">
      <c r="A415" s="2"/>
      <c r="B415" s="2"/>
      <c r="C415" s="2"/>
      <c r="D415" s="2"/>
      <c r="E415" s="2"/>
      <c r="F415" s="2"/>
      <c r="G415" s="2"/>
      <c r="H415" s="2"/>
      <c r="I415" s="2"/>
      <c r="J415" s="2"/>
      <c r="K415" s="2"/>
      <c r="L415" s="2"/>
      <c r="M415" s="2"/>
      <c r="N415" s="2"/>
      <c r="O415" s="2"/>
      <c r="P415" s="2"/>
      <c r="Q415" s="2"/>
      <c r="R415" s="2"/>
      <c r="S415" s="2"/>
      <c r="T415" s="2"/>
    </row>
    <row r="416" spans="1:20">
      <c r="A416" s="2"/>
      <c r="B416" s="2"/>
      <c r="C416" s="2"/>
      <c r="D416" s="2"/>
      <c r="E416" s="2"/>
      <c r="F416" s="2"/>
      <c r="G416" s="2"/>
      <c r="H416" s="2"/>
      <c r="I416" s="2"/>
      <c r="J416" s="2"/>
      <c r="K416" s="2"/>
      <c r="L416" s="2"/>
      <c r="M416" s="2"/>
      <c r="N416" s="2"/>
      <c r="O416" s="2"/>
      <c r="P416" s="2"/>
      <c r="Q416" s="2"/>
      <c r="R416" s="2"/>
      <c r="S416" s="2"/>
      <c r="T416" s="2"/>
    </row>
    <row r="417" spans="1:20">
      <c r="A417" s="2"/>
      <c r="B417" s="2"/>
      <c r="C417" s="2"/>
      <c r="D417" s="2"/>
      <c r="E417" s="2"/>
      <c r="F417" s="2"/>
      <c r="G417" s="2"/>
      <c r="H417" s="2"/>
      <c r="I417" s="2"/>
      <c r="J417" s="2"/>
      <c r="K417" s="2"/>
      <c r="L417" s="2"/>
      <c r="M417" s="2"/>
      <c r="N417" s="2"/>
      <c r="O417" s="2"/>
      <c r="P417" s="2"/>
      <c r="Q417" s="2"/>
      <c r="R417" s="2"/>
      <c r="S417" s="2"/>
      <c r="T417" s="2"/>
    </row>
    <row r="418" spans="1:20">
      <c r="A418" s="2"/>
      <c r="B418" s="2"/>
      <c r="C418" s="2"/>
      <c r="D418" s="2"/>
      <c r="E418" s="2"/>
      <c r="F418" s="2"/>
      <c r="G418" s="2"/>
      <c r="H418" s="2"/>
      <c r="I418" s="2"/>
      <c r="J418" s="2"/>
      <c r="K418" s="2"/>
      <c r="L418" s="2"/>
      <c r="M418" s="2"/>
      <c r="N418" s="2"/>
      <c r="O418" s="2"/>
      <c r="P418" s="2"/>
      <c r="Q418" s="2"/>
      <c r="R418" s="2"/>
      <c r="S418" s="2"/>
      <c r="T418" s="2"/>
    </row>
    <row r="419" spans="1:20">
      <c r="A419" s="2"/>
      <c r="B419" s="2"/>
      <c r="C419" s="2"/>
      <c r="D419" s="2"/>
      <c r="E419" s="2"/>
      <c r="F419" s="2"/>
      <c r="G419" s="2"/>
      <c r="H419" s="2"/>
      <c r="I419" s="2"/>
      <c r="J419" s="2"/>
      <c r="K419" s="2"/>
      <c r="L419" s="2"/>
      <c r="M419" s="2"/>
      <c r="N419" s="2"/>
      <c r="O419" s="2"/>
      <c r="P419" s="2"/>
      <c r="Q419" s="2"/>
      <c r="R419" s="2"/>
      <c r="S419" s="2"/>
      <c r="T419" s="2"/>
    </row>
    <row r="420" spans="1:20">
      <c r="A420" s="2"/>
      <c r="B420" s="2"/>
      <c r="C420" s="2"/>
      <c r="D420" s="2"/>
      <c r="E420" s="2"/>
      <c r="F420" s="2"/>
      <c r="G420" s="2"/>
      <c r="H420" s="2"/>
      <c r="I420" s="2"/>
      <c r="J420" s="2"/>
      <c r="K420" s="2"/>
      <c r="L420" s="2"/>
      <c r="M420" s="2"/>
      <c r="N420" s="2"/>
      <c r="O420" s="2"/>
      <c r="P420" s="2"/>
      <c r="Q420" s="2"/>
      <c r="R420" s="2"/>
      <c r="S420" s="2"/>
      <c r="T420" s="2"/>
    </row>
    <row r="421" spans="1:20">
      <c r="A421" s="2"/>
      <c r="B421" s="2"/>
      <c r="C421" s="2"/>
      <c r="D421" s="2"/>
      <c r="E421" s="2"/>
      <c r="F421" s="2"/>
      <c r="G421" s="2"/>
      <c r="H421" s="2"/>
      <c r="I421" s="2"/>
      <c r="J421" s="2"/>
      <c r="K421" s="2"/>
      <c r="L421" s="2"/>
      <c r="M421" s="2"/>
      <c r="N421" s="2"/>
      <c r="O421" s="2"/>
      <c r="P421" s="2"/>
      <c r="Q421" s="2"/>
      <c r="R421" s="2"/>
      <c r="S421" s="2"/>
      <c r="T421" s="2"/>
    </row>
    <row r="422" spans="1:20">
      <c r="A422" s="2"/>
      <c r="B422" s="2"/>
      <c r="C422" s="2"/>
      <c r="D422" s="2"/>
      <c r="E422" s="2"/>
      <c r="F422" s="2"/>
      <c r="G422" s="2"/>
      <c r="H422" s="2"/>
      <c r="I422" s="2"/>
      <c r="J422" s="2"/>
      <c r="K422" s="2"/>
      <c r="L422" s="2"/>
      <c r="M422" s="2"/>
      <c r="N422" s="2"/>
      <c r="O422" s="2"/>
      <c r="P422" s="2"/>
      <c r="Q422" s="2"/>
      <c r="R422" s="2"/>
      <c r="S422" s="2"/>
      <c r="T422" s="2"/>
    </row>
    <row r="423" spans="1:20">
      <c r="A423" s="2"/>
      <c r="B423" s="2"/>
      <c r="C423" s="2"/>
      <c r="D423" s="2"/>
      <c r="E423" s="2"/>
      <c r="F423" s="2"/>
      <c r="G423" s="2"/>
      <c r="H423" s="2"/>
      <c r="I423" s="2"/>
      <c r="J423" s="2"/>
      <c r="K423" s="2"/>
      <c r="L423" s="2"/>
      <c r="M423" s="2"/>
      <c r="N423" s="2"/>
      <c r="O423" s="2"/>
      <c r="P423" s="2"/>
      <c r="Q423" s="2"/>
      <c r="R423" s="2"/>
      <c r="S423" s="2"/>
      <c r="T423" s="2"/>
    </row>
    <row r="424" spans="1:20">
      <c r="A424" s="2"/>
      <c r="B424" s="2"/>
      <c r="C424" s="2"/>
      <c r="D424" s="2"/>
      <c r="E424" s="2"/>
      <c r="F424" s="2"/>
      <c r="G424" s="2"/>
      <c r="H424" s="2"/>
      <c r="I424" s="2"/>
      <c r="J424" s="2"/>
      <c r="K424" s="2"/>
      <c r="L424" s="2"/>
      <c r="M424" s="2"/>
      <c r="N424" s="2"/>
      <c r="O424" s="2"/>
      <c r="P424" s="2"/>
      <c r="Q424" s="2"/>
      <c r="R424" s="2"/>
      <c r="S424" s="2"/>
      <c r="T424" s="2"/>
    </row>
    <row r="425" spans="1:20">
      <c r="A425" s="2"/>
      <c r="B425" s="2"/>
      <c r="C425" s="2"/>
      <c r="D425" s="2"/>
      <c r="E425" s="2"/>
      <c r="F425" s="2"/>
      <c r="G425" s="2"/>
      <c r="H425" s="2"/>
      <c r="I425" s="2"/>
      <c r="J425" s="2"/>
      <c r="K425" s="2"/>
      <c r="L425" s="2"/>
      <c r="M425" s="2"/>
      <c r="N425" s="2"/>
      <c r="O425" s="2"/>
      <c r="P425" s="2"/>
      <c r="Q425" s="2"/>
      <c r="R425" s="2"/>
      <c r="S425" s="2"/>
      <c r="T425" s="2"/>
    </row>
    <row r="426" spans="1:20">
      <c r="A426" s="2"/>
      <c r="B426" s="2"/>
      <c r="C426" s="2"/>
      <c r="D426" s="2"/>
      <c r="E426" s="2"/>
      <c r="F426" s="2"/>
      <c r="G426" s="2"/>
      <c r="H426" s="2"/>
      <c r="I426" s="2"/>
      <c r="J426" s="2"/>
      <c r="K426" s="2"/>
      <c r="L426" s="2"/>
      <c r="M426" s="2"/>
      <c r="N426" s="2"/>
      <c r="O426" s="2"/>
      <c r="P426" s="2"/>
      <c r="Q426" s="2"/>
      <c r="R426" s="2"/>
      <c r="S426" s="2"/>
      <c r="T426" s="2"/>
    </row>
    <row r="427" spans="1:20">
      <c r="A427" s="2"/>
      <c r="B427" s="2"/>
      <c r="C427" s="2"/>
      <c r="D427" s="2"/>
      <c r="E427" s="2"/>
      <c r="F427" s="2"/>
      <c r="G427" s="2"/>
      <c r="H427" s="2"/>
      <c r="I427" s="2"/>
      <c r="J427" s="2"/>
      <c r="K427" s="2"/>
      <c r="L427" s="2"/>
      <c r="M427" s="2"/>
      <c r="N427" s="2"/>
      <c r="O427" s="2"/>
      <c r="P427" s="2"/>
      <c r="Q427" s="2"/>
      <c r="R427" s="2"/>
      <c r="S427" s="2"/>
      <c r="T427" s="2"/>
    </row>
    <row r="428" spans="1:20">
      <c r="A428" s="2"/>
      <c r="B428" s="2"/>
      <c r="C428" s="2"/>
      <c r="D428" s="2"/>
      <c r="E428" s="2"/>
      <c r="F428" s="2"/>
      <c r="G428" s="2"/>
      <c r="H428" s="2"/>
      <c r="I428" s="2"/>
      <c r="J428" s="2"/>
      <c r="K428" s="2"/>
      <c r="L428" s="2"/>
      <c r="M428" s="2"/>
      <c r="N428" s="2"/>
      <c r="O428" s="2"/>
      <c r="P428" s="2"/>
      <c r="Q428" s="2"/>
      <c r="R428" s="2"/>
      <c r="S428" s="2"/>
      <c r="T428" s="2"/>
    </row>
    <row r="429" spans="1:20">
      <c r="A429" s="2"/>
      <c r="B429" s="2"/>
      <c r="C429" s="2"/>
      <c r="D429" s="2"/>
      <c r="E429" s="2"/>
      <c r="F429" s="2"/>
      <c r="G429" s="2"/>
      <c r="H429" s="2"/>
      <c r="I429" s="2"/>
      <c r="J429" s="2"/>
      <c r="K429" s="2"/>
      <c r="L429" s="2"/>
      <c r="M429" s="2"/>
      <c r="N429" s="2"/>
      <c r="O429" s="2"/>
      <c r="P429" s="2"/>
      <c r="Q429" s="2"/>
      <c r="R429" s="2"/>
      <c r="S429" s="2"/>
      <c r="T429" s="2"/>
    </row>
    <row r="430" spans="1:20">
      <c r="A430" s="2"/>
      <c r="B430" s="2"/>
      <c r="C430" s="2"/>
      <c r="D430" s="2"/>
      <c r="E430" s="2"/>
      <c r="F430" s="2"/>
      <c r="G430" s="2"/>
      <c r="H430" s="2"/>
      <c r="I430" s="2"/>
      <c r="J430" s="2"/>
      <c r="K430" s="2"/>
      <c r="L430" s="2"/>
      <c r="M430" s="2"/>
      <c r="N430" s="2"/>
      <c r="O430" s="2"/>
      <c r="P430" s="2"/>
      <c r="Q430" s="2"/>
      <c r="R430" s="2"/>
      <c r="S430" s="2"/>
      <c r="T430" s="2"/>
    </row>
    <row r="431" spans="1:20">
      <c r="A431" s="2"/>
      <c r="B431" s="2"/>
      <c r="C431" s="2"/>
      <c r="D431" s="2"/>
      <c r="E431" s="2"/>
      <c r="F431" s="2"/>
      <c r="G431" s="2"/>
      <c r="H431" s="2"/>
      <c r="I431" s="2"/>
      <c r="J431" s="2"/>
      <c r="K431" s="2"/>
      <c r="L431" s="2"/>
      <c r="M431" s="2"/>
      <c r="N431" s="2"/>
      <c r="O431" s="2"/>
      <c r="P431" s="2"/>
      <c r="Q431" s="2"/>
      <c r="R431" s="2"/>
      <c r="S431" s="2"/>
      <c r="T431" s="2"/>
    </row>
    <row r="432" spans="1:20">
      <c r="A432" s="2"/>
      <c r="B432" s="2"/>
      <c r="C432" s="2"/>
      <c r="D432" s="2"/>
      <c r="E432" s="2"/>
      <c r="F432" s="2"/>
      <c r="G432" s="2"/>
      <c r="H432" s="2"/>
      <c r="I432" s="2"/>
      <c r="J432" s="2"/>
      <c r="K432" s="2"/>
      <c r="L432" s="2"/>
      <c r="M432" s="2"/>
      <c r="N432" s="2"/>
      <c r="O432" s="2"/>
      <c r="P432" s="2"/>
      <c r="Q432" s="2"/>
      <c r="R432" s="2"/>
      <c r="S432" s="2"/>
      <c r="T432" s="2"/>
    </row>
    <row r="433" spans="1:20">
      <c r="A433" s="2"/>
      <c r="B433" s="2"/>
      <c r="C433" s="2"/>
      <c r="D433" s="2"/>
      <c r="E433" s="2"/>
      <c r="F433" s="2"/>
      <c r="G433" s="2"/>
      <c r="H433" s="2"/>
      <c r="I433" s="2"/>
      <c r="J433" s="2"/>
      <c r="K433" s="2"/>
      <c r="L433" s="2"/>
      <c r="M433" s="2"/>
      <c r="N433" s="2"/>
      <c r="O433" s="2"/>
      <c r="P433" s="2"/>
      <c r="Q433" s="2"/>
      <c r="R433" s="2"/>
      <c r="S433" s="2"/>
      <c r="T433" s="2"/>
    </row>
    <row r="434" spans="1:20">
      <c r="A434" s="2"/>
      <c r="B434" s="2"/>
      <c r="C434" s="2"/>
      <c r="D434" s="2"/>
      <c r="E434" s="2"/>
      <c r="F434" s="2"/>
      <c r="G434" s="2"/>
      <c r="H434" s="2"/>
      <c r="I434" s="2"/>
      <c r="J434" s="2"/>
      <c r="K434" s="2"/>
      <c r="L434" s="2"/>
      <c r="M434" s="2"/>
      <c r="N434" s="2"/>
      <c r="O434" s="2"/>
      <c r="P434" s="2"/>
      <c r="Q434" s="2"/>
      <c r="R434" s="2"/>
      <c r="S434" s="2"/>
      <c r="T434" s="2"/>
    </row>
    <row r="435" spans="1:20">
      <c r="A435" s="2"/>
      <c r="B435" s="2"/>
      <c r="C435" s="2"/>
      <c r="D435" s="2"/>
      <c r="E435" s="2"/>
      <c r="F435" s="2"/>
      <c r="G435" s="2"/>
      <c r="H435" s="2"/>
      <c r="I435" s="2"/>
      <c r="J435" s="2"/>
      <c r="K435" s="2"/>
      <c r="L435" s="2"/>
      <c r="M435" s="2"/>
      <c r="N435" s="2"/>
      <c r="O435" s="2"/>
      <c r="P435" s="2"/>
      <c r="Q435" s="2"/>
      <c r="R435" s="2"/>
      <c r="S435" s="2"/>
      <c r="T435" s="2"/>
    </row>
    <row r="436" spans="1:20">
      <c r="A436" s="2"/>
      <c r="B436" s="2"/>
      <c r="C436" s="2"/>
      <c r="D436" s="2"/>
      <c r="E436" s="2"/>
      <c r="F436" s="2"/>
      <c r="G436" s="2"/>
      <c r="H436" s="2"/>
      <c r="I436" s="2"/>
      <c r="J436" s="2"/>
      <c r="K436" s="2"/>
      <c r="L436" s="2"/>
      <c r="M436" s="2"/>
      <c r="N436" s="2"/>
      <c r="O436" s="2"/>
      <c r="P436" s="2"/>
      <c r="Q436" s="2"/>
      <c r="R436" s="2"/>
      <c r="S436" s="2"/>
      <c r="T436" s="2"/>
    </row>
    <row r="437" spans="1:20">
      <c r="A437" s="2"/>
      <c r="B437" s="2"/>
      <c r="C437" s="2"/>
      <c r="D437" s="2"/>
      <c r="E437" s="2"/>
      <c r="F437" s="2"/>
      <c r="G437" s="2"/>
      <c r="H437" s="2"/>
      <c r="I437" s="2"/>
      <c r="J437" s="2"/>
      <c r="K437" s="2"/>
      <c r="L437" s="2"/>
      <c r="M437" s="2"/>
      <c r="N437" s="2"/>
      <c r="O437" s="2"/>
      <c r="P437" s="2"/>
      <c r="Q437" s="2"/>
      <c r="R437" s="2"/>
      <c r="S437" s="2"/>
      <c r="T437" s="2"/>
    </row>
    <row r="438" spans="1:20">
      <c r="A438" s="2"/>
      <c r="B438" s="2"/>
      <c r="C438" s="2"/>
      <c r="D438" s="2"/>
      <c r="E438" s="2"/>
      <c r="F438" s="2"/>
      <c r="G438" s="2"/>
      <c r="H438" s="2"/>
      <c r="I438" s="2"/>
      <c r="J438" s="2"/>
      <c r="K438" s="2"/>
      <c r="L438" s="2"/>
      <c r="M438" s="2"/>
      <c r="N438" s="2"/>
      <c r="O438" s="2"/>
      <c r="P438" s="2"/>
      <c r="Q438" s="2"/>
      <c r="R438" s="2"/>
      <c r="S438" s="2"/>
      <c r="T438" s="2"/>
    </row>
    <row r="439" spans="1:20">
      <c r="A439" s="2"/>
      <c r="B439" s="2"/>
      <c r="C439" s="2"/>
      <c r="D439" s="2"/>
      <c r="E439" s="2"/>
      <c r="F439" s="2"/>
      <c r="G439" s="2"/>
      <c r="H439" s="2"/>
      <c r="I439" s="2"/>
      <c r="J439" s="2"/>
      <c r="K439" s="2"/>
      <c r="L439" s="2"/>
      <c r="M439" s="2"/>
      <c r="N439" s="2"/>
      <c r="O439" s="2"/>
      <c r="P439" s="2"/>
      <c r="Q439" s="2"/>
      <c r="R439" s="2"/>
      <c r="S439" s="2"/>
      <c r="T439" s="2"/>
    </row>
    <row r="440" spans="1:20">
      <c r="A440" s="2"/>
      <c r="B440" s="2"/>
      <c r="C440" s="2"/>
      <c r="D440" s="2"/>
      <c r="E440" s="2"/>
      <c r="F440" s="2"/>
      <c r="G440" s="2"/>
      <c r="H440" s="2"/>
      <c r="I440" s="2"/>
      <c r="J440" s="2"/>
      <c r="K440" s="2"/>
      <c r="L440" s="2"/>
      <c r="M440" s="2"/>
      <c r="N440" s="2"/>
      <c r="O440" s="2"/>
      <c r="P440" s="2"/>
      <c r="Q440" s="2"/>
      <c r="R440" s="2"/>
      <c r="S440" s="2"/>
      <c r="T440" s="2"/>
    </row>
    <row r="441" spans="1:20">
      <c r="A441" s="2"/>
      <c r="B441" s="2"/>
      <c r="C441" s="2"/>
      <c r="D441" s="2"/>
      <c r="E441" s="2"/>
      <c r="F441" s="2"/>
      <c r="G441" s="2"/>
      <c r="H441" s="2"/>
      <c r="I441" s="2"/>
      <c r="J441" s="2"/>
      <c r="K441" s="2"/>
      <c r="L441" s="2"/>
      <c r="M441" s="2"/>
      <c r="N441" s="2"/>
      <c r="O441" s="2"/>
      <c r="P441" s="2"/>
      <c r="Q441" s="2"/>
      <c r="R441" s="2"/>
      <c r="S441" s="2"/>
      <c r="T441" s="2"/>
    </row>
    <row r="442" spans="1:20">
      <c r="A442" s="2"/>
      <c r="B442" s="2"/>
      <c r="C442" s="2"/>
      <c r="D442" s="2"/>
      <c r="E442" s="2"/>
      <c r="F442" s="2"/>
      <c r="G442" s="2"/>
      <c r="H442" s="2"/>
      <c r="I442" s="2"/>
      <c r="J442" s="2"/>
      <c r="K442" s="2"/>
      <c r="L442" s="2"/>
      <c r="M442" s="2"/>
      <c r="N442" s="2"/>
      <c r="O442" s="2"/>
      <c r="P442" s="2"/>
      <c r="Q442" s="2"/>
      <c r="R442" s="2"/>
      <c r="S442" s="2"/>
      <c r="T442" s="2"/>
    </row>
    <row r="443" spans="1:20">
      <c r="A443" s="2"/>
      <c r="B443" s="2"/>
      <c r="C443" s="2"/>
      <c r="D443" s="2"/>
      <c r="E443" s="2"/>
      <c r="F443" s="2"/>
      <c r="G443" s="2"/>
      <c r="H443" s="2"/>
      <c r="I443" s="2"/>
      <c r="J443" s="2"/>
      <c r="K443" s="2"/>
      <c r="L443" s="2"/>
      <c r="M443" s="2"/>
      <c r="N443" s="2"/>
      <c r="O443" s="2"/>
      <c r="P443" s="2"/>
      <c r="Q443" s="2"/>
      <c r="R443" s="2"/>
      <c r="S443" s="2"/>
      <c r="T443" s="2"/>
    </row>
  </sheetData>
  <sheetProtection formatCells="0" insertHyperlinks="0" autoFilter="0"/>
  <mergeCells count="1">
    <mergeCell ref="B1:H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 defaultRowHeight="13"/>
  <sheetData/>
  <sheetProtection formatCells="0" insertHyperlinks="0" autoFilter="0"/>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企业背景</vt:lpstr>
      <vt:lpstr>上市信息</vt:lpstr>
      <vt:lpstr>法律诉讼</vt:lpstr>
      <vt:lpstr>经营风险</vt:lpstr>
      <vt:lpstr>经营状况</vt:lpstr>
      <vt:lpstr>A股财报</vt:lpstr>
      <vt:lpstr>知识产权</vt:lpstr>
      <vt:lpstr>公司发展</vt:lpstr>
      <vt:lpstr>历史信息</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2024-01-14T18:33:00Z</dcterms:created>
  <dcterms:modified xsi:type="dcterms:W3CDTF">2026-08-04T08:10:29Z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
  </property>
  <property fmtid="{D5CDD505-2E9C-101B-9397-08002B2CF9AE}" pid="4" name="CalculationRule">
    <vt:i4>0</vt:i4>
  </property>
</Properties>
</file>